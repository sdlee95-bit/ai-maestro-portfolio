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/>
  </mc:AlternateContent>
  <xr:revisionPtr revIDLastSave="0" documentId="8_{F46DBD72-06B2-4FBE-B4B0-05E566205DE0}" xr6:coauthVersionLast="47" xr6:coauthVersionMax="47" xr10:uidLastSave="{00000000-0000-0000-0000-000000000000}"/>
  <bookViews>
    <workbookView xWindow="39480" yWindow="975" windowWidth="37215" windowHeight="19500" xr2:uid="{D16609E8-2F30-4E10-B746-F4E253C2A0EA}"/>
  </bookViews>
  <sheets>
    <sheet name="01.요약" sheetId="5" r:id="rId1"/>
    <sheet name="02.교차조회" sheetId="6" r:id="rId2"/>
    <sheet name="03.휴직관리" sheetId="7" r:id="rId3"/>
    <sheet name="04.전년대비" sheetId="8" r:id="rId4"/>
    <sheet name="05.인력구조" sheetId="9" r:id="rId5"/>
    <sheet name="10.RAW_현원명부" sheetId="2" r:id="rId6"/>
    <sheet name="11.RAW_휴직이력" sheetId="1" r:id="rId7"/>
    <sheet name="12.RAW_연도집계" sheetId="3" r:id="rId8"/>
    <sheet name="99.사용안내" sheetId="10" r:id="rId9"/>
    <sheet name="_피벗" sheetId="4" state="hidden" r:id="rId10"/>
  </sheets>
  <definedNames>
    <definedName name="슬라이서_근속구간">#N/A</definedName>
    <definedName name="슬라이서_성별">#N/A</definedName>
    <definedName name="슬라이서_연령대">#N/A</definedName>
    <definedName name="슬라이서_재직상태구분">#N/A</definedName>
    <definedName name="슬라이서_직군">#N/A</definedName>
    <definedName name="슬라이서_집계급수">#N/A</definedName>
  </definedNames>
  <calcPr calcId="191029"/>
  <pivotCaches>
    <pivotCache cacheId="52" r:id="rId11"/>
    <pivotCache cacheId="57" r:id="rId12"/>
    <pivotCache cacheId="77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8" l="1"/>
  <c r="C24" i="8"/>
  <c r="E24" i="8" s="1"/>
  <c r="D23" i="8"/>
  <c r="C23" i="8"/>
  <c r="E23" i="8" s="1"/>
  <c r="C15" i="8"/>
  <c r="D13" i="8"/>
  <c r="C12" i="8"/>
  <c r="C9" i="8"/>
  <c r="N11" i="5"/>
  <c r="B11" i="5"/>
  <c r="B10" i="5"/>
  <c r="N7" i="5"/>
  <c r="N6" i="5"/>
  <c r="J6" i="5"/>
  <c r="F7" i="5"/>
  <c r="F6" i="5"/>
  <c r="B6" i="5"/>
  <c r="G3" i="3"/>
  <c r="G8" i="3"/>
  <c r="G9" i="3"/>
  <c r="G15" i="3"/>
  <c r="G18" i="3"/>
  <c r="G20" i="3"/>
  <c r="G21" i="3"/>
  <c r="F2" i="3"/>
  <c r="G2" i="3" s="1"/>
  <c r="F3" i="3"/>
  <c r="F4" i="3"/>
  <c r="G4" i="3" s="1"/>
  <c r="F5" i="3"/>
  <c r="G5" i="3" s="1"/>
  <c r="F6" i="3"/>
  <c r="G6" i="3" s="1"/>
  <c r="F7" i="3"/>
  <c r="G7" i="3" s="1"/>
  <c r="F8" i="3"/>
  <c r="C14" i="8" s="1"/>
  <c r="F9" i="3"/>
  <c r="F10" i="3"/>
  <c r="G10" i="3" s="1"/>
  <c r="F11" i="3"/>
  <c r="G11" i="3" s="1"/>
  <c r="F12" i="3"/>
  <c r="D8" i="8" s="1"/>
  <c r="F13" i="3"/>
  <c r="G13" i="3" s="1"/>
  <c r="F14" i="3"/>
  <c r="G14" i="3" s="1"/>
  <c r="F15" i="3"/>
  <c r="D11" i="8" s="1"/>
  <c r="F16" i="3"/>
  <c r="G16" i="3" s="1"/>
  <c r="F17" i="3"/>
  <c r="G17" i="3" s="1"/>
  <c r="F18" i="3"/>
  <c r="D14" i="8" s="1"/>
  <c r="F14" i="8" s="1"/>
  <c r="F19" i="3"/>
  <c r="G19" i="3" s="1"/>
  <c r="F20" i="3"/>
  <c r="D16" i="8" s="1"/>
  <c r="F21" i="3"/>
  <c r="D17" i="8" s="1"/>
  <c r="AI2" i="2"/>
  <c r="AJ2" i="2" s="1"/>
  <c r="AI3" i="2"/>
  <c r="AJ3" i="2" s="1"/>
  <c r="AI4" i="2"/>
  <c r="AJ4" i="2" s="1"/>
  <c r="AI5" i="2"/>
  <c r="AJ5" i="2" s="1"/>
  <c r="AI6" i="2"/>
  <c r="AJ6" i="2" s="1"/>
  <c r="AI7" i="2"/>
  <c r="AJ7" i="2" s="1"/>
  <c r="AI8" i="2"/>
  <c r="AJ8" i="2" s="1"/>
  <c r="AI9" i="2"/>
  <c r="AJ9" i="2" s="1"/>
  <c r="AI10" i="2"/>
  <c r="AJ10" i="2" s="1"/>
  <c r="AI11" i="2"/>
  <c r="AJ11" i="2" s="1"/>
  <c r="AI12" i="2"/>
  <c r="AJ12" i="2" s="1"/>
  <c r="AI13" i="2"/>
  <c r="AJ13" i="2" s="1"/>
  <c r="AI14" i="2"/>
  <c r="AJ14" i="2" s="1"/>
  <c r="AI15" i="2"/>
  <c r="AJ15" i="2" s="1"/>
  <c r="AI16" i="2"/>
  <c r="AJ16" i="2" s="1"/>
  <c r="AI17" i="2"/>
  <c r="AJ17" i="2" s="1"/>
  <c r="AI18" i="2"/>
  <c r="AJ18" i="2" s="1"/>
  <c r="AI19" i="2"/>
  <c r="AJ19" i="2" s="1"/>
  <c r="AI20" i="2"/>
  <c r="AJ20" i="2" s="1"/>
  <c r="AI21" i="2"/>
  <c r="AJ21" i="2" s="1"/>
  <c r="AI22" i="2"/>
  <c r="AJ22" i="2" s="1"/>
  <c r="AI23" i="2"/>
  <c r="AJ23" i="2" s="1"/>
  <c r="AI24" i="2"/>
  <c r="AJ24" i="2" s="1"/>
  <c r="AI25" i="2"/>
  <c r="AJ25" i="2" s="1"/>
  <c r="AI26" i="2"/>
  <c r="AJ26" i="2" s="1"/>
  <c r="AI27" i="2"/>
  <c r="AJ27" i="2" s="1"/>
  <c r="AI28" i="2"/>
  <c r="AJ28" i="2" s="1"/>
  <c r="AI29" i="2"/>
  <c r="AJ29" i="2" s="1"/>
  <c r="AI30" i="2"/>
  <c r="AJ30" i="2" s="1"/>
  <c r="AI31" i="2"/>
  <c r="AJ31" i="2" s="1"/>
  <c r="AI32" i="2"/>
  <c r="AJ32" i="2" s="1"/>
  <c r="AI33" i="2"/>
  <c r="AJ33" i="2" s="1"/>
  <c r="AI34" i="2"/>
  <c r="AJ34" i="2" s="1"/>
  <c r="AI35" i="2"/>
  <c r="AJ35" i="2" s="1"/>
  <c r="AI36" i="2"/>
  <c r="AJ36" i="2" s="1"/>
  <c r="AI37" i="2"/>
  <c r="AJ37" i="2" s="1"/>
  <c r="AI38" i="2"/>
  <c r="AJ38" i="2" s="1"/>
  <c r="AI39" i="2"/>
  <c r="AJ39" i="2" s="1"/>
  <c r="AI40" i="2"/>
  <c r="AJ40" i="2" s="1"/>
  <c r="AI41" i="2"/>
  <c r="AJ41" i="2" s="1"/>
  <c r="AI42" i="2"/>
  <c r="AJ42" i="2" s="1"/>
  <c r="AI43" i="2"/>
  <c r="AJ43" i="2" s="1"/>
  <c r="AI44" i="2"/>
  <c r="AJ44" i="2" s="1"/>
  <c r="AI45" i="2"/>
  <c r="AJ45" i="2" s="1"/>
  <c r="AI46" i="2"/>
  <c r="AJ46" i="2" s="1"/>
  <c r="AI47" i="2"/>
  <c r="AJ47" i="2" s="1"/>
  <c r="AI48" i="2"/>
  <c r="AJ48" i="2" s="1"/>
  <c r="AI49" i="2"/>
  <c r="AJ49" i="2" s="1"/>
  <c r="AI50" i="2"/>
  <c r="AJ50" i="2" s="1"/>
  <c r="AI51" i="2"/>
  <c r="AJ51" i="2" s="1"/>
  <c r="AI52" i="2"/>
  <c r="AJ52" i="2" s="1"/>
  <c r="AI53" i="2"/>
  <c r="AJ53" i="2" s="1"/>
  <c r="AI54" i="2"/>
  <c r="AI55" i="2"/>
  <c r="AJ55" i="2" s="1"/>
  <c r="AI56" i="2"/>
  <c r="AI57" i="2"/>
  <c r="AJ57" i="2" s="1"/>
  <c r="AI58" i="2"/>
  <c r="AJ58" i="2" s="1"/>
  <c r="AI59" i="2"/>
  <c r="AI60" i="2"/>
  <c r="AJ60" i="2" s="1"/>
  <c r="AI61" i="2"/>
  <c r="AJ61" i="2" s="1"/>
  <c r="AI62" i="2"/>
  <c r="AJ62" i="2" s="1"/>
  <c r="AI63" i="2"/>
  <c r="AJ63" i="2" s="1"/>
  <c r="AI64" i="2"/>
  <c r="AJ64" i="2" s="1"/>
  <c r="AI65" i="2"/>
  <c r="AJ65" i="2" s="1"/>
  <c r="AI66" i="2"/>
  <c r="AJ66" i="2" s="1"/>
  <c r="AI67" i="2"/>
  <c r="AJ67" i="2" s="1"/>
  <c r="AI68" i="2"/>
  <c r="AJ68" i="2" s="1"/>
  <c r="AI69" i="2"/>
  <c r="AJ69" i="2" s="1"/>
  <c r="AI70" i="2"/>
  <c r="AJ70" i="2" s="1"/>
  <c r="AI71" i="2"/>
  <c r="AI72" i="2"/>
  <c r="AJ72" i="2" s="1"/>
  <c r="AI73" i="2"/>
  <c r="AJ73" i="2" s="1"/>
  <c r="AI74" i="2"/>
  <c r="AJ74" i="2" s="1"/>
  <c r="AI75" i="2"/>
  <c r="AJ75" i="2" s="1"/>
  <c r="AI76" i="2"/>
  <c r="AJ76" i="2" s="1"/>
  <c r="AI77" i="2"/>
  <c r="AJ77" i="2" s="1"/>
  <c r="AI78" i="2"/>
  <c r="AI79" i="2"/>
  <c r="AI80" i="2"/>
  <c r="AJ80" i="2" s="1"/>
  <c r="AI81" i="2"/>
  <c r="AJ81" i="2" s="1"/>
  <c r="AI82" i="2"/>
  <c r="AJ82" i="2" s="1"/>
  <c r="AI83" i="2"/>
  <c r="AJ83" i="2" s="1"/>
  <c r="AI84" i="2"/>
  <c r="AJ84" i="2" s="1"/>
  <c r="AI85" i="2"/>
  <c r="AJ85" i="2" s="1"/>
  <c r="AI86" i="2"/>
  <c r="AJ86" i="2" s="1"/>
  <c r="AI87" i="2"/>
  <c r="AJ87" i="2" s="1"/>
  <c r="AI88" i="2"/>
  <c r="AJ88" i="2" s="1"/>
  <c r="AI89" i="2"/>
  <c r="AJ89" i="2" s="1"/>
  <c r="AI90" i="2"/>
  <c r="AJ90" i="2" s="1"/>
  <c r="AI91" i="2"/>
  <c r="AJ91" i="2" s="1"/>
  <c r="AI92" i="2"/>
  <c r="AJ92" i="2" s="1"/>
  <c r="AI93" i="2"/>
  <c r="AJ93" i="2" s="1"/>
  <c r="AI94" i="2"/>
  <c r="AJ94" i="2" s="1"/>
  <c r="AI95" i="2"/>
  <c r="AJ95" i="2" s="1"/>
  <c r="AI96" i="2"/>
  <c r="AJ96" i="2" s="1"/>
  <c r="AI97" i="2"/>
  <c r="AJ97" i="2" s="1"/>
  <c r="AI98" i="2"/>
  <c r="AJ98" i="2" s="1"/>
  <c r="AI99" i="2"/>
  <c r="AJ99" i="2" s="1"/>
  <c r="AI100" i="2"/>
  <c r="AJ100" i="2" s="1"/>
  <c r="AI101" i="2"/>
  <c r="AJ101" i="2" s="1"/>
  <c r="AI102" i="2"/>
  <c r="AJ102" i="2" s="1"/>
  <c r="AI103" i="2"/>
  <c r="AJ103" i="2" s="1"/>
  <c r="AI104" i="2"/>
  <c r="AJ104" i="2" s="1"/>
  <c r="AI105" i="2"/>
  <c r="AJ105" i="2" s="1"/>
  <c r="AI106" i="2"/>
  <c r="AJ106" i="2" s="1"/>
  <c r="AI107" i="2"/>
  <c r="AJ107" i="2" s="1"/>
  <c r="AI108" i="2"/>
  <c r="AJ108" i="2" s="1"/>
  <c r="AI109" i="2"/>
  <c r="AJ109" i="2" s="1"/>
  <c r="AI110" i="2"/>
  <c r="AJ110" i="2" s="1"/>
  <c r="AI111" i="2"/>
  <c r="AJ111" i="2" s="1"/>
  <c r="AI112" i="2"/>
  <c r="AJ112" i="2" s="1"/>
  <c r="AI113" i="2"/>
  <c r="AJ113" i="2" s="1"/>
  <c r="AI114" i="2"/>
  <c r="AJ114" i="2" s="1"/>
  <c r="AI115" i="2"/>
  <c r="AJ115" i="2" s="1"/>
  <c r="AI116" i="2"/>
  <c r="AJ116" i="2" s="1"/>
  <c r="AI117" i="2"/>
  <c r="AJ117" i="2" s="1"/>
  <c r="AI118" i="2"/>
  <c r="AJ118" i="2" s="1"/>
  <c r="AI119" i="2"/>
  <c r="AJ119" i="2" s="1"/>
  <c r="AI120" i="2"/>
  <c r="AJ120" i="2" s="1"/>
  <c r="AI121" i="2"/>
  <c r="AJ121" i="2" s="1"/>
  <c r="AI122" i="2"/>
  <c r="AJ122" i="2" s="1"/>
  <c r="AI123" i="2"/>
  <c r="AI124" i="2"/>
  <c r="AJ124" i="2" s="1"/>
  <c r="AI125" i="2"/>
  <c r="AJ125" i="2" s="1"/>
  <c r="AI126" i="2"/>
  <c r="AJ126" i="2" s="1"/>
  <c r="AI127" i="2"/>
  <c r="AJ127" i="2" s="1"/>
  <c r="AI128" i="2"/>
  <c r="AJ128" i="2" s="1"/>
  <c r="AI129" i="2"/>
  <c r="AJ129" i="2" s="1"/>
  <c r="AI130" i="2"/>
  <c r="AJ130" i="2" s="1"/>
  <c r="AI131" i="2"/>
  <c r="AJ131" i="2" s="1"/>
  <c r="AI132" i="2"/>
  <c r="AJ132" i="2" s="1"/>
  <c r="AI133" i="2"/>
  <c r="AJ133" i="2" s="1"/>
  <c r="AI134" i="2"/>
  <c r="AI135" i="2"/>
  <c r="AI136" i="2"/>
  <c r="AJ136" i="2" s="1"/>
  <c r="AI137" i="2"/>
  <c r="AJ137" i="2" s="1"/>
  <c r="AI138" i="2"/>
  <c r="AJ138" i="2" s="1"/>
  <c r="AI139" i="2"/>
  <c r="AI140" i="2"/>
  <c r="AJ140" i="2" s="1"/>
  <c r="AI141" i="2"/>
  <c r="AJ141" i="2" s="1"/>
  <c r="AI142" i="2"/>
  <c r="AJ142" i="2" s="1"/>
  <c r="AI143" i="2"/>
  <c r="AJ143" i="2" s="1"/>
  <c r="AI144" i="2"/>
  <c r="AJ144" i="2" s="1"/>
  <c r="AI145" i="2"/>
  <c r="AJ145" i="2" s="1"/>
  <c r="AI146" i="2"/>
  <c r="AI147" i="2"/>
  <c r="AI148" i="2"/>
  <c r="AJ148" i="2" s="1"/>
  <c r="AI149" i="2"/>
  <c r="AJ149" i="2" s="1"/>
  <c r="AI150" i="2"/>
  <c r="AJ150" i="2" s="1"/>
  <c r="AI151" i="2"/>
  <c r="AJ151" i="2" s="1"/>
  <c r="AI152" i="2"/>
  <c r="AJ152" i="2" s="1"/>
  <c r="AI153" i="2"/>
  <c r="AJ153" i="2" s="1"/>
  <c r="AI154" i="2"/>
  <c r="AJ154" i="2" s="1"/>
  <c r="AI155" i="2"/>
  <c r="AJ155" i="2" s="1"/>
  <c r="AI156" i="2"/>
  <c r="AI157" i="2"/>
  <c r="AJ157" i="2" s="1"/>
  <c r="AI158" i="2"/>
  <c r="AJ158" i="2" s="1"/>
  <c r="AI159" i="2"/>
  <c r="AJ159" i="2" s="1"/>
  <c r="AI160" i="2"/>
  <c r="AJ160" i="2" s="1"/>
  <c r="AI161" i="2"/>
  <c r="AJ161" i="2" s="1"/>
  <c r="AI162" i="2"/>
  <c r="AJ162" i="2" s="1"/>
  <c r="AI163" i="2"/>
  <c r="AJ163" i="2" s="1"/>
  <c r="AI164" i="2"/>
  <c r="AJ164" i="2" s="1"/>
  <c r="AI165" i="2"/>
  <c r="AJ165" i="2" s="1"/>
  <c r="AI166" i="2"/>
  <c r="AJ166" i="2" s="1"/>
  <c r="AI167" i="2"/>
  <c r="AJ167" i="2" s="1"/>
  <c r="AI168" i="2"/>
  <c r="AJ168" i="2" s="1"/>
  <c r="AI169" i="2"/>
  <c r="AI170" i="2"/>
  <c r="AJ170" i="2" s="1"/>
  <c r="AI171" i="2"/>
  <c r="AJ171" i="2" s="1"/>
  <c r="AI172" i="2"/>
  <c r="AJ172" i="2" s="1"/>
  <c r="AI173" i="2"/>
  <c r="AJ173" i="2" s="1"/>
  <c r="AI174" i="2"/>
  <c r="AJ174" i="2" s="1"/>
  <c r="AI175" i="2"/>
  <c r="AJ175" i="2" s="1"/>
  <c r="AI176" i="2"/>
  <c r="AJ176" i="2" s="1"/>
  <c r="AI177" i="2"/>
  <c r="AJ177" i="2" s="1"/>
  <c r="AI178" i="2"/>
  <c r="AJ178" i="2" s="1"/>
  <c r="AI179" i="2"/>
  <c r="AJ179" i="2" s="1"/>
  <c r="AI180" i="2"/>
  <c r="AJ180" i="2" s="1"/>
  <c r="AI181" i="2"/>
  <c r="AJ181" i="2" s="1"/>
  <c r="AI182" i="2"/>
  <c r="AJ182" i="2" s="1"/>
  <c r="AI183" i="2"/>
  <c r="AJ183" i="2" s="1"/>
  <c r="AI184" i="2"/>
  <c r="AJ184" i="2" s="1"/>
  <c r="AI185" i="2"/>
  <c r="AJ185" i="2" s="1"/>
  <c r="AI186" i="2"/>
  <c r="AJ186" i="2" s="1"/>
  <c r="AI187" i="2"/>
  <c r="AJ187" i="2" s="1"/>
  <c r="AI188" i="2"/>
  <c r="AJ188" i="2" s="1"/>
  <c r="AI189" i="2"/>
  <c r="AJ189" i="2" s="1"/>
  <c r="AI190" i="2"/>
  <c r="AJ190" i="2" s="1"/>
  <c r="AI191" i="2"/>
  <c r="AJ191" i="2" s="1"/>
  <c r="AI192" i="2"/>
  <c r="AJ192" i="2" s="1"/>
  <c r="AI193" i="2"/>
  <c r="AJ193" i="2" s="1"/>
  <c r="AI194" i="2"/>
  <c r="AJ194" i="2" s="1"/>
  <c r="AI195" i="2"/>
  <c r="AJ195" i="2" s="1"/>
  <c r="AI196" i="2"/>
  <c r="AJ196" i="2" s="1"/>
  <c r="AI197" i="2"/>
  <c r="AI198" i="2"/>
  <c r="AJ198" i="2" s="1"/>
  <c r="AI199" i="2"/>
  <c r="AJ199" i="2" s="1"/>
  <c r="AI200" i="2"/>
  <c r="AJ200" i="2" s="1"/>
  <c r="AI201" i="2"/>
  <c r="AJ201" i="2" s="1"/>
  <c r="AI202" i="2"/>
  <c r="AJ202" i="2" s="1"/>
  <c r="AI203" i="2"/>
  <c r="AJ203" i="2" s="1"/>
  <c r="AI204" i="2"/>
  <c r="AJ204" i="2" s="1"/>
  <c r="AI205" i="2"/>
  <c r="AJ205" i="2" s="1"/>
  <c r="AI206" i="2"/>
  <c r="AJ206" i="2" s="1"/>
  <c r="AI207" i="2"/>
  <c r="AJ207" i="2" s="1"/>
  <c r="AI208" i="2"/>
  <c r="AJ208" i="2" s="1"/>
  <c r="AI209" i="2"/>
  <c r="AJ209" i="2" s="1"/>
  <c r="AI210" i="2"/>
  <c r="AI211" i="2"/>
  <c r="AJ211" i="2" s="1"/>
  <c r="AI212" i="2"/>
  <c r="AJ212" i="2" s="1"/>
  <c r="AI213" i="2"/>
  <c r="AJ213" i="2" s="1"/>
  <c r="AI214" i="2"/>
  <c r="AJ214" i="2" s="1"/>
  <c r="AI215" i="2"/>
  <c r="AJ215" i="2" s="1"/>
  <c r="AI216" i="2"/>
  <c r="AJ216" i="2" s="1"/>
  <c r="AI217" i="2"/>
  <c r="AJ217" i="2" s="1"/>
  <c r="AI218" i="2"/>
  <c r="AJ218" i="2" s="1"/>
  <c r="AI219" i="2"/>
  <c r="AJ219" i="2" s="1"/>
  <c r="AI220" i="2"/>
  <c r="AJ220" i="2" s="1"/>
  <c r="AI221" i="2"/>
  <c r="AJ221" i="2" s="1"/>
  <c r="AI222" i="2"/>
  <c r="AJ222" i="2" s="1"/>
  <c r="AI223" i="2"/>
  <c r="AJ223" i="2" s="1"/>
  <c r="AI224" i="2"/>
  <c r="AJ224" i="2" s="1"/>
  <c r="AI225" i="2"/>
  <c r="AJ225" i="2" s="1"/>
  <c r="AI226" i="2"/>
  <c r="AJ226" i="2" s="1"/>
  <c r="AI227" i="2"/>
  <c r="AJ227" i="2" s="1"/>
  <c r="AI228" i="2"/>
  <c r="AJ228" i="2" s="1"/>
  <c r="AI229" i="2"/>
  <c r="AI230" i="2"/>
  <c r="AJ230" i="2" s="1"/>
  <c r="AI231" i="2"/>
  <c r="AJ231" i="2" s="1"/>
  <c r="AI232" i="2"/>
  <c r="AJ232" i="2" s="1"/>
  <c r="AI233" i="2"/>
  <c r="AJ233" i="2" s="1"/>
  <c r="AI234" i="2"/>
  <c r="AJ234" i="2" s="1"/>
  <c r="AI235" i="2"/>
  <c r="AJ235" i="2" s="1"/>
  <c r="AI236" i="2"/>
  <c r="AJ236" i="2" s="1"/>
  <c r="AI237" i="2"/>
  <c r="AJ237" i="2" s="1"/>
  <c r="AI238" i="2"/>
  <c r="AJ238" i="2" s="1"/>
  <c r="AI239" i="2"/>
  <c r="AJ239" i="2" s="1"/>
  <c r="AI240" i="2"/>
  <c r="AJ240" i="2" s="1"/>
  <c r="AI241" i="2"/>
  <c r="AJ241" i="2" s="1"/>
  <c r="AI242" i="2"/>
  <c r="AJ242" i="2" s="1"/>
  <c r="AI243" i="2"/>
  <c r="AJ243" i="2" s="1"/>
  <c r="AI244" i="2"/>
  <c r="AJ244" i="2" s="1"/>
  <c r="AI245" i="2"/>
  <c r="AJ245" i="2" s="1"/>
  <c r="AI246" i="2"/>
  <c r="AI247" i="2"/>
  <c r="AJ247" i="2" s="1"/>
  <c r="AI248" i="2"/>
  <c r="AJ248" i="2" s="1"/>
  <c r="AI249" i="2"/>
  <c r="AJ249" i="2" s="1"/>
  <c r="AI250" i="2"/>
  <c r="AJ250" i="2" s="1"/>
  <c r="AI251" i="2"/>
  <c r="AJ251" i="2" s="1"/>
  <c r="AI252" i="2"/>
  <c r="AJ252" i="2" s="1"/>
  <c r="AI253" i="2"/>
  <c r="AJ253" i="2" s="1"/>
  <c r="AI254" i="2"/>
  <c r="AJ254" i="2" s="1"/>
  <c r="AI255" i="2"/>
  <c r="AJ255" i="2" s="1"/>
  <c r="AI256" i="2"/>
  <c r="AJ256" i="2" s="1"/>
  <c r="AI257" i="2"/>
  <c r="AJ257" i="2" s="1"/>
  <c r="AI258" i="2"/>
  <c r="AJ258" i="2" s="1"/>
  <c r="AI259" i="2"/>
  <c r="AJ259" i="2" s="1"/>
  <c r="AI260" i="2"/>
  <c r="AJ260" i="2" s="1"/>
  <c r="AI261" i="2"/>
  <c r="AI262" i="2"/>
  <c r="AJ262" i="2" s="1"/>
  <c r="AI263" i="2"/>
  <c r="AJ263" i="2" s="1"/>
  <c r="AI264" i="2"/>
  <c r="AI265" i="2"/>
  <c r="AJ265" i="2" s="1"/>
  <c r="AI266" i="2"/>
  <c r="AJ266" i="2" s="1"/>
  <c r="AI267" i="2"/>
  <c r="AJ267" i="2" s="1"/>
  <c r="AI268" i="2"/>
  <c r="AJ268" i="2" s="1"/>
  <c r="AI269" i="2"/>
  <c r="AJ269" i="2" s="1"/>
  <c r="AI270" i="2"/>
  <c r="AJ270" i="2" s="1"/>
  <c r="AI271" i="2"/>
  <c r="AJ271" i="2" s="1"/>
  <c r="AI272" i="2"/>
  <c r="AJ272" i="2" s="1"/>
  <c r="AI273" i="2"/>
  <c r="AJ273" i="2" s="1"/>
  <c r="AI274" i="2"/>
  <c r="AJ274" i="2" s="1"/>
  <c r="AI275" i="2"/>
  <c r="AJ275" i="2" s="1"/>
  <c r="AI276" i="2"/>
  <c r="AJ276" i="2" s="1"/>
  <c r="AI277" i="2"/>
  <c r="AJ277" i="2" s="1"/>
  <c r="AI278" i="2"/>
  <c r="AJ278" i="2" s="1"/>
  <c r="AI279" i="2"/>
  <c r="AJ279" i="2" s="1"/>
  <c r="AI280" i="2"/>
  <c r="AJ280" i="2" s="1"/>
  <c r="AI281" i="2"/>
  <c r="AI282" i="2"/>
  <c r="AJ282" i="2" s="1"/>
  <c r="AI283" i="2"/>
  <c r="AJ283" i="2" s="1"/>
  <c r="AI284" i="2"/>
  <c r="AJ284" i="2" s="1"/>
  <c r="AI285" i="2"/>
  <c r="AJ285" i="2" s="1"/>
  <c r="AI286" i="2"/>
  <c r="AJ286" i="2" s="1"/>
  <c r="AI287" i="2"/>
  <c r="AJ287" i="2" s="1"/>
  <c r="AI288" i="2"/>
  <c r="AJ288" i="2" s="1"/>
  <c r="AI289" i="2"/>
  <c r="AJ289" i="2" s="1"/>
  <c r="AI290" i="2"/>
  <c r="AJ290" i="2" s="1"/>
  <c r="AI291" i="2"/>
  <c r="AJ291" i="2" s="1"/>
  <c r="AI292" i="2"/>
  <c r="AJ292" i="2" s="1"/>
  <c r="AI293" i="2"/>
  <c r="AJ293" i="2" s="1"/>
  <c r="AI294" i="2"/>
  <c r="AJ294" i="2" s="1"/>
  <c r="AI295" i="2"/>
  <c r="AJ295" i="2" s="1"/>
  <c r="AI296" i="2"/>
  <c r="AJ296" i="2" s="1"/>
  <c r="AI297" i="2"/>
  <c r="AJ297" i="2" s="1"/>
  <c r="AI298" i="2"/>
  <c r="AJ298" i="2" s="1"/>
  <c r="AI299" i="2"/>
  <c r="AJ299" i="2" s="1"/>
  <c r="AI300" i="2"/>
  <c r="AJ300" i="2" s="1"/>
  <c r="AI301" i="2"/>
  <c r="AJ301" i="2" s="1"/>
  <c r="AI302" i="2"/>
  <c r="AJ302" i="2" s="1"/>
  <c r="AI303" i="2"/>
  <c r="AJ303" i="2" s="1"/>
  <c r="AI304" i="2"/>
  <c r="AJ304" i="2" s="1"/>
  <c r="AI305" i="2"/>
  <c r="AJ305" i="2" s="1"/>
  <c r="AI306" i="2"/>
  <c r="AJ306" i="2" s="1"/>
  <c r="AI307" i="2"/>
  <c r="AJ307" i="2" s="1"/>
  <c r="AI308" i="2"/>
  <c r="AJ308" i="2" s="1"/>
  <c r="AI309" i="2"/>
  <c r="AJ309" i="2" s="1"/>
  <c r="AI310" i="2"/>
  <c r="AJ310" i="2" s="1"/>
  <c r="AI311" i="2"/>
  <c r="AJ311" i="2" s="1"/>
  <c r="AI312" i="2"/>
  <c r="AJ312" i="2" s="1"/>
  <c r="AI313" i="2"/>
  <c r="AJ313" i="2" s="1"/>
  <c r="AI314" i="2"/>
  <c r="AJ314" i="2" s="1"/>
  <c r="AI315" i="2"/>
  <c r="AJ315" i="2" s="1"/>
  <c r="AI316" i="2"/>
  <c r="AJ316" i="2" s="1"/>
  <c r="AI317" i="2"/>
  <c r="AJ317" i="2" s="1"/>
  <c r="AI318" i="2"/>
  <c r="AJ318" i="2" s="1"/>
  <c r="AI319" i="2"/>
  <c r="AI320" i="2"/>
  <c r="AJ320" i="2" s="1"/>
  <c r="AI321" i="2"/>
  <c r="AJ321" i="2" s="1"/>
  <c r="AI322" i="2"/>
  <c r="AJ322" i="2" s="1"/>
  <c r="AI323" i="2"/>
  <c r="AJ323" i="2" s="1"/>
  <c r="AI324" i="2"/>
  <c r="AI325" i="2"/>
  <c r="AJ325" i="2" s="1"/>
  <c r="AI326" i="2"/>
  <c r="AJ326" i="2" s="1"/>
  <c r="AI327" i="2"/>
  <c r="AJ327" i="2" s="1"/>
  <c r="AI328" i="2"/>
  <c r="AJ328" i="2" s="1"/>
  <c r="AI329" i="2"/>
  <c r="AJ329" i="2" s="1"/>
  <c r="AI330" i="2"/>
  <c r="AJ330" i="2" s="1"/>
  <c r="AI331" i="2"/>
  <c r="AJ331" i="2" s="1"/>
  <c r="AI332" i="2"/>
  <c r="AJ332" i="2" s="1"/>
  <c r="AI333" i="2"/>
  <c r="AJ333" i="2" s="1"/>
  <c r="AI334" i="2"/>
  <c r="AJ334" i="2" s="1"/>
  <c r="AI335" i="2"/>
  <c r="AJ335" i="2" s="1"/>
  <c r="AI336" i="2"/>
  <c r="AJ336" i="2" s="1"/>
  <c r="AI337" i="2"/>
  <c r="AJ337" i="2" s="1"/>
  <c r="AI338" i="2"/>
  <c r="AJ338" i="2" s="1"/>
  <c r="AI339" i="2"/>
  <c r="AJ339" i="2" s="1"/>
  <c r="AI340" i="2"/>
  <c r="AI341" i="2"/>
  <c r="AJ341" i="2" s="1"/>
  <c r="AI342" i="2"/>
  <c r="AJ342" i="2" s="1"/>
  <c r="AI343" i="2"/>
  <c r="AJ343" i="2" s="1"/>
  <c r="AI344" i="2"/>
  <c r="AJ344" i="2" s="1"/>
  <c r="AI345" i="2"/>
  <c r="AJ345" i="2" s="1"/>
  <c r="AI346" i="2"/>
  <c r="AJ346" i="2" s="1"/>
  <c r="AI347" i="2"/>
  <c r="AJ347" i="2" s="1"/>
  <c r="AI348" i="2"/>
  <c r="AJ348" i="2" s="1"/>
  <c r="AI349" i="2"/>
  <c r="AJ349" i="2" s="1"/>
  <c r="AI350" i="2"/>
  <c r="AJ350" i="2" s="1"/>
  <c r="AI351" i="2"/>
  <c r="AJ351" i="2" s="1"/>
  <c r="AI352" i="2"/>
  <c r="AJ352" i="2" s="1"/>
  <c r="AI353" i="2"/>
  <c r="AJ353" i="2" s="1"/>
  <c r="AI354" i="2"/>
  <c r="AJ354" i="2" s="1"/>
  <c r="AI355" i="2"/>
  <c r="AJ355" i="2" s="1"/>
  <c r="AI356" i="2"/>
  <c r="AJ356" i="2" s="1"/>
  <c r="AI357" i="2"/>
  <c r="AJ357" i="2" s="1"/>
  <c r="AI358" i="2"/>
  <c r="AJ358" i="2" s="1"/>
  <c r="AI359" i="2"/>
  <c r="AJ359" i="2" s="1"/>
  <c r="AI360" i="2"/>
  <c r="AJ360" i="2" s="1"/>
  <c r="AI361" i="2"/>
  <c r="AI362" i="2"/>
  <c r="AJ362" i="2" s="1"/>
  <c r="AI363" i="2"/>
  <c r="AJ363" i="2" s="1"/>
  <c r="AI364" i="2"/>
  <c r="AJ364" i="2" s="1"/>
  <c r="AI365" i="2"/>
  <c r="AI366" i="2"/>
  <c r="AJ366" i="2" s="1"/>
  <c r="AI367" i="2"/>
  <c r="AJ367" i="2" s="1"/>
  <c r="AI368" i="2"/>
  <c r="AJ368" i="2" s="1"/>
  <c r="AI369" i="2"/>
  <c r="AJ369" i="2" s="1"/>
  <c r="AI370" i="2"/>
  <c r="AJ370" i="2" s="1"/>
  <c r="AI371" i="2"/>
  <c r="AJ371" i="2" s="1"/>
  <c r="AI372" i="2"/>
  <c r="AJ372" i="2" s="1"/>
  <c r="AI373" i="2"/>
  <c r="AJ373" i="2" s="1"/>
  <c r="AI374" i="2"/>
  <c r="AJ374" i="2" s="1"/>
  <c r="AI375" i="2"/>
  <c r="AI376" i="2"/>
  <c r="AI377" i="2"/>
  <c r="AJ377" i="2" s="1"/>
  <c r="AI378" i="2"/>
  <c r="AJ378" i="2" s="1"/>
  <c r="AI379" i="2"/>
  <c r="AJ379" i="2" s="1"/>
  <c r="AI380" i="2"/>
  <c r="AJ380" i="2" s="1"/>
  <c r="AI381" i="2"/>
  <c r="AJ381" i="2" s="1"/>
  <c r="AI382" i="2"/>
  <c r="AJ382" i="2" s="1"/>
  <c r="AI383" i="2"/>
  <c r="AJ383" i="2" s="1"/>
  <c r="AI384" i="2"/>
  <c r="AJ384" i="2" s="1"/>
  <c r="AI385" i="2"/>
  <c r="AJ385" i="2" s="1"/>
  <c r="AI386" i="2"/>
  <c r="AJ386" i="2" s="1"/>
  <c r="AI387" i="2"/>
  <c r="AJ387" i="2" s="1"/>
  <c r="AI388" i="2"/>
  <c r="AJ388" i="2" s="1"/>
  <c r="AI389" i="2"/>
  <c r="AJ389" i="2" s="1"/>
  <c r="AI390" i="2"/>
  <c r="AJ390" i="2" s="1"/>
  <c r="AI391" i="2"/>
  <c r="AJ391" i="2" s="1"/>
  <c r="AI392" i="2"/>
  <c r="AJ392" i="2" s="1"/>
  <c r="AI393" i="2"/>
  <c r="AJ393" i="2" s="1"/>
  <c r="AI394" i="2"/>
  <c r="AJ394" i="2" s="1"/>
  <c r="AI395" i="2"/>
  <c r="AJ395" i="2" s="1"/>
  <c r="AI396" i="2"/>
  <c r="AI397" i="2"/>
  <c r="AJ397" i="2" s="1"/>
  <c r="AI398" i="2"/>
  <c r="AJ398" i="2" s="1"/>
  <c r="AI399" i="2"/>
  <c r="AJ399" i="2" s="1"/>
  <c r="AI400" i="2"/>
  <c r="AJ400" i="2" s="1"/>
  <c r="AI401" i="2"/>
  <c r="AJ401" i="2" s="1"/>
  <c r="AI402" i="2"/>
  <c r="AJ402" i="2" s="1"/>
  <c r="AI403" i="2"/>
  <c r="AJ403" i="2" s="1"/>
  <c r="AI404" i="2"/>
  <c r="AJ404" i="2" s="1"/>
  <c r="AI405" i="2"/>
  <c r="AJ405" i="2" s="1"/>
  <c r="AI406" i="2"/>
  <c r="AJ406" i="2" s="1"/>
  <c r="AI407" i="2"/>
  <c r="AJ407" i="2" s="1"/>
  <c r="AI408" i="2"/>
  <c r="AJ408" i="2" s="1"/>
  <c r="AI409" i="2"/>
  <c r="AJ409" i="2" s="1"/>
  <c r="AI410" i="2"/>
  <c r="AJ410" i="2" s="1"/>
  <c r="AI411" i="2"/>
  <c r="AJ411" i="2" s="1"/>
  <c r="AI412" i="2"/>
  <c r="AJ412" i="2" s="1"/>
  <c r="AI413" i="2"/>
  <c r="AJ413" i="2" s="1"/>
  <c r="AI414" i="2"/>
  <c r="AJ414" i="2" s="1"/>
  <c r="AI415" i="2"/>
  <c r="AI416" i="2"/>
  <c r="AJ416" i="2" s="1"/>
  <c r="AI417" i="2"/>
  <c r="AJ417" i="2" s="1"/>
  <c r="AI418" i="2"/>
  <c r="AJ418" i="2" s="1"/>
  <c r="AI419" i="2"/>
  <c r="AJ419" i="2" s="1"/>
  <c r="AI420" i="2"/>
  <c r="AJ420" i="2" s="1"/>
  <c r="AI421" i="2"/>
  <c r="AJ421" i="2" s="1"/>
  <c r="AI422" i="2"/>
  <c r="AJ422" i="2" s="1"/>
  <c r="AI423" i="2"/>
  <c r="AJ423" i="2" s="1"/>
  <c r="AI424" i="2"/>
  <c r="AJ424" i="2" s="1"/>
  <c r="AI425" i="2"/>
  <c r="AJ425" i="2" s="1"/>
  <c r="AI426" i="2"/>
  <c r="AJ426" i="2" s="1"/>
  <c r="AI427" i="2"/>
  <c r="AJ427" i="2" s="1"/>
  <c r="AI428" i="2"/>
  <c r="AI429" i="2"/>
  <c r="AJ429" i="2" s="1"/>
  <c r="AI430" i="2"/>
  <c r="AJ430" i="2" s="1"/>
  <c r="AI431" i="2"/>
  <c r="AJ431" i="2" s="1"/>
  <c r="AI432" i="2"/>
  <c r="AJ432" i="2" s="1"/>
  <c r="AI433" i="2"/>
  <c r="AJ433" i="2" s="1"/>
  <c r="AI434" i="2"/>
  <c r="AJ434" i="2" s="1"/>
  <c r="AI435" i="2"/>
  <c r="AJ435" i="2" s="1"/>
  <c r="AI436" i="2"/>
  <c r="AJ436" i="2" s="1"/>
  <c r="AI437" i="2"/>
  <c r="AJ437" i="2" s="1"/>
  <c r="AI438" i="2"/>
  <c r="AJ438" i="2" s="1"/>
  <c r="AI439" i="2"/>
  <c r="AJ439" i="2" s="1"/>
  <c r="AI440" i="2"/>
  <c r="AJ440" i="2" s="1"/>
  <c r="AI441" i="2"/>
  <c r="AJ441" i="2" s="1"/>
  <c r="AI442" i="2"/>
  <c r="AJ442" i="2" s="1"/>
  <c r="AI443" i="2"/>
  <c r="AJ443" i="2" s="1"/>
  <c r="AI444" i="2"/>
  <c r="AJ444" i="2" s="1"/>
  <c r="AI445" i="2"/>
  <c r="AJ445" i="2" s="1"/>
  <c r="AI446" i="2"/>
  <c r="AJ446" i="2" s="1"/>
  <c r="AI447" i="2"/>
  <c r="AJ447" i="2" s="1"/>
  <c r="AI448" i="2"/>
  <c r="AJ448" i="2" s="1"/>
  <c r="AI449" i="2"/>
  <c r="AJ449" i="2" s="1"/>
  <c r="AI450" i="2"/>
  <c r="AJ450" i="2" s="1"/>
  <c r="AI451" i="2"/>
  <c r="AJ451" i="2" s="1"/>
  <c r="AI452" i="2"/>
  <c r="AJ452" i="2" s="1"/>
  <c r="AI453" i="2"/>
  <c r="AJ453" i="2" s="1"/>
  <c r="AI454" i="2"/>
  <c r="AJ454" i="2" s="1"/>
  <c r="AI455" i="2"/>
  <c r="AJ455" i="2" s="1"/>
  <c r="AI456" i="2"/>
  <c r="AJ456" i="2" s="1"/>
  <c r="AI457" i="2"/>
  <c r="AJ457" i="2" s="1"/>
  <c r="AI458" i="2"/>
  <c r="AJ458" i="2" s="1"/>
  <c r="AI459" i="2"/>
  <c r="AJ459" i="2" s="1"/>
  <c r="AI460" i="2"/>
  <c r="AJ460" i="2" s="1"/>
  <c r="AI461" i="2"/>
  <c r="AJ461" i="2" s="1"/>
  <c r="AI462" i="2"/>
  <c r="AJ462" i="2" s="1"/>
  <c r="AI463" i="2"/>
  <c r="AJ463" i="2" s="1"/>
  <c r="AI464" i="2"/>
  <c r="AJ464" i="2" s="1"/>
  <c r="AI465" i="2"/>
  <c r="AJ465" i="2" s="1"/>
  <c r="AI466" i="2"/>
  <c r="AJ466" i="2" s="1"/>
  <c r="AI467" i="2"/>
  <c r="AJ467" i="2" s="1"/>
  <c r="AI468" i="2"/>
  <c r="AJ468" i="2" s="1"/>
  <c r="AI469" i="2"/>
  <c r="AJ469" i="2" s="1"/>
  <c r="AI470" i="2"/>
  <c r="AJ470" i="2" s="1"/>
  <c r="AI471" i="2"/>
  <c r="AJ471" i="2" s="1"/>
  <c r="AI472" i="2"/>
  <c r="AJ472" i="2" s="1"/>
  <c r="AI473" i="2"/>
  <c r="AI474" i="2"/>
  <c r="AJ474" i="2" s="1"/>
  <c r="AI475" i="2"/>
  <c r="AI476" i="2"/>
  <c r="AJ476" i="2" s="1"/>
  <c r="AI477" i="2"/>
  <c r="AI478" i="2"/>
  <c r="AJ478" i="2" s="1"/>
  <c r="AI479" i="2"/>
  <c r="AJ479" i="2" s="1"/>
  <c r="AI480" i="2"/>
  <c r="AJ480" i="2" s="1"/>
  <c r="AI481" i="2"/>
  <c r="AJ481" i="2" s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E2" i="2"/>
  <c r="AF2" i="2" s="1"/>
  <c r="AE3" i="2"/>
  <c r="AF3" i="2" s="1"/>
  <c r="AE4" i="2"/>
  <c r="AF4" i="2" s="1"/>
  <c r="AE5" i="2"/>
  <c r="AF5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F14" i="2" s="1"/>
  <c r="AE15" i="2"/>
  <c r="AF15" i="2" s="1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2" i="2"/>
  <c r="AF32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53" i="2"/>
  <c r="AF53" i="2" s="1"/>
  <c r="AE54" i="2"/>
  <c r="AF54" i="2" s="1"/>
  <c r="AE55" i="2"/>
  <c r="AF55" i="2" s="1"/>
  <c r="AE56" i="2"/>
  <c r="AF56" i="2" s="1"/>
  <c r="AE57" i="2"/>
  <c r="AF57" i="2" s="1"/>
  <c r="AE58" i="2"/>
  <c r="AF58" i="2" s="1"/>
  <c r="AE59" i="2"/>
  <c r="AF59" i="2" s="1"/>
  <c r="AE60" i="2"/>
  <c r="AF60" i="2" s="1"/>
  <c r="AE61" i="2"/>
  <c r="AF61" i="2" s="1"/>
  <c r="AE62" i="2"/>
  <c r="AF62" i="2" s="1"/>
  <c r="AE63" i="2"/>
  <c r="AF63" i="2" s="1"/>
  <c r="AE64" i="2"/>
  <c r="AF64" i="2" s="1"/>
  <c r="AE65" i="2"/>
  <c r="AF65" i="2" s="1"/>
  <c r="AE66" i="2"/>
  <c r="AF66" i="2" s="1"/>
  <c r="AE67" i="2"/>
  <c r="AF67" i="2" s="1"/>
  <c r="AE68" i="2"/>
  <c r="AF68" i="2" s="1"/>
  <c r="AE69" i="2"/>
  <c r="AF69" i="2" s="1"/>
  <c r="AE70" i="2"/>
  <c r="AF70" i="2" s="1"/>
  <c r="AE71" i="2"/>
  <c r="AF71" i="2" s="1"/>
  <c r="AE72" i="2"/>
  <c r="AF72" i="2" s="1"/>
  <c r="AE73" i="2"/>
  <c r="AF73" i="2" s="1"/>
  <c r="AE74" i="2"/>
  <c r="AF74" i="2" s="1"/>
  <c r="AE75" i="2"/>
  <c r="AF75" i="2" s="1"/>
  <c r="AE76" i="2"/>
  <c r="AF76" i="2" s="1"/>
  <c r="AE77" i="2"/>
  <c r="AF77" i="2" s="1"/>
  <c r="AE78" i="2"/>
  <c r="AF78" i="2" s="1"/>
  <c r="AE79" i="2"/>
  <c r="AF79" i="2" s="1"/>
  <c r="AE80" i="2"/>
  <c r="AF80" i="2" s="1"/>
  <c r="AE81" i="2"/>
  <c r="AF81" i="2" s="1"/>
  <c r="AE82" i="2"/>
  <c r="AF82" i="2" s="1"/>
  <c r="AE83" i="2"/>
  <c r="AF83" i="2" s="1"/>
  <c r="AE84" i="2"/>
  <c r="AF84" i="2" s="1"/>
  <c r="AE85" i="2"/>
  <c r="AF85" i="2" s="1"/>
  <c r="AE86" i="2"/>
  <c r="AF86" i="2" s="1"/>
  <c r="AE87" i="2"/>
  <c r="AF87" i="2" s="1"/>
  <c r="AE88" i="2"/>
  <c r="AF88" i="2" s="1"/>
  <c r="AE89" i="2"/>
  <c r="AF89" i="2" s="1"/>
  <c r="AE90" i="2"/>
  <c r="AF90" i="2" s="1"/>
  <c r="AE91" i="2"/>
  <c r="AF91" i="2" s="1"/>
  <c r="AE92" i="2"/>
  <c r="AF92" i="2" s="1"/>
  <c r="AE93" i="2"/>
  <c r="AF93" i="2" s="1"/>
  <c r="AE94" i="2"/>
  <c r="AF94" i="2" s="1"/>
  <c r="AE95" i="2"/>
  <c r="AF95" i="2" s="1"/>
  <c r="AE96" i="2"/>
  <c r="AF96" i="2" s="1"/>
  <c r="AE97" i="2"/>
  <c r="AF97" i="2" s="1"/>
  <c r="AE98" i="2"/>
  <c r="AF98" i="2" s="1"/>
  <c r="AE99" i="2"/>
  <c r="AF99" i="2" s="1"/>
  <c r="AE100" i="2"/>
  <c r="AF100" i="2" s="1"/>
  <c r="AE101" i="2"/>
  <c r="AF101" i="2" s="1"/>
  <c r="AE102" i="2"/>
  <c r="AF102" i="2" s="1"/>
  <c r="AE103" i="2"/>
  <c r="AF103" i="2" s="1"/>
  <c r="AE104" i="2"/>
  <c r="AF104" i="2" s="1"/>
  <c r="AE105" i="2"/>
  <c r="AF105" i="2" s="1"/>
  <c r="AE106" i="2"/>
  <c r="AF106" i="2" s="1"/>
  <c r="AE107" i="2"/>
  <c r="AF107" i="2" s="1"/>
  <c r="AE108" i="2"/>
  <c r="AF108" i="2" s="1"/>
  <c r="AE109" i="2"/>
  <c r="AF109" i="2" s="1"/>
  <c r="AE110" i="2"/>
  <c r="AF110" i="2" s="1"/>
  <c r="AE111" i="2"/>
  <c r="AF111" i="2" s="1"/>
  <c r="AE112" i="2"/>
  <c r="AF112" i="2" s="1"/>
  <c r="AE113" i="2"/>
  <c r="AF113" i="2" s="1"/>
  <c r="AE114" i="2"/>
  <c r="AF114" i="2" s="1"/>
  <c r="AE115" i="2"/>
  <c r="AF115" i="2" s="1"/>
  <c r="AE116" i="2"/>
  <c r="AF116" i="2" s="1"/>
  <c r="AE117" i="2"/>
  <c r="AF117" i="2" s="1"/>
  <c r="AE118" i="2"/>
  <c r="AF118" i="2" s="1"/>
  <c r="AE119" i="2"/>
  <c r="AF119" i="2" s="1"/>
  <c r="AE120" i="2"/>
  <c r="AF120" i="2" s="1"/>
  <c r="AE121" i="2"/>
  <c r="AF121" i="2" s="1"/>
  <c r="AE122" i="2"/>
  <c r="AF122" i="2" s="1"/>
  <c r="AE123" i="2"/>
  <c r="AF123" i="2" s="1"/>
  <c r="AE124" i="2"/>
  <c r="AF124" i="2" s="1"/>
  <c r="AE125" i="2"/>
  <c r="AF125" i="2" s="1"/>
  <c r="AE126" i="2"/>
  <c r="AF126" i="2" s="1"/>
  <c r="AE127" i="2"/>
  <c r="AF127" i="2" s="1"/>
  <c r="AE128" i="2"/>
  <c r="AF128" i="2" s="1"/>
  <c r="AE129" i="2"/>
  <c r="AF129" i="2" s="1"/>
  <c r="AE130" i="2"/>
  <c r="AF130" i="2" s="1"/>
  <c r="AE131" i="2"/>
  <c r="AF131" i="2" s="1"/>
  <c r="AE132" i="2"/>
  <c r="AF132" i="2" s="1"/>
  <c r="AE133" i="2"/>
  <c r="AF133" i="2" s="1"/>
  <c r="AE134" i="2"/>
  <c r="AF134" i="2" s="1"/>
  <c r="AE135" i="2"/>
  <c r="AF135" i="2" s="1"/>
  <c r="AE136" i="2"/>
  <c r="AF136" i="2" s="1"/>
  <c r="AE137" i="2"/>
  <c r="AF137" i="2" s="1"/>
  <c r="AE138" i="2"/>
  <c r="AF138" i="2" s="1"/>
  <c r="AE139" i="2"/>
  <c r="AF139" i="2" s="1"/>
  <c r="AE140" i="2"/>
  <c r="AF140" i="2" s="1"/>
  <c r="AE141" i="2"/>
  <c r="AF141" i="2" s="1"/>
  <c r="AE142" i="2"/>
  <c r="AF142" i="2" s="1"/>
  <c r="AE143" i="2"/>
  <c r="AF143" i="2" s="1"/>
  <c r="AE144" i="2"/>
  <c r="AF144" i="2" s="1"/>
  <c r="AE145" i="2"/>
  <c r="AF145" i="2" s="1"/>
  <c r="AE146" i="2"/>
  <c r="AF146" i="2" s="1"/>
  <c r="AE147" i="2"/>
  <c r="AF147" i="2" s="1"/>
  <c r="AE148" i="2"/>
  <c r="AF148" i="2" s="1"/>
  <c r="AE149" i="2"/>
  <c r="AF149" i="2" s="1"/>
  <c r="AE150" i="2"/>
  <c r="AF150" i="2" s="1"/>
  <c r="AE151" i="2"/>
  <c r="AF151" i="2" s="1"/>
  <c r="AE152" i="2"/>
  <c r="AF152" i="2" s="1"/>
  <c r="AE153" i="2"/>
  <c r="AF153" i="2" s="1"/>
  <c r="AE154" i="2"/>
  <c r="AF154" i="2" s="1"/>
  <c r="AE155" i="2"/>
  <c r="AF155" i="2" s="1"/>
  <c r="AE156" i="2"/>
  <c r="AF156" i="2" s="1"/>
  <c r="AE157" i="2"/>
  <c r="AF157" i="2" s="1"/>
  <c r="AE158" i="2"/>
  <c r="AF158" i="2" s="1"/>
  <c r="AE159" i="2"/>
  <c r="AF159" i="2" s="1"/>
  <c r="AE160" i="2"/>
  <c r="AF160" i="2" s="1"/>
  <c r="AE161" i="2"/>
  <c r="AF161" i="2" s="1"/>
  <c r="AE162" i="2"/>
  <c r="AF162" i="2" s="1"/>
  <c r="AE163" i="2"/>
  <c r="AF163" i="2" s="1"/>
  <c r="AE164" i="2"/>
  <c r="AF164" i="2" s="1"/>
  <c r="AE165" i="2"/>
  <c r="AF165" i="2" s="1"/>
  <c r="AE166" i="2"/>
  <c r="AF166" i="2" s="1"/>
  <c r="AE167" i="2"/>
  <c r="AF167" i="2" s="1"/>
  <c r="AE168" i="2"/>
  <c r="AF168" i="2" s="1"/>
  <c r="AE169" i="2"/>
  <c r="AF169" i="2" s="1"/>
  <c r="AE170" i="2"/>
  <c r="AF170" i="2" s="1"/>
  <c r="AE171" i="2"/>
  <c r="AF171" i="2" s="1"/>
  <c r="AE172" i="2"/>
  <c r="AF172" i="2" s="1"/>
  <c r="AE173" i="2"/>
  <c r="AF173" i="2" s="1"/>
  <c r="AE174" i="2"/>
  <c r="AF174" i="2" s="1"/>
  <c r="AE175" i="2"/>
  <c r="AF175" i="2" s="1"/>
  <c r="AE176" i="2"/>
  <c r="AF176" i="2" s="1"/>
  <c r="AE177" i="2"/>
  <c r="AF177" i="2" s="1"/>
  <c r="AE178" i="2"/>
  <c r="AF178" i="2" s="1"/>
  <c r="AE179" i="2"/>
  <c r="AF179" i="2" s="1"/>
  <c r="AE180" i="2"/>
  <c r="AF180" i="2" s="1"/>
  <c r="AE181" i="2"/>
  <c r="AF181" i="2" s="1"/>
  <c r="AE182" i="2"/>
  <c r="AF182" i="2" s="1"/>
  <c r="AE183" i="2"/>
  <c r="AF183" i="2" s="1"/>
  <c r="AE184" i="2"/>
  <c r="AF184" i="2" s="1"/>
  <c r="AE185" i="2"/>
  <c r="AF185" i="2" s="1"/>
  <c r="AE186" i="2"/>
  <c r="AF186" i="2" s="1"/>
  <c r="AE187" i="2"/>
  <c r="AF187" i="2" s="1"/>
  <c r="AE188" i="2"/>
  <c r="AF188" i="2" s="1"/>
  <c r="AE189" i="2"/>
  <c r="AF189" i="2" s="1"/>
  <c r="AE190" i="2"/>
  <c r="AF190" i="2" s="1"/>
  <c r="AE191" i="2"/>
  <c r="AF191" i="2" s="1"/>
  <c r="AE192" i="2"/>
  <c r="AF192" i="2" s="1"/>
  <c r="AE193" i="2"/>
  <c r="AF193" i="2" s="1"/>
  <c r="AE194" i="2"/>
  <c r="AF194" i="2" s="1"/>
  <c r="AE195" i="2"/>
  <c r="AF195" i="2" s="1"/>
  <c r="AE196" i="2"/>
  <c r="AF196" i="2" s="1"/>
  <c r="AE197" i="2"/>
  <c r="AF197" i="2" s="1"/>
  <c r="AE198" i="2"/>
  <c r="AF198" i="2" s="1"/>
  <c r="AE199" i="2"/>
  <c r="AF199" i="2" s="1"/>
  <c r="AE200" i="2"/>
  <c r="AF200" i="2" s="1"/>
  <c r="AE201" i="2"/>
  <c r="AF201" i="2" s="1"/>
  <c r="AE202" i="2"/>
  <c r="AF202" i="2" s="1"/>
  <c r="AE203" i="2"/>
  <c r="AF203" i="2" s="1"/>
  <c r="AE204" i="2"/>
  <c r="AF204" i="2" s="1"/>
  <c r="AE205" i="2"/>
  <c r="AF205" i="2" s="1"/>
  <c r="AE206" i="2"/>
  <c r="AF206" i="2" s="1"/>
  <c r="AE207" i="2"/>
  <c r="AF207" i="2" s="1"/>
  <c r="AE208" i="2"/>
  <c r="AF208" i="2" s="1"/>
  <c r="AE209" i="2"/>
  <c r="AF209" i="2" s="1"/>
  <c r="AE210" i="2"/>
  <c r="AF210" i="2" s="1"/>
  <c r="AE211" i="2"/>
  <c r="AF211" i="2" s="1"/>
  <c r="AE212" i="2"/>
  <c r="AF212" i="2" s="1"/>
  <c r="AE213" i="2"/>
  <c r="AF213" i="2" s="1"/>
  <c r="AE214" i="2"/>
  <c r="AF214" i="2" s="1"/>
  <c r="AE215" i="2"/>
  <c r="AF215" i="2" s="1"/>
  <c r="AE216" i="2"/>
  <c r="AF216" i="2" s="1"/>
  <c r="AE217" i="2"/>
  <c r="AF217" i="2" s="1"/>
  <c r="AE218" i="2"/>
  <c r="AF218" i="2" s="1"/>
  <c r="AE219" i="2"/>
  <c r="AF219" i="2" s="1"/>
  <c r="AE220" i="2"/>
  <c r="AF220" i="2" s="1"/>
  <c r="AE221" i="2"/>
  <c r="AF221" i="2" s="1"/>
  <c r="AE222" i="2"/>
  <c r="AF222" i="2" s="1"/>
  <c r="AE223" i="2"/>
  <c r="AF223" i="2" s="1"/>
  <c r="AE224" i="2"/>
  <c r="AF224" i="2" s="1"/>
  <c r="AE225" i="2"/>
  <c r="AF225" i="2" s="1"/>
  <c r="AE226" i="2"/>
  <c r="AF226" i="2" s="1"/>
  <c r="AE227" i="2"/>
  <c r="AF227" i="2" s="1"/>
  <c r="AE228" i="2"/>
  <c r="AF228" i="2" s="1"/>
  <c r="AE229" i="2"/>
  <c r="AF229" i="2" s="1"/>
  <c r="AE230" i="2"/>
  <c r="AF230" i="2" s="1"/>
  <c r="AE231" i="2"/>
  <c r="AF231" i="2" s="1"/>
  <c r="AE232" i="2"/>
  <c r="AF232" i="2" s="1"/>
  <c r="AE233" i="2"/>
  <c r="AF233" i="2" s="1"/>
  <c r="AE234" i="2"/>
  <c r="AF234" i="2" s="1"/>
  <c r="AE235" i="2"/>
  <c r="AF235" i="2" s="1"/>
  <c r="AE236" i="2"/>
  <c r="AF236" i="2" s="1"/>
  <c r="AE237" i="2"/>
  <c r="AF237" i="2" s="1"/>
  <c r="AE238" i="2"/>
  <c r="AF238" i="2" s="1"/>
  <c r="AE239" i="2"/>
  <c r="AF239" i="2" s="1"/>
  <c r="AE240" i="2"/>
  <c r="AF240" i="2" s="1"/>
  <c r="AE241" i="2"/>
  <c r="AF241" i="2" s="1"/>
  <c r="AE242" i="2"/>
  <c r="AF242" i="2" s="1"/>
  <c r="AE243" i="2"/>
  <c r="AF243" i="2" s="1"/>
  <c r="AE244" i="2"/>
  <c r="AF244" i="2" s="1"/>
  <c r="AE245" i="2"/>
  <c r="AF245" i="2" s="1"/>
  <c r="AE246" i="2"/>
  <c r="AF246" i="2" s="1"/>
  <c r="AE247" i="2"/>
  <c r="AF247" i="2" s="1"/>
  <c r="AE248" i="2"/>
  <c r="AF248" i="2" s="1"/>
  <c r="AE249" i="2"/>
  <c r="AF249" i="2" s="1"/>
  <c r="AE250" i="2"/>
  <c r="AF250" i="2" s="1"/>
  <c r="AE251" i="2"/>
  <c r="AF251" i="2" s="1"/>
  <c r="AE252" i="2"/>
  <c r="AF252" i="2" s="1"/>
  <c r="AE253" i="2"/>
  <c r="AF253" i="2" s="1"/>
  <c r="AE254" i="2"/>
  <c r="AF254" i="2" s="1"/>
  <c r="AE255" i="2"/>
  <c r="AF255" i="2" s="1"/>
  <c r="AE256" i="2"/>
  <c r="AF256" i="2" s="1"/>
  <c r="AE257" i="2"/>
  <c r="AF257" i="2" s="1"/>
  <c r="AE258" i="2"/>
  <c r="AF258" i="2" s="1"/>
  <c r="AE259" i="2"/>
  <c r="AF259" i="2" s="1"/>
  <c r="AE260" i="2"/>
  <c r="AF260" i="2" s="1"/>
  <c r="AE261" i="2"/>
  <c r="AF261" i="2" s="1"/>
  <c r="AE262" i="2"/>
  <c r="AF262" i="2" s="1"/>
  <c r="AE263" i="2"/>
  <c r="AF263" i="2" s="1"/>
  <c r="AE264" i="2"/>
  <c r="AF264" i="2" s="1"/>
  <c r="AE265" i="2"/>
  <c r="AF265" i="2" s="1"/>
  <c r="AE266" i="2"/>
  <c r="AF266" i="2" s="1"/>
  <c r="AE267" i="2"/>
  <c r="AF267" i="2" s="1"/>
  <c r="AE268" i="2"/>
  <c r="AF268" i="2" s="1"/>
  <c r="AE269" i="2"/>
  <c r="AF269" i="2" s="1"/>
  <c r="AE270" i="2"/>
  <c r="AF270" i="2" s="1"/>
  <c r="AE271" i="2"/>
  <c r="AF271" i="2" s="1"/>
  <c r="AE272" i="2"/>
  <c r="AF272" i="2" s="1"/>
  <c r="AE273" i="2"/>
  <c r="AF273" i="2" s="1"/>
  <c r="AE274" i="2"/>
  <c r="AF274" i="2" s="1"/>
  <c r="AE275" i="2"/>
  <c r="AF275" i="2" s="1"/>
  <c r="AE276" i="2"/>
  <c r="AF276" i="2" s="1"/>
  <c r="AE277" i="2"/>
  <c r="AF277" i="2" s="1"/>
  <c r="AE278" i="2"/>
  <c r="AF278" i="2" s="1"/>
  <c r="AE279" i="2"/>
  <c r="AF279" i="2" s="1"/>
  <c r="AE280" i="2"/>
  <c r="AF280" i="2" s="1"/>
  <c r="AE281" i="2"/>
  <c r="AF281" i="2" s="1"/>
  <c r="AE282" i="2"/>
  <c r="AF282" i="2" s="1"/>
  <c r="AE283" i="2"/>
  <c r="AF283" i="2" s="1"/>
  <c r="AE284" i="2"/>
  <c r="AF284" i="2" s="1"/>
  <c r="AE285" i="2"/>
  <c r="AF285" i="2" s="1"/>
  <c r="AE286" i="2"/>
  <c r="AF286" i="2" s="1"/>
  <c r="AE287" i="2"/>
  <c r="AF287" i="2" s="1"/>
  <c r="AE288" i="2"/>
  <c r="AF288" i="2" s="1"/>
  <c r="AE289" i="2"/>
  <c r="AF289" i="2" s="1"/>
  <c r="AE290" i="2"/>
  <c r="AF290" i="2" s="1"/>
  <c r="AE291" i="2"/>
  <c r="AF291" i="2" s="1"/>
  <c r="AE292" i="2"/>
  <c r="AF292" i="2" s="1"/>
  <c r="AE293" i="2"/>
  <c r="AF293" i="2" s="1"/>
  <c r="AE294" i="2"/>
  <c r="AF294" i="2" s="1"/>
  <c r="AE295" i="2"/>
  <c r="AF295" i="2" s="1"/>
  <c r="AE296" i="2"/>
  <c r="AF296" i="2" s="1"/>
  <c r="AE297" i="2"/>
  <c r="AF297" i="2" s="1"/>
  <c r="AE298" i="2"/>
  <c r="AF298" i="2" s="1"/>
  <c r="AE299" i="2"/>
  <c r="AF299" i="2" s="1"/>
  <c r="AE300" i="2"/>
  <c r="AF300" i="2" s="1"/>
  <c r="AE301" i="2"/>
  <c r="AF301" i="2" s="1"/>
  <c r="AE302" i="2"/>
  <c r="AF302" i="2" s="1"/>
  <c r="AE303" i="2"/>
  <c r="AF303" i="2" s="1"/>
  <c r="AE304" i="2"/>
  <c r="AF304" i="2" s="1"/>
  <c r="AE305" i="2"/>
  <c r="AF305" i="2" s="1"/>
  <c r="AE306" i="2"/>
  <c r="AF306" i="2" s="1"/>
  <c r="AE307" i="2"/>
  <c r="AF307" i="2" s="1"/>
  <c r="AE308" i="2"/>
  <c r="AF308" i="2" s="1"/>
  <c r="AE309" i="2"/>
  <c r="AF309" i="2" s="1"/>
  <c r="AE310" i="2"/>
  <c r="AF310" i="2" s="1"/>
  <c r="AE311" i="2"/>
  <c r="AF311" i="2" s="1"/>
  <c r="AE312" i="2"/>
  <c r="AF312" i="2" s="1"/>
  <c r="AE313" i="2"/>
  <c r="AF313" i="2" s="1"/>
  <c r="AE314" i="2"/>
  <c r="AF314" i="2" s="1"/>
  <c r="AE315" i="2"/>
  <c r="AF315" i="2" s="1"/>
  <c r="AE316" i="2"/>
  <c r="AF316" i="2" s="1"/>
  <c r="AE317" i="2"/>
  <c r="AF317" i="2" s="1"/>
  <c r="AE318" i="2"/>
  <c r="AF318" i="2" s="1"/>
  <c r="AE319" i="2"/>
  <c r="AF319" i="2" s="1"/>
  <c r="AE320" i="2"/>
  <c r="AF320" i="2" s="1"/>
  <c r="AE321" i="2"/>
  <c r="AF321" i="2" s="1"/>
  <c r="AE322" i="2"/>
  <c r="AF322" i="2" s="1"/>
  <c r="AE323" i="2"/>
  <c r="AF323" i="2" s="1"/>
  <c r="AE324" i="2"/>
  <c r="AF324" i="2" s="1"/>
  <c r="AE325" i="2"/>
  <c r="AF325" i="2" s="1"/>
  <c r="AE326" i="2"/>
  <c r="AF326" i="2" s="1"/>
  <c r="AE327" i="2"/>
  <c r="AF327" i="2" s="1"/>
  <c r="AE328" i="2"/>
  <c r="AF328" i="2" s="1"/>
  <c r="AE329" i="2"/>
  <c r="AF329" i="2" s="1"/>
  <c r="AE330" i="2"/>
  <c r="AF330" i="2" s="1"/>
  <c r="AE331" i="2"/>
  <c r="AF331" i="2" s="1"/>
  <c r="AE332" i="2"/>
  <c r="AF332" i="2" s="1"/>
  <c r="AE333" i="2"/>
  <c r="AF333" i="2" s="1"/>
  <c r="AE334" i="2"/>
  <c r="AF334" i="2" s="1"/>
  <c r="AE335" i="2"/>
  <c r="AF335" i="2" s="1"/>
  <c r="AE336" i="2"/>
  <c r="AF336" i="2" s="1"/>
  <c r="AE337" i="2"/>
  <c r="AF337" i="2" s="1"/>
  <c r="AE338" i="2"/>
  <c r="AF338" i="2" s="1"/>
  <c r="AE339" i="2"/>
  <c r="AF339" i="2" s="1"/>
  <c r="AE340" i="2"/>
  <c r="AF340" i="2" s="1"/>
  <c r="AE341" i="2"/>
  <c r="AF341" i="2" s="1"/>
  <c r="AE342" i="2"/>
  <c r="AF342" i="2" s="1"/>
  <c r="AE343" i="2"/>
  <c r="AF343" i="2" s="1"/>
  <c r="AE344" i="2"/>
  <c r="AF344" i="2" s="1"/>
  <c r="AE345" i="2"/>
  <c r="AF345" i="2" s="1"/>
  <c r="AE346" i="2"/>
  <c r="AF346" i="2" s="1"/>
  <c r="AE347" i="2"/>
  <c r="AF347" i="2" s="1"/>
  <c r="AE348" i="2"/>
  <c r="AF348" i="2" s="1"/>
  <c r="AE349" i="2"/>
  <c r="AF349" i="2" s="1"/>
  <c r="AE350" i="2"/>
  <c r="AF350" i="2" s="1"/>
  <c r="AE351" i="2"/>
  <c r="AF351" i="2" s="1"/>
  <c r="AE352" i="2"/>
  <c r="AF352" i="2" s="1"/>
  <c r="AE353" i="2"/>
  <c r="AF353" i="2" s="1"/>
  <c r="AE354" i="2"/>
  <c r="AF354" i="2" s="1"/>
  <c r="AE355" i="2"/>
  <c r="AF355" i="2" s="1"/>
  <c r="AE356" i="2"/>
  <c r="AF356" i="2" s="1"/>
  <c r="AE357" i="2"/>
  <c r="AF357" i="2" s="1"/>
  <c r="AE358" i="2"/>
  <c r="AF358" i="2" s="1"/>
  <c r="AE359" i="2"/>
  <c r="AF359" i="2" s="1"/>
  <c r="AE360" i="2"/>
  <c r="AF360" i="2" s="1"/>
  <c r="AE361" i="2"/>
  <c r="AF361" i="2" s="1"/>
  <c r="AE362" i="2"/>
  <c r="AF362" i="2" s="1"/>
  <c r="AE363" i="2"/>
  <c r="AF363" i="2" s="1"/>
  <c r="AE364" i="2"/>
  <c r="AF364" i="2" s="1"/>
  <c r="AE365" i="2"/>
  <c r="AF365" i="2" s="1"/>
  <c r="AE366" i="2"/>
  <c r="AF366" i="2" s="1"/>
  <c r="AE367" i="2"/>
  <c r="AF367" i="2" s="1"/>
  <c r="AE368" i="2"/>
  <c r="AF368" i="2" s="1"/>
  <c r="AE369" i="2"/>
  <c r="AF369" i="2" s="1"/>
  <c r="AE370" i="2"/>
  <c r="AF370" i="2" s="1"/>
  <c r="AE371" i="2"/>
  <c r="AF371" i="2" s="1"/>
  <c r="AE372" i="2"/>
  <c r="AF372" i="2" s="1"/>
  <c r="AE373" i="2"/>
  <c r="AF373" i="2" s="1"/>
  <c r="AE374" i="2"/>
  <c r="AF374" i="2" s="1"/>
  <c r="AE375" i="2"/>
  <c r="AF375" i="2" s="1"/>
  <c r="AE376" i="2"/>
  <c r="AF376" i="2" s="1"/>
  <c r="AE377" i="2"/>
  <c r="AF377" i="2" s="1"/>
  <c r="AE378" i="2"/>
  <c r="AF378" i="2" s="1"/>
  <c r="AE379" i="2"/>
  <c r="AF379" i="2" s="1"/>
  <c r="AE380" i="2"/>
  <c r="AF380" i="2" s="1"/>
  <c r="AE381" i="2"/>
  <c r="AF381" i="2" s="1"/>
  <c r="AE382" i="2"/>
  <c r="AF382" i="2" s="1"/>
  <c r="AE383" i="2"/>
  <c r="AF383" i="2" s="1"/>
  <c r="AE384" i="2"/>
  <c r="AF384" i="2" s="1"/>
  <c r="AE385" i="2"/>
  <c r="AF385" i="2" s="1"/>
  <c r="AE386" i="2"/>
  <c r="AF386" i="2" s="1"/>
  <c r="AE387" i="2"/>
  <c r="AF387" i="2" s="1"/>
  <c r="AE388" i="2"/>
  <c r="AF388" i="2" s="1"/>
  <c r="AE389" i="2"/>
  <c r="AF389" i="2" s="1"/>
  <c r="AE390" i="2"/>
  <c r="AF390" i="2" s="1"/>
  <c r="AE391" i="2"/>
  <c r="AF391" i="2" s="1"/>
  <c r="AE392" i="2"/>
  <c r="AF392" i="2" s="1"/>
  <c r="AE393" i="2"/>
  <c r="AF393" i="2" s="1"/>
  <c r="AE394" i="2"/>
  <c r="AF394" i="2" s="1"/>
  <c r="AE395" i="2"/>
  <c r="AF395" i="2" s="1"/>
  <c r="AE396" i="2"/>
  <c r="AF396" i="2" s="1"/>
  <c r="AE397" i="2"/>
  <c r="AF397" i="2" s="1"/>
  <c r="AE398" i="2"/>
  <c r="AF398" i="2" s="1"/>
  <c r="AE399" i="2"/>
  <c r="AF399" i="2" s="1"/>
  <c r="AE400" i="2"/>
  <c r="AF400" i="2" s="1"/>
  <c r="AE401" i="2"/>
  <c r="AF401" i="2" s="1"/>
  <c r="AE402" i="2"/>
  <c r="AF402" i="2" s="1"/>
  <c r="AE403" i="2"/>
  <c r="AF403" i="2" s="1"/>
  <c r="AE404" i="2"/>
  <c r="AF404" i="2" s="1"/>
  <c r="AE405" i="2"/>
  <c r="AF405" i="2" s="1"/>
  <c r="AE406" i="2"/>
  <c r="AF406" i="2" s="1"/>
  <c r="AE407" i="2"/>
  <c r="AF407" i="2" s="1"/>
  <c r="AE408" i="2"/>
  <c r="AF408" i="2" s="1"/>
  <c r="AE409" i="2"/>
  <c r="AF409" i="2" s="1"/>
  <c r="AE410" i="2"/>
  <c r="AF410" i="2" s="1"/>
  <c r="AE411" i="2"/>
  <c r="AF411" i="2" s="1"/>
  <c r="AE412" i="2"/>
  <c r="AF412" i="2" s="1"/>
  <c r="AE413" i="2"/>
  <c r="AF413" i="2" s="1"/>
  <c r="AE414" i="2"/>
  <c r="AF414" i="2" s="1"/>
  <c r="AE415" i="2"/>
  <c r="AF415" i="2" s="1"/>
  <c r="AE416" i="2"/>
  <c r="AF416" i="2" s="1"/>
  <c r="AE417" i="2"/>
  <c r="AF417" i="2" s="1"/>
  <c r="AE418" i="2"/>
  <c r="AF418" i="2" s="1"/>
  <c r="AE419" i="2"/>
  <c r="AF419" i="2" s="1"/>
  <c r="AE420" i="2"/>
  <c r="AF420" i="2" s="1"/>
  <c r="AE421" i="2"/>
  <c r="AF421" i="2" s="1"/>
  <c r="AE422" i="2"/>
  <c r="AF422" i="2" s="1"/>
  <c r="AE423" i="2"/>
  <c r="AF423" i="2" s="1"/>
  <c r="AE424" i="2"/>
  <c r="AF424" i="2" s="1"/>
  <c r="AE425" i="2"/>
  <c r="AF425" i="2" s="1"/>
  <c r="AE426" i="2"/>
  <c r="AF426" i="2" s="1"/>
  <c r="AE427" i="2"/>
  <c r="AF427" i="2" s="1"/>
  <c r="AE428" i="2"/>
  <c r="AF428" i="2" s="1"/>
  <c r="AE429" i="2"/>
  <c r="AF429" i="2" s="1"/>
  <c r="AE430" i="2"/>
  <c r="AF430" i="2" s="1"/>
  <c r="AE431" i="2"/>
  <c r="AF431" i="2" s="1"/>
  <c r="AE432" i="2"/>
  <c r="AF432" i="2" s="1"/>
  <c r="AE433" i="2"/>
  <c r="AF433" i="2" s="1"/>
  <c r="AE434" i="2"/>
  <c r="AF434" i="2" s="1"/>
  <c r="AE435" i="2"/>
  <c r="AF435" i="2" s="1"/>
  <c r="AE436" i="2"/>
  <c r="AF436" i="2" s="1"/>
  <c r="AE437" i="2"/>
  <c r="AF437" i="2" s="1"/>
  <c r="AE438" i="2"/>
  <c r="AF438" i="2" s="1"/>
  <c r="AE439" i="2"/>
  <c r="AF439" i="2" s="1"/>
  <c r="AE440" i="2"/>
  <c r="AF440" i="2" s="1"/>
  <c r="AE441" i="2"/>
  <c r="AF441" i="2" s="1"/>
  <c r="AE442" i="2"/>
  <c r="AF442" i="2" s="1"/>
  <c r="AE443" i="2"/>
  <c r="AF443" i="2" s="1"/>
  <c r="AE444" i="2"/>
  <c r="AF444" i="2" s="1"/>
  <c r="AE445" i="2"/>
  <c r="AF445" i="2" s="1"/>
  <c r="AE446" i="2"/>
  <c r="AF446" i="2" s="1"/>
  <c r="AE447" i="2"/>
  <c r="AF447" i="2" s="1"/>
  <c r="AE448" i="2"/>
  <c r="AF448" i="2" s="1"/>
  <c r="AE449" i="2"/>
  <c r="AF449" i="2" s="1"/>
  <c r="AE450" i="2"/>
  <c r="AF450" i="2" s="1"/>
  <c r="AE451" i="2"/>
  <c r="AF451" i="2" s="1"/>
  <c r="AE452" i="2"/>
  <c r="AF452" i="2" s="1"/>
  <c r="AE453" i="2"/>
  <c r="AF453" i="2" s="1"/>
  <c r="AE454" i="2"/>
  <c r="AF454" i="2" s="1"/>
  <c r="AE455" i="2"/>
  <c r="AF455" i="2" s="1"/>
  <c r="AE456" i="2"/>
  <c r="AF456" i="2" s="1"/>
  <c r="AE457" i="2"/>
  <c r="AF457" i="2" s="1"/>
  <c r="AE458" i="2"/>
  <c r="AF458" i="2" s="1"/>
  <c r="AE459" i="2"/>
  <c r="AF459" i="2" s="1"/>
  <c r="AE460" i="2"/>
  <c r="AF460" i="2" s="1"/>
  <c r="AE461" i="2"/>
  <c r="AF461" i="2" s="1"/>
  <c r="AE462" i="2"/>
  <c r="AF462" i="2" s="1"/>
  <c r="AE463" i="2"/>
  <c r="AF463" i="2" s="1"/>
  <c r="AE464" i="2"/>
  <c r="AF464" i="2" s="1"/>
  <c r="AE465" i="2"/>
  <c r="AF465" i="2" s="1"/>
  <c r="AE466" i="2"/>
  <c r="AF466" i="2" s="1"/>
  <c r="AE467" i="2"/>
  <c r="AF467" i="2" s="1"/>
  <c r="AE468" i="2"/>
  <c r="AF468" i="2" s="1"/>
  <c r="AE469" i="2"/>
  <c r="AF469" i="2" s="1"/>
  <c r="AE470" i="2"/>
  <c r="AF470" i="2" s="1"/>
  <c r="AE471" i="2"/>
  <c r="AF471" i="2" s="1"/>
  <c r="AE472" i="2"/>
  <c r="AF472" i="2" s="1"/>
  <c r="AE473" i="2"/>
  <c r="AF473" i="2" s="1"/>
  <c r="AE474" i="2"/>
  <c r="AF474" i="2" s="1"/>
  <c r="AE475" i="2"/>
  <c r="AF475" i="2" s="1"/>
  <c r="AE476" i="2"/>
  <c r="AF476" i="2" s="1"/>
  <c r="AE477" i="2"/>
  <c r="AF477" i="2" s="1"/>
  <c r="AE478" i="2"/>
  <c r="AF478" i="2" s="1"/>
  <c r="AE479" i="2"/>
  <c r="AF479" i="2" s="1"/>
  <c r="AE480" i="2"/>
  <c r="AF480" i="2" s="1"/>
  <c r="AE481" i="2"/>
  <c r="AF481" i="2" s="1"/>
  <c r="AD2" i="2"/>
  <c r="B44" i="9" s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X2" i="2"/>
  <c r="J7" i="5" s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T2" i="2"/>
  <c r="U2" i="2" s="1"/>
  <c r="D31" i="3" s="1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123" i="2"/>
  <c r="U123" i="2" s="1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132" i="2"/>
  <c r="U132" i="2" s="1"/>
  <c r="T133" i="2"/>
  <c r="U133" i="2" s="1"/>
  <c r="T134" i="2"/>
  <c r="U134" i="2" s="1"/>
  <c r="T135" i="2"/>
  <c r="U135" i="2" s="1"/>
  <c r="T136" i="2"/>
  <c r="U136" i="2" s="1"/>
  <c r="T137" i="2"/>
  <c r="U137" i="2" s="1"/>
  <c r="T138" i="2"/>
  <c r="U138" i="2" s="1"/>
  <c r="T139" i="2"/>
  <c r="U139" i="2" s="1"/>
  <c r="T140" i="2"/>
  <c r="U140" i="2" s="1"/>
  <c r="T141" i="2"/>
  <c r="U141" i="2" s="1"/>
  <c r="T142" i="2"/>
  <c r="U142" i="2" s="1"/>
  <c r="T143" i="2"/>
  <c r="U143" i="2" s="1"/>
  <c r="T144" i="2"/>
  <c r="U144" i="2" s="1"/>
  <c r="T145" i="2"/>
  <c r="U145" i="2" s="1"/>
  <c r="T146" i="2"/>
  <c r="U146" i="2" s="1"/>
  <c r="T147" i="2"/>
  <c r="U147" i="2" s="1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4" i="2"/>
  <c r="U154" i="2" s="1"/>
  <c r="T155" i="2"/>
  <c r="U155" i="2" s="1"/>
  <c r="T156" i="2"/>
  <c r="U156" i="2" s="1"/>
  <c r="T157" i="2"/>
  <c r="U157" i="2" s="1"/>
  <c r="T158" i="2"/>
  <c r="U158" i="2" s="1"/>
  <c r="T159" i="2"/>
  <c r="U159" i="2" s="1"/>
  <c r="T160" i="2"/>
  <c r="U160" i="2" s="1"/>
  <c r="T161" i="2"/>
  <c r="U161" i="2" s="1"/>
  <c r="T162" i="2"/>
  <c r="U162" i="2" s="1"/>
  <c r="T163" i="2"/>
  <c r="U163" i="2" s="1"/>
  <c r="T164" i="2"/>
  <c r="U164" i="2" s="1"/>
  <c r="T165" i="2"/>
  <c r="U165" i="2" s="1"/>
  <c r="T166" i="2"/>
  <c r="U166" i="2" s="1"/>
  <c r="T167" i="2"/>
  <c r="U167" i="2" s="1"/>
  <c r="T168" i="2"/>
  <c r="U168" i="2" s="1"/>
  <c r="T169" i="2"/>
  <c r="U169" i="2" s="1"/>
  <c r="T170" i="2"/>
  <c r="U170" i="2" s="1"/>
  <c r="T171" i="2"/>
  <c r="U171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U177" i="2" s="1"/>
  <c r="T178" i="2"/>
  <c r="U178" i="2" s="1"/>
  <c r="T179" i="2"/>
  <c r="U179" i="2" s="1"/>
  <c r="T180" i="2"/>
  <c r="U180" i="2" s="1"/>
  <c r="T181" i="2"/>
  <c r="U181" i="2" s="1"/>
  <c r="T182" i="2"/>
  <c r="U182" i="2" s="1"/>
  <c r="T183" i="2"/>
  <c r="U183" i="2" s="1"/>
  <c r="T184" i="2"/>
  <c r="U184" i="2" s="1"/>
  <c r="T185" i="2"/>
  <c r="U185" i="2" s="1"/>
  <c r="T186" i="2"/>
  <c r="U186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7" i="2"/>
  <c r="U197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U206" i="2" s="1"/>
  <c r="T207" i="2"/>
  <c r="U207" i="2" s="1"/>
  <c r="T208" i="2"/>
  <c r="U208" i="2" s="1"/>
  <c r="T209" i="2"/>
  <c r="U209" i="2" s="1"/>
  <c r="T210" i="2"/>
  <c r="U210" i="2" s="1"/>
  <c r="T211" i="2"/>
  <c r="U211" i="2" s="1"/>
  <c r="T212" i="2"/>
  <c r="U212" i="2" s="1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U218" i="2" s="1"/>
  <c r="T219" i="2"/>
  <c r="U219" i="2" s="1"/>
  <c r="T220" i="2"/>
  <c r="U220" i="2" s="1"/>
  <c r="T221" i="2"/>
  <c r="U221" i="2" s="1"/>
  <c r="T222" i="2"/>
  <c r="U222" i="2" s="1"/>
  <c r="T223" i="2"/>
  <c r="U223" i="2" s="1"/>
  <c r="T224" i="2"/>
  <c r="U224" i="2" s="1"/>
  <c r="T225" i="2"/>
  <c r="U225" i="2" s="1"/>
  <c r="T226" i="2"/>
  <c r="U226" i="2" s="1"/>
  <c r="T227" i="2"/>
  <c r="U227" i="2" s="1"/>
  <c r="T228" i="2"/>
  <c r="U228" i="2" s="1"/>
  <c r="T229" i="2"/>
  <c r="U229" i="2" s="1"/>
  <c r="T230" i="2"/>
  <c r="U230" i="2" s="1"/>
  <c r="T231" i="2"/>
  <c r="U231" i="2" s="1"/>
  <c r="T232" i="2"/>
  <c r="U232" i="2" s="1"/>
  <c r="T233" i="2"/>
  <c r="U233" i="2" s="1"/>
  <c r="T234" i="2"/>
  <c r="U234" i="2" s="1"/>
  <c r="T235" i="2"/>
  <c r="U235" i="2" s="1"/>
  <c r="T236" i="2"/>
  <c r="U236" i="2" s="1"/>
  <c r="T237" i="2"/>
  <c r="U237" i="2" s="1"/>
  <c r="T238" i="2"/>
  <c r="U238" i="2" s="1"/>
  <c r="T239" i="2"/>
  <c r="U239" i="2" s="1"/>
  <c r="T240" i="2"/>
  <c r="U240" i="2" s="1"/>
  <c r="T241" i="2"/>
  <c r="U241" i="2" s="1"/>
  <c r="T242" i="2"/>
  <c r="U242" i="2" s="1"/>
  <c r="T243" i="2"/>
  <c r="U243" i="2" s="1"/>
  <c r="T244" i="2"/>
  <c r="U244" i="2" s="1"/>
  <c r="T245" i="2"/>
  <c r="U245" i="2" s="1"/>
  <c r="T246" i="2"/>
  <c r="U246" i="2" s="1"/>
  <c r="T247" i="2"/>
  <c r="U247" i="2" s="1"/>
  <c r="T248" i="2"/>
  <c r="U248" i="2" s="1"/>
  <c r="T249" i="2"/>
  <c r="U249" i="2" s="1"/>
  <c r="T250" i="2"/>
  <c r="U250" i="2" s="1"/>
  <c r="T251" i="2"/>
  <c r="U251" i="2" s="1"/>
  <c r="T252" i="2"/>
  <c r="U252" i="2" s="1"/>
  <c r="T253" i="2"/>
  <c r="U253" i="2" s="1"/>
  <c r="T254" i="2"/>
  <c r="U254" i="2" s="1"/>
  <c r="T255" i="2"/>
  <c r="U255" i="2" s="1"/>
  <c r="T256" i="2"/>
  <c r="U256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U267" i="2" s="1"/>
  <c r="T268" i="2"/>
  <c r="U268" i="2" s="1"/>
  <c r="T269" i="2"/>
  <c r="U269" i="2" s="1"/>
  <c r="T270" i="2"/>
  <c r="U270" i="2" s="1"/>
  <c r="T271" i="2"/>
  <c r="U271" i="2" s="1"/>
  <c r="T272" i="2"/>
  <c r="U272" i="2" s="1"/>
  <c r="T273" i="2"/>
  <c r="U273" i="2" s="1"/>
  <c r="T274" i="2"/>
  <c r="U274" i="2" s="1"/>
  <c r="T275" i="2"/>
  <c r="U275" i="2" s="1"/>
  <c r="T276" i="2"/>
  <c r="U276" i="2" s="1"/>
  <c r="T277" i="2"/>
  <c r="U277" i="2" s="1"/>
  <c r="T278" i="2"/>
  <c r="U278" i="2" s="1"/>
  <c r="T279" i="2"/>
  <c r="U279" i="2" s="1"/>
  <c r="T280" i="2"/>
  <c r="U280" i="2" s="1"/>
  <c r="T281" i="2"/>
  <c r="U281" i="2" s="1"/>
  <c r="T282" i="2"/>
  <c r="U282" i="2" s="1"/>
  <c r="T283" i="2"/>
  <c r="U283" i="2" s="1"/>
  <c r="T284" i="2"/>
  <c r="U284" i="2" s="1"/>
  <c r="T285" i="2"/>
  <c r="U285" i="2" s="1"/>
  <c r="T286" i="2"/>
  <c r="U286" i="2" s="1"/>
  <c r="T287" i="2"/>
  <c r="U287" i="2" s="1"/>
  <c r="T288" i="2"/>
  <c r="U288" i="2" s="1"/>
  <c r="T289" i="2"/>
  <c r="U289" i="2" s="1"/>
  <c r="T290" i="2"/>
  <c r="U290" i="2" s="1"/>
  <c r="T291" i="2"/>
  <c r="U291" i="2" s="1"/>
  <c r="T292" i="2"/>
  <c r="U292" i="2" s="1"/>
  <c r="T293" i="2"/>
  <c r="U293" i="2" s="1"/>
  <c r="T294" i="2"/>
  <c r="U294" i="2" s="1"/>
  <c r="T295" i="2"/>
  <c r="U295" i="2" s="1"/>
  <c r="T296" i="2"/>
  <c r="U296" i="2" s="1"/>
  <c r="T297" i="2"/>
  <c r="U297" i="2" s="1"/>
  <c r="T298" i="2"/>
  <c r="U298" i="2" s="1"/>
  <c r="T299" i="2"/>
  <c r="U299" i="2" s="1"/>
  <c r="T300" i="2"/>
  <c r="U300" i="2" s="1"/>
  <c r="T301" i="2"/>
  <c r="U301" i="2" s="1"/>
  <c r="T302" i="2"/>
  <c r="U302" i="2" s="1"/>
  <c r="T303" i="2"/>
  <c r="U303" i="2" s="1"/>
  <c r="T304" i="2"/>
  <c r="U304" i="2" s="1"/>
  <c r="T305" i="2"/>
  <c r="U305" i="2" s="1"/>
  <c r="T306" i="2"/>
  <c r="U306" i="2" s="1"/>
  <c r="T307" i="2"/>
  <c r="U307" i="2" s="1"/>
  <c r="T308" i="2"/>
  <c r="U308" i="2" s="1"/>
  <c r="T309" i="2"/>
  <c r="U309" i="2" s="1"/>
  <c r="T310" i="2"/>
  <c r="U310" i="2" s="1"/>
  <c r="T311" i="2"/>
  <c r="U311" i="2" s="1"/>
  <c r="T312" i="2"/>
  <c r="U312" i="2" s="1"/>
  <c r="T313" i="2"/>
  <c r="U313" i="2" s="1"/>
  <c r="T314" i="2"/>
  <c r="U314" i="2" s="1"/>
  <c r="T315" i="2"/>
  <c r="U315" i="2" s="1"/>
  <c r="T316" i="2"/>
  <c r="U316" i="2" s="1"/>
  <c r="T317" i="2"/>
  <c r="U317" i="2" s="1"/>
  <c r="T318" i="2"/>
  <c r="U318" i="2" s="1"/>
  <c r="T319" i="2"/>
  <c r="U319" i="2" s="1"/>
  <c r="T320" i="2"/>
  <c r="U320" i="2" s="1"/>
  <c r="T321" i="2"/>
  <c r="U321" i="2" s="1"/>
  <c r="T322" i="2"/>
  <c r="U322" i="2" s="1"/>
  <c r="T323" i="2"/>
  <c r="U323" i="2" s="1"/>
  <c r="T324" i="2"/>
  <c r="U324" i="2" s="1"/>
  <c r="T325" i="2"/>
  <c r="U325" i="2" s="1"/>
  <c r="T326" i="2"/>
  <c r="U326" i="2" s="1"/>
  <c r="T327" i="2"/>
  <c r="U327" i="2" s="1"/>
  <c r="T328" i="2"/>
  <c r="U328" i="2" s="1"/>
  <c r="T329" i="2"/>
  <c r="U329" i="2" s="1"/>
  <c r="T330" i="2"/>
  <c r="U330" i="2" s="1"/>
  <c r="T331" i="2"/>
  <c r="U331" i="2" s="1"/>
  <c r="T332" i="2"/>
  <c r="U332" i="2" s="1"/>
  <c r="T333" i="2"/>
  <c r="U333" i="2" s="1"/>
  <c r="T334" i="2"/>
  <c r="U334" i="2" s="1"/>
  <c r="T335" i="2"/>
  <c r="U335" i="2" s="1"/>
  <c r="T336" i="2"/>
  <c r="U336" i="2" s="1"/>
  <c r="T337" i="2"/>
  <c r="U337" i="2" s="1"/>
  <c r="T338" i="2"/>
  <c r="U338" i="2" s="1"/>
  <c r="T339" i="2"/>
  <c r="U339" i="2" s="1"/>
  <c r="T340" i="2"/>
  <c r="U340" i="2" s="1"/>
  <c r="T341" i="2"/>
  <c r="U341" i="2" s="1"/>
  <c r="T342" i="2"/>
  <c r="U342" i="2" s="1"/>
  <c r="T343" i="2"/>
  <c r="U343" i="2" s="1"/>
  <c r="T344" i="2"/>
  <c r="U344" i="2" s="1"/>
  <c r="T345" i="2"/>
  <c r="U345" i="2" s="1"/>
  <c r="T346" i="2"/>
  <c r="U346" i="2" s="1"/>
  <c r="T347" i="2"/>
  <c r="U347" i="2" s="1"/>
  <c r="T348" i="2"/>
  <c r="U348" i="2" s="1"/>
  <c r="T349" i="2"/>
  <c r="U349" i="2" s="1"/>
  <c r="T350" i="2"/>
  <c r="U350" i="2" s="1"/>
  <c r="T351" i="2"/>
  <c r="U351" i="2" s="1"/>
  <c r="T352" i="2"/>
  <c r="U352" i="2" s="1"/>
  <c r="T353" i="2"/>
  <c r="U353" i="2" s="1"/>
  <c r="T354" i="2"/>
  <c r="U354" i="2" s="1"/>
  <c r="T355" i="2"/>
  <c r="U355" i="2" s="1"/>
  <c r="T356" i="2"/>
  <c r="U356" i="2" s="1"/>
  <c r="T357" i="2"/>
  <c r="U357" i="2" s="1"/>
  <c r="T358" i="2"/>
  <c r="U358" i="2" s="1"/>
  <c r="T359" i="2"/>
  <c r="U359" i="2" s="1"/>
  <c r="T360" i="2"/>
  <c r="U360" i="2" s="1"/>
  <c r="T361" i="2"/>
  <c r="U361" i="2" s="1"/>
  <c r="T362" i="2"/>
  <c r="U362" i="2" s="1"/>
  <c r="T363" i="2"/>
  <c r="U363" i="2" s="1"/>
  <c r="T364" i="2"/>
  <c r="U364" i="2" s="1"/>
  <c r="T365" i="2"/>
  <c r="U365" i="2" s="1"/>
  <c r="T366" i="2"/>
  <c r="U366" i="2" s="1"/>
  <c r="T367" i="2"/>
  <c r="U367" i="2" s="1"/>
  <c r="T368" i="2"/>
  <c r="U368" i="2" s="1"/>
  <c r="T369" i="2"/>
  <c r="U369" i="2" s="1"/>
  <c r="T370" i="2"/>
  <c r="U370" i="2" s="1"/>
  <c r="T371" i="2"/>
  <c r="U371" i="2" s="1"/>
  <c r="T372" i="2"/>
  <c r="U372" i="2" s="1"/>
  <c r="T373" i="2"/>
  <c r="U373" i="2" s="1"/>
  <c r="T374" i="2"/>
  <c r="U374" i="2" s="1"/>
  <c r="T375" i="2"/>
  <c r="U375" i="2" s="1"/>
  <c r="T376" i="2"/>
  <c r="U376" i="2" s="1"/>
  <c r="T377" i="2"/>
  <c r="U377" i="2" s="1"/>
  <c r="T378" i="2"/>
  <c r="U378" i="2" s="1"/>
  <c r="T379" i="2"/>
  <c r="U379" i="2" s="1"/>
  <c r="T380" i="2"/>
  <c r="U380" i="2" s="1"/>
  <c r="T381" i="2"/>
  <c r="U381" i="2" s="1"/>
  <c r="T382" i="2"/>
  <c r="U382" i="2" s="1"/>
  <c r="T383" i="2"/>
  <c r="U383" i="2" s="1"/>
  <c r="T384" i="2"/>
  <c r="U384" i="2" s="1"/>
  <c r="T385" i="2"/>
  <c r="U385" i="2" s="1"/>
  <c r="T386" i="2"/>
  <c r="U386" i="2" s="1"/>
  <c r="T387" i="2"/>
  <c r="U387" i="2" s="1"/>
  <c r="T388" i="2"/>
  <c r="U388" i="2" s="1"/>
  <c r="T389" i="2"/>
  <c r="U389" i="2" s="1"/>
  <c r="T390" i="2"/>
  <c r="U390" i="2" s="1"/>
  <c r="T391" i="2"/>
  <c r="U391" i="2" s="1"/>
  <c r="T392" i="2"/>
  <c r="U392" i="2" s="1"/>
  <c r="T393" i="2"/>
  <c r="U393" i="2" s="1"/>
  <c r="T394" i="2"/>
  <c r="U394" i="2" s="1"/>
  <c r="T395" i="2"/>
  <c r="U395" i="2" s="1"/>
  <c r="T396" i="2"/>
  <c r="U396" i="2" s="1"/>
  <c r="T397" i="2"/>
  <c r="U397" i="2" s="1"/>
  <c r="T398" i="2"/>
  <c r="U398" i="2" s="1"/>
  <c r="T399" i="2"/>
  <c r="U399" i="2" s="1"/>
  <c r="T400" i="2"/>
  <c r="U400" i="2" s="1"/>
  <c r="T401" i="2"/>
  <c r="U401" i="2" s="1"/>
  <c r="T402" i="2"/>
  <c r="U402" i="2" s="1"/>
  <c r="T403" i="2"/>
  <c r="U403" i="2" s="1"/>
  <c r="T404" i="2"/>
  <c r="U404" i="2" s="1"/>
  <c r="T405" i="2"/>
  <c r="U405" i="2" s="1"/>
  <c r="T406" i="2"/>
  <c r="U406" i="2" s="1"/>
  <c r="T407" i="2"/>
  <c r="U407" i="2" s="1"/>
  <c r="T408" i="2"/>
  <c r="U408" i="2" s="1"/>
  <c r="T409" i="2"/>
  <c r="U409" i="2" s="1"/>
  <c r="T410" i="2"/>
  <c r="U410" i="2" s="1"/>
  <c r="T411" i="2"/>
  <c r="U411" i="2" s="1"/>
  <c r="T412" i="2"/>
  <c r="U412" i="2" s="1"/>
  <c r="T413" i="2"/>
  <c r="U413" i="2" s="1"/>
  <c r="T414" i="2"/>
  <c r="U414" i="2" s="1"/>
  <c r="T415" i="2"/>
  <c r="U415" i="2" s="1"/>
  <c r="T416" i="2"/>
  <c r="U416" i="2" s="1"/>
  <c r="T417" i="2"/>
  <c r="U417" i="2" s="1"/>
  <c r="T418" i="2"/>
  <c r="U418" i="2" s="1"/>
  <c r="T419" i="2"/>
  <c r="U419" i="2" s="1"/>
  <c r="T420" i="2"/>
  <c r="U420" i="2" s="1"/>
  <c r="T421" i="2"/>
  <c r="U421" i="2" s="1"/>
  <c r="T422" i="2"/>
  <c r="U422" i="2" s="1"/>
  <c r="T423" i="2"/>
  <c r="U423" i="2" s="1"/>
  <c r="T424" i="2"/>
  <c r="U424" i="2" s="1"/>
  <c r="T425" i="2"/>
  <c r="U425" i="2" s="1"/>
  <c r="T426" i="2"/>
  <c r="U426" i="2" s="1"/>
  <c r="T427" i="2"/>
  <c r="U427" i="2" s="1"/>
  <c r="T428" i="2"/>
  <c r="U428" i="2" s="1"/>
  <c r="T429" i="2"/>
  <c r="U429" i="2" s="1"/>
  <c r="T430" i="2"/>
  <c r="U430" i="2" s="1"/>
  <c r="T431" i="2"/>
  <c r="U431" i="2" s="1"/>
  <c r="T432" i="2"/>
  <c r="U432" i="2" s="1"/>
  <c r="T433" i="2"/>
  <c r="U433" i="2" s="1"/>
  <c r="T434" i="2"/>
  <c r="U434" i="2" s="1"/>
  <c r="T435" i="2"/>
  <c r="U435" i="2" s="1"/>
  <c r="T436" i="2"/>
  <c r="U436" i="2" s="1"/>
  <c r="T437" i="2"/>
  <c r="U437" i="2" s="1"/>
  <c r="T438" i="2"/>
  <c r="U438" i="2" s="1"/>
  <c r="T439" i="2"/>
  <c r="U439" i="2" s="1"/>
  <c r="T440" i="2"/>
  <c r="U440" i="2" s="1"/>
  <c r="T441" i="2"/>
  <c r="U441" i="2" s="1"/>
  <c r="T442" i="2"/>
  <c r="U442" i="2" s="1"/>
  <c r="T443" i="2"/>
  <c r="U443" i="2" s="1"/>
  <c r="T444" i="2"/>
  <c r="U444" i="2" s="1"/>
  <c r="T445" i="2"/>
  <c r="U445" i="2" s="1"/>
  <c r="T446" i="2"/>
  <c r="U446" i="2" s="1"/>
  <c r="T447" i="2"/>
  <c r="U447" i="2" s="1"/>
  <c r="T448" i="2"/>
  <c r="U448" i="2" s="1"/>
  <c r="T449" i="2"/>
  <c r="U449" i="2" s="1"/>
  <c r="T450" i="2"/>
  <c r="U450" i="2" s="1"/>
  <c r="T451" i="2"/>
  <c r="U451" i="2" s="1"/>
  <c r="T452" i="2"/>
  <c r="U452" i="2" s="1"/>
  <c r="T453" i="2"/>
  <c r="U453" i="2" s="1"/>
  <c r="T454" i="2"/>
  <c r="U454" i="2" s="1"/>
  <c r="T455" i="2"/>
  <c r="U455" i="2" s="1"/>
  <c r="T456" i="2"/>
  <c r="U456" i="2" s="1"/>
  <c r="T457" i="2"/>
  <c r="U457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464" i="2"/>
  <c r="U464" i="2" s="1"/>
  <c r="T465" i="2"/>
  <c r="U465" i="2" s="1"/>
  <c r="T466" i="2"/>
  <c r="U466" i="2" s="1"/>
  <c r="T467" i="2"/>
  <c r="U467" i="2" s="1"/>
  <c r="T468" i="2"/>
  <c r="U468" i="2" s="1"/>
  <c r="T469" i="2"/>
  <c r="U469" i="2" s="1"/>
  <c r="T470" i="2"/>
  <c r="U470" i="2" s="1"/>
  <c r="T471" i="2"/>
  <c r="U471" i="2" s="1"/>
  <c r="T472" i="2"/>
  <c r="U472" i="2" s="1"/>
  <c r="T473" i="2"/>
  <c r="U473" i="2" s="1"/>
  <c r="T474" i="2"/>
  <c r="U474" i="2" s="1"/>
  <c r="T475" i="2"/>
  <c r="U475" i="2" s="1"/>
  <c r="T476" i="2"/>
  <c r="U476" i="2" s="1"/>
  <c r="T477" i="2"/>
  <c r="U477" i="2" s="1"/>
  <c r="T478" i="2"/>
  <c r="U478" i="2" s="1"/>
  <c r="T479" i="2"/>
  <c r="U479" i="2" s="1"/>
  <c r="T480" i="2"/>
  <c r="U480" i="2" s="1"/>
  <c r="T481" i="2"/>
  <c r="U481" i="2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M2" i="1"/>
  <c r="M3" i="1"/>
  <c r="M4" i="1"/>
  <c r="M5" i="1"/>
  <c r="M6" i="1"/>
  <c r="M7" i="1"/>
  <c r="M8" i="1"/>
  <c r="M9" i="1"/>
  <c r="M11" i="1"/>
  <c r="M13" i="1"/>
  <c r="M14" i="1"/>
  <c r="M16" i="1"/>
  <c r="M18" i="1"/>
  <c r="M20" i="1"/>
  <c r="M21" i="1"/>
  <c r="M23" i="1"/>
  <c r="M24" i="1"/>
  <c r="M25" i="1"/>
  <c r="M26" i="1"/>
  <c r="M27" i="1"/>
  <c r="M28" i="1"/>
  <c r="M30" i="1"/>
  <c r="M31" i="1"/>
  <c r="M33" i="1"/>
  <c r="M36" i="1"/>
  <c r="M38" i="1"/>
  <c r="M39" i="1"/>
  <c r="M41" i="1"/>
  <c r="M42" i="1"/>
  <c r="M43" i="1"/>
  <c r="M44" i="1"/>
  <c r="M46" i="1"/>
  <c r="M47" i="1"/>
  <c r="M48" i="1"/>
  <c r="M49" i="1"/>
  <c r="M50" i="1"/>
  <c r="M52" i="1"/>
  <c r="M53" i="1"/>
  <c r="M54" i="1"/>
  <c r="M55" i="1"/>
  <c r="M57" i="1"/>
  <c r="M58" i="1"/>
  <c r="M59" i="1"/>
  <c r="M61" i="1"/>
  <c r="M62" i="1"/>
  <c r="M63" i="1"/>
  <c r="M64" i="1"/>
  <c r="M66" i="1"/>
  <c r="M67" i="1"/>
  <c r="M70" i="1"/>
  <c r="M71" i="1"/>
  <c r="M72" i="1"/>
  <c r="M73" i="1"/>
  <c r="M75" i="1"/>
  <c r="M76" i="1"/>
  <c r="M78" i="1"/>
  <c r="M80" i="1"/>
  <c r="M81" i="1"/>
  <c r="M82" i="1"/>
  <c r="M84" i="1"/>
  <c r="M85" i="1"/>
  <c r="M87" i="1"/>
  <c r="M88" i="1"/>
  <c r="M89" i="1"/>
  <c r="M90" i="1"/>
  <c r="M92" i="1"/>
  <c r="M93" i="1"/>
  <c r="M94" i="1"/>
  <c r="M95" i="1"/>
  <c r="M96" i="1"/>
  <c r="M99" i="1"/>
  <c r="M100" i="1"/>
  <c r="M101" i="1"/>
  <c r="M103" i="1"/>
  <c r="M104" i="1"/>
  <c r="M105" i="1"/>
  <c r="M106" i="1"/>
  <c r="M107" i="1"/>
  <c r="M110" i="1"/>
  <c r="M111" i="1"/>
  <c r="M112" i="1"/>
  <c r="M114" i="1"/>
  <c r="M115" i="1"/>
  <c r="M116" i="1"/>
  <c r="M118" i="1"/>
  <c r="M119" i="1"/>
  <c r="M120" i="1"/>
  <c r="M122" i="1"/>
  <c r="M123" i="1"/>
  <c r="M124" i="1"/>
  <c r="M125" i="1"/>
  <c r="M126" i="1"/>
  <c r="M127" i="1"/>
  <c r="M128" i="1"/>
  <c r="M129" i="1"/>
  <c r="M130" i="1"/>
  <c r="M131" i="1"/>
  <c r="M133" i="1"/>
  <c r="M13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I2" i="1"/>
  <c r="I3" i="1"/>
  <c r="I4" i="1"/>
  <c r="I5" i="1"/>
  <c r="I6" i="1"/>
  <c r="I7" i="1"/>
  <c r="I8" i="1"/>
  <c r="I9" i="1"/>
  <c r="I10" i="1"/>
  <c r="M10" i="1" s="1"/>
  <c r="I11" i="1"/>
  <c r="I12" i="1"/>
  <c r="M12" i="1" s="1"/>
  <c r="I13" i="1"/>
  <c r="I14" i="1"/>
  <c r="I15" i="1"/>
  <c r="M15" i="1" s="1"/>
  <c r="I16" i="1"/>
  <c r="I17" i="1"/>
  <c r="M17" i="1" s="1"/>
  <c r="I18" i="1"/>
  <c r="I19" i="1"/>
  <c r="M19" i="1" s="1"/>
  <c r="I20" i="1"/>
  <c r="I21" i="1"/>
  <c r="I22" i="1"/>
  <c r="M22" i="1" s="1"/>
  <c r="I23" i="1"/>
  <c r="I24" i="1"/>
  <c r="I25" i="1"/>
  <c r="I26" i="1"/>
  <c r="I27" i="1"/>
  <c r="I28" i="1"/>
  <c r="I29" i="1"/>
  <c r="M29" i="1" s="1"/>
  <c r="I30" i="1"/>
  <c r="I31" i="1"/>
  <c r="I32" i="1"/>
  <c r="M32" i="1" s="1"/>
  <c r="I33" i="1"/>
  <c r="I34" i="1"/>
  <c r="M34" i="1" s="1"/>
  <c r="I35" i="1"/>
  <c r="M35" i="1" s="1"/>
  <c r="I36" i="1"/>
  <c r="I37" i="1"/>
  <c r="M37" i="1" s="1"/>
  <c r="I38" i="1"/>
  <c r="I39" i="1"/>
  <c r="I40" i="1"/>
  <c r="M40" i="1" s="1"/>
  <c r="I41" i="1"/>
  <c r="I42" i="1"/>
  <c r="I43" i="1"/>
  <c r="I44" i="1"/>
  <c r="I45" i="1"/>
  <c r="M45" i="1" s="1"/>
  <c r="I46" i="1"/>
  <c r="I47" i="1"/>
  <c r="I48" i="1"/>
  <c r="I49" i="1"/>
  <c r="I50" i="1"/>
  <c r="I51" i="1"/>
  <c r="M51" i="1" s="1"/>
  <c r="I52" i="1"/>
  <c r="I53" i="1"/>
  <c r="I54" i="1"/>
  <c r="I55" i="1"/>
  <c r="I56" i="1"/>
  <c r="M56" i="1" s="1"/>
  <c r="I57" i="1"/>
  <c r="I58" i="1"/>
  <c r="I59" i="1"/>
  <c r="I60" i="1"/>
  <c r="M60" i="1" s="1"/>
  <c r="I61" i="1"/>
  <c r="I62" i="1"/>
  <c r="I63" i="1"/>
  <c r="I64" i="1"/>
  <c r="I65" i="1"/>
  <c r="M65" i="1" s="1"/>
  <c r="I66" i="1"/>
  <c r="I67" i="1"/>
  <c r="I68" i="1"/>
  <c r="M68" i="1" s="1"/>
  <c r="I69" i="1"/>
  <c r="M69" i="1" s="1"/>
  <c r="I70" i="1"/>
  <c r="I71" i="1"/>
  <c r="I72" i="1"/>
  <c r="I73" i="1"/>
  <c r="I74" i="1"/>
  <c r="M74" i="1" s="1"/>
  <c r="I75" i="1"/>
  <c r="I76" i="1"/>
  <c r="I77" i="1"/>
  <c r="M77" i="1" s="1"/>
  <c r="I78" i="1"/>
  <c r="I79" i="1"/>
  <c r="M79" i="1" s="1"/>
  <c r="I80" i="1"/>
  <c r="I81" i="1"/>
  <c r="I82" i="1"/>
  <c r="I83" i="1"/>
  <c r="M83" i="1" s="1"/>
  <c r="I84" i="1"/>
  <c r="I85" i="1"/>
  <c r="I86" i="1"/>
  <c r="M86" i="1" s="1"/>
  <c r="I87" i="1"/>
  <c r="I88" i="1"/>
  <c r="I89" i="1"/>
  <c r="I90" i="1"/>
  <c r="I91" i="1"/>
  <c r="M91" i="1" s="1"/>
  <c r="I92" i="1"/>
  <c r="I93" i="1"/>
  <c r="I94" i="1"/>
  <c r="I95" i="1"/>
  <c r="I96" i="1"/>
  <c r="I97" i="1"/>
  <c r="M97" i="1" s="1"/>
  <c r="I98" i="1"/>
  <c r="M98" i="1" s="1"/>
  <c r="I99" i="1"/>
  <c r="I100" i="1"/>
  <c r="I101" i="1"/>
  <c r="I102" i="1"/>
  <c r="M102" i="1" s="1"/>
  <c r="I103" i="1"/>
  <c r="I104" i="1"/>
  <c r="I105" i="1"/>
  <c r="I106" i="1"/>
  <c r="I107" i="1"/>
  <c r="I108" i="1"/>
  <c r="M108" i="1" s="1"/>
  <c r="I109" i="1"/>
  <c r="M109" i="1" s="1"/>
  <c r="I110" i="1"/>
  <c r="I111" i="1"/>
  <c r="I112" i="1"/>
  <c r="I113" i="1"/>
  <c r="M113" i="1" s="1"/>
  <c r="I114" i="1"/>
  <c r="I115" i="1"/>
  <c r="I116" i="1"/>
  <c r="I117" i="1"/>
  <c r="M117" i="1" s="1"/>
  <c r="I118" i="1"/>
  <c r="I119" i="1"/>
  <c r="I120" i="1"/>
  <c r="I121" i="1"/>
  <c r="M121" i="1" s="1"/>
  <c r="I122" i="1"/>
  <c r="I123" i="1"/>
  <c r="I124" i="1"/>
  <c r="I125" i="1"/>
  <c r="I126" i="1"/>
  <c r="I127" i="1"/>
  <c r="I128" i="1"/>
  <c r="I129" i="1"/>
  <c r="I130" i="1"/>
  <c r="I131" i="1"/>
  <c r="I132" i="1"/>
  <c r="M132" i="1" s="1"/>
  <c r="I133" i="1"/>
  <c r="I134" i="1"/>
  <c r="M134" i="1" s="1"/>
  <c r="I135" i="1"/>
  <c r="I136" i="1"/>
  <c r="M136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F8" i="8" l="1"/>
  <c r="F16" i="8"/>
  <c r="G12" i="3"/>
  <c r="C10" i="8"/>
  <c r="C13" i="8"/>
  <c r="F13" i="8" s="1"/>
  <c r="C16" i="8"/>
  <c r="D10" i="8"/>
  <c r="F10" i="8" s="1"/>
  <c r="B47" i="5"/>
  <c r="C8" i="8"/>
  <c r="C11" i="8"/>
  <c r="F11" i="8" s="1"/>
  <c r="C17" i="8"/>
  <c r="F17" i="8" s="1"/>
  <c r="B7" i="5"/>
  <c r="D9" i="8"/>
  <c r="F9" i="8" s="1"/>
  <c r="D12" i="8"/>
  <c r="F12" i="8" s="1"/>
  <c r="D15" i="8"/>
  <c r="F15" i="8" s="1"/>
  <c r="N10" i="5"/>
  <c r="F11" i="5"/>
  <c r="F10" i="5"/>
  <c r="AJ396" i="2"/>
  <c r="AJ324" i="2"/>
  <c r="AJ264" i="2"/>
  <c r="AJ156" i="2"/>
  <c r="C26" i="3"/>
  <c r="AJ71" i="2"/>
  <c r="AJ59" i="2"/>
  <c r="D26" i="3"/>
  <c r="C27" i="3"/>
  <c r="F27" i="3" s="1"/>
  <c r="AJ477" i="2"/>
  <c r="AJ261" i="2"/>
  <c r="D27" i="3"/>
  <c r="AJ428" i="2"/>
  <c r="AJ56" i="2"/>
  <c r="C22" i="3"/>
  <c r="C28" i="3"/>
  <c r="AJ475" i="2"/>
  <c r="AJ415" i="2"/>
  <c r="AJ319" i="2"/>
  <c r="AJ139" i="2"/>
  <c r="AJ79" i="2"/>
  <c r="D22" i="3"/>
  <c r="D28" i="3"/>
  <c r="F28" i="3" s="1"/>
  <c r="AJ246" i="2"/>
  <c r="AJ210" i="2"/>
  <c r="AJ78" i="2"/>
  <c r="AJ54" i="2"/>
  <c r="C23" i="3"/>
  <c r="C29" i="3"/>
  <c r="AJ473" i="2"/>
  <c r="AJ365" i="2"/>
  <c r="AJ281" i="2"/>
  <c r="AJ197" i="2"/>
  <c r="D23" i="3"/>
  <c r="D29" i="3"/>
  <c r="AJ376" i="2"/>
  <c r="AJ340" i="2"/>
  <c r="C24" i="3"/>
  <c r="F24" i="3" s="1"/>
  <c r="C30" i="3"/>
  <c r="AJ375" i="2"/>
  <c r="AJ147" i="2"/>
  <c r="AJ135" i="2"/>
  <c r="AJ123" i="2"/>
  <c r="D24" i="3"/>
  <c r="D30" i="3"/>
  <c r="AJ146" i="2"/>
  <c r="AJ134" i="2"/>
  <c r="C25" i="3"/>
  <c r="F25" i="3" s="1"/>
  <c r="C31" i="3"/>
  <c r="F31" i="3" s="1"/>
  <c r="AJ361" i="2"/>
  <c r="AJ229" i="2"/>
  <c r="AJ169" i="2"/>
  <c r="D25" i="3"/>
  <c r="F26" i="3"/>
  <c r="F22" i="3"/>
  <c r="AK481" i="2"/>
  <c r="AO481" i="2" s="1"/>
  <c r="AK469" i="2"/>
  <c r="AO469" i="2" s="1"/>
  <c r="AK457" i="2"/>
  <c r="AO457" i="2" s="1"/>
  <c r="AK445" i="2"/>
  <c r="AO445" i="2" s="1"/>
  <c r="AK433" i="2"/>
  <c r="AO433" i="2" s="1"/>
  <c r="AK421" i="2"/>
  <c r="AO421" i="2" s="1"/>
  <c r="AK409" i="2"/>
  <c r="AO409" i="2" s="1"/>
  <c r="AK397" i="2"/>
  <c r="AO397" i="2" s="1"/>
  <c r="AK385" i="2"/>
  <c r="AO385" i="2" s="1"/>
  <c r="AK373" i="2"/>
  <c r="AO373" i="2" s="1"/>
  <c r="AK361" i="2"/>
  <c r="AO361" i="2" s="1"/>
  <c r="AK349" i="2"/>
  <c r="AO349" i="2" s="1"/>
  <c r="AK337" i="2"/>
  <c r="AO337" i="2" s="1"/>
  <c r="AK325" i="2"/>
  <c r="AO325" i="2" s="1"/>
  <c r="AK313" i="2"/>
  <c r="AO313" i="2" s="1"/>
  <c r="AK301" i="2"/>
  <c r="AO301" i="2" s="1"/>
  <c r="AK289" i="2"/>
  <c r="AO289" i="2" s="1"/>
  <c r="AK277" i="2"/>
  <c r="AO277" i="2" s="1"/>
  <c r="AK265" i="2"/>
  <c r="AO265" i="2" s="1"/>
  <c r="AK253" i="2"/>
  <c r="AO253" i="2" s="1"/>
  <c r="AK241" i="2"/>
  <c r="AO241" i="2" s="1"/>
  <c r="AK229" i="2"/>
  <c r="AO229" i="2" s="1"/>
  <c r="AK217" i="2"/>
  <c r="AO217" i="2" s="1"/>
  <c r="AK205" i="2"/>
  <c r="AO205" i="2" s="1"/>
  <c r="AK193" i="2"/>
  <c r="AO193" i="2" s="1"/>
  <c r="AK181" i="2"/>
  <c r="AO181" i="2" s="1"/>
  <c r="AK169" i="2"/>
  <c r="AO169" i="2" s="1"/>
  <c r="AK157" i="2"/>
  <c r="AO157" i="2" s="1"/>
  <c r="AK145" i="2"/>
  <c r="AO145" i="2" s="1"/>
  <c r="AK133" i="2"/>
  <c r="AO133" i="2" s="1"/>
  <c r="AK121" i="2"/>
  <c r="AO121" i="2" s="1"/>
  <c r="AK109" i="2"/>
  <c r="AO109" i="2" s="1"/>
  <c r="AK97" i="2"/>
  <c r="AO97" i="2" s="1"/>
  <c r="AK85" i="2"/>
  <c r="AO85" i="2" s="1"/>
  <c r="AK73" i="2"/>
  <c r="AO73" i="2" s="1"/>
  <c r="AK61" i="2"/>
  <c r="AO61" i="2" s="1"/>
  <c r="AK49" i="2"/>
  <c r="AO49" i="2" s="1"/>
  <c r="AK37" i="2"/>
  <c r="AO37" i="2" s="1"/>
  <c r="AK25" i="2"/>
  <c r="AO25" i="2" s="1"/>
  <c r="AK13" i="2"/>
  <c r="AO13" i="2" s="1"/>
  <c r="AK480" i="2"/>
  <c r="AO480" i="2" s="1"/>
  <c r="AK468" i="2"/>
  <c r="AO468" i="2" s="1"/>
  <c r="AK456" i="2"/>
  <c r="AO456" i="2" s="1"/>
  <c r="AK444" i="2"/>
  <c r="AO444" i="2" s="1"/>
  <c r="AK432" i="2"/>
  <c r="AO432" i="2" s="1"/>
  <c r="AK420" i="2"/>
  <c r="AO420" i="2" s="1"/>
  <c r="AK408" i="2"/>
  <c r="AO408" i="2" s="1"/>
  <c r="AK396" i="2"/>
  <c r="AO396" i="2" s="1"/>
  <c r="AK384" i="2"/>
  <c r="AO384" i="2" s="1"/>
  <c r="AK372" i="2"/>
  <c r="AO372" i="2" s="1"/>
  <c r="AK360" i="2"/>
  <c r="AO360" i="2" s="1"/>
  <c r="AK348" i="2"/>
  <c r="AO348" i="2" s="1"/>
  <c r="AK336" i="2"/>
  <c r="AO336" i="2" s="1"/>
  <c r="AK324" i="2"/>
  <c r="AO324" i="2" s="1"/>
  <c r="AK312" i="2"/>
  <c r="AO312" i="2" s="1"/>
  <c r="AK300" i="2"/>
  <c r="AO300" i="2" s="1"/>
  <c r="AK288" i="2"/>
  <c r="AO288" i="2" s="1"/>
  <c r="AK276" i="2"/>
  <c r="AO276" i="2" s="1"/>
  <c r="AK264" i="2"/>
  <c r="AO264" i="2" s="1"/>
  <c r="AK252" i="2"/>
  <c r="AO252" i="2" s="1"/>
  <c r="AK240" i="2"/>
  <c r="AO240" i="2" s="1"/>
  <c r="AK228" i="2"/>
  <c r="AO228" i="2" s="1"/>
  <c r="AK216" i="2"/>
  <c r="AO216" i="2" s="1"/>
  <c r="AK204" i="2"/>
  <c r="AO204" i="2" s="1"/>
  <c r="AK192" i="2"/>
  <c r="AO192" i="2" s="1"/>
  <c r="AK180" i="2"/>
  <c r="AO180" i="2" s="1"/>
  <c r="AK168" i="2"/>
  <c r="AO168" i="2" s="1"/>
  <c r="AK156" i="2"/>
  <c r="AO156" i="2" s="1"/>
  <c r="AK144" i="2"/>
  <c r="AO144" i="2" s="1"/>
  <c r="AK132" i="2"/>
  <c r="AO132" i="2" s="1"/>
  <c r="AK120" i="2"/>
  <c r="AO120" i="2" s="1"/>
  <c r="AK108" i="2"/>
  <c r="AO108" i="2" s="1"/>
  <c r="AK96" i="2"/>
  <c r="AO96" i="2" s="1"/>
  <c r="AK84" i="2"/>
  <c r="AO84" i="2" s="1"/>
  <c r="AK72" i="2"/>
  <c r="AO72" i="2" s="1"/>
  <c r="AK60" i="2"/>
  <c r="AO60" i="2" s="1"/>
  <c r="AK48" i="2"/>
  <c r="AO48" i="2" s="1"/>
  <c r="AK36" i="2"/>
  <c r="AO36" i="2" s="1"/>
  <c r="AK24" i="2"/>
  <c r="AO24" i="2" s="1"/>
  <c r="AK12" i="2"/>
  <c r="AO12" i="2" s="1"/>
  <c r="AK479" i="2"/>
  <c r="AO479" i="2" s="1"/>
  <c r="AK467" i="2"/>
  <c r="AO467" i="2" s="1"/>
  <c r="AK455" i="2"/>
  <c r="AO455" i="2" s="1"/>
  <c r="AK443" i="2"/>
  <c r="AO443" i="2" s="1"/>
  <c r="AK431" i="2"/>
  <c r="AO431" i="2" s="1"/>
  <c r="AK419" i="2"/>
  <c r="AO419" i="2" s="1"/>
  <c r="AK407" i="2"/>
  <c r="AO407" i="2" s="1"/>
  <c r="AK395" i="2"/>
  <c r="AO395" i="2" s="1"/>
  <c r="AK383" i="2"/>
  <c r="AO383" i="2" s="1"/>
  <c r="AK371" i="2"/>
  <c r="AO371" i="2" s="1"/>
  <c r="AK359" i="2"/>
  <c r="AO359" i="2" s="1"/>
  <c r="AK347" i="2"/>
  <c r="AO347" i="2" s="1"/>
  <c r="AK335" i="2"/>
  <c r="AO335" i="2" s="1"/>
  <c r="AK323" i="2"/>
  <c r="AO323" i="2" s="1"/>
  <c r="AK311" i="2"/>
  <c r="AO311" i="2" s="1"/>
  <c r="AK299" i="2"/>
  <c r="AO299" i="2" s="1"/>
  <c r="AK287" i="2"/>
  <c r="AO287" i="2" s="1"/>
  <c r="AK275" i="2"/>
  <c r="AO275" i="2" s="1"/>
  <c r="AK263" i="2"/>
  <c r="AO263" i="2" s="1"/>
  <c r="AK251" i="2"/>
  <c r="AO251" i="2" s="1"/>
  <c r="AK239" i="2"/>
  <c r="AO239" i="2" s="1"/>
  <c r="AK227" i="2"/>
  <c r="AO227" i="2" s="1"/>
  <c r="AK215" i="2"/>
  <c r="AO215" i="2" s="1"/>
  <c r="AK203" i="2"/>
  <c r="AO203" i="2" s="1"/>
  <c r="AK191" i="2"/>
  <c r="AO191" i="2" s="1"/>
  <c r="AK179" i="2"/>
  <c r="AO179" i="2" s="1"/>
  <c r="AK167" i="2"/>
  <c r="AO167" i="2" s="1"/>
  <c r="AK155" i="2"/>
  <c r="AO155" i="2" s="1"/>
  <c r="AK143" i="2"/>
  <c r="AO143" i="2" s="1"/>
  <c r="AK131" i="2"/>
  <c r="AO131" i="2" s="1"/>
  <c r="AK119" i="2"/>
  <c r="AO119" i="2" s="1"/>
  <c r="AK107" i="2"/>
  <c r="AO107" i="2" s="1"/>
  <c r="AK95" i="2"/>
  <c r="AO95" i="2" s="1"/>
  <c r="AK83" i="2"/>
  <c r="AO83" i="2" s="1"/>
  <c r="AK71" i="2"/>
  <c r="AO71" i="2" s="1"/>
  <c r="AK59" i="2"/>
  <c r="AO59" i="2" s="1"/>
  <c r="AK47" i="2"/>
  <c r="AO47" i="2" s="1"/>
  <c r="AK35" i="2"/>
  <c r="AO35" i="2" s="1"/>
  <c r="AK23" i="2"/>
  <c r="AO23" i="2" s="1"/>
  <c r="AK11" i="2"/>
  <c r="AO11" i="2" s="1"/>
  <c r="AK478" i="2"/>
  <c r="AO478" i="2" s="1"/>
  <c r="AK466" i="2"/>
  <c r="AO466" i="2" s="1"/>
  <c r="AK454" i="2"/>
  <c r="AO454" i="2" s="1"/>
  <c r="AK442" i="2"/>
  <c r="AO442" i="2" s="1"/>
  <c r="AK430" i="2"/>
  <c r="AO430" i="2" s="1"/>
  <c r="AK418" i="2"/>
  <c r="AO418" i="2" s="1"/>
  <c r="AK406" i="2"/>
  <c r="AO406" i="2" s="1"/>
  <c r="AK394" i="2"/>
  <c r="AO394" i="2" s="1"/>
  <c r="AK382" i="2"/>
  <c r="AO382" i="2" s="1"/>
  <c r="AK370" i="2"/>
  <c r="AO370" i="2" s="1"/>
  <c r="AK358" i="2"/>
  <c r="AO358" i="2" s="1"/>
  <c r="AK346" i="2"/>
  <c r="AO346" i="2" s="1"/>
  <c r="AK334" i="2"/>
  <c r="AO334" i="2" s="1"/>
  <c r="AK322" i="2"/>
  <c r="AO322" i="2" s="1"/>
  <c r="AK310" i="2"/>
  <c r="AO310" i="2" s="1"/>
  <c r="AK298" i="2"/>
  <c r="AO298" i="2" s="1"/>
  <c r="AK286" i="2"/>
  <c r="AO286" i="2" s="1"/>
  <c r="AK274" i="2"/>
  <c r="AO274" i="2" s="1"/>
  <c r="AK262" i="2"/>
  <c r="AO262" i="2" s="1"/>
  <c r="AK250" i="2"/>
  <c r="AO250" i="2" s="1"/>
  <c r="AK238" i="2"/>
  <c r="AO238" i="2" s="1"/>
  <c r="AK226" i="2"/>
  <c r="AO226" i="2" s="1"/>
  <c r="AK214" i="2"/>
  <c r="AO214" i="2" s="1"/>
  <c r="AK202" i="2"/>
  <c r="AO202" i="2" s="1"/>
  <c r="AK190" i="2"/>
  <c r="AO190" i="2" s="1"/>
  <c r="AK178" i="2"/>
  <c r="AO178" i="2" s="1"/>
  <c r="AK166" i="2"/>
  <c r="AO166" i="2" s="1"/>
  <c r="AK154" i="2"/>
  <c r="AO154" i="2" s="1"/>
  <c r="AK142" i="2"/>
  <c r="AO142" i="2" s="1"/>
  <c r="AK130" i="2"/>
  <c r="AO130" i="2" s="1"/>
  <c r="AK118" i="2"/>
  <c r="AO118" i="2" s="1"/>
  <c r="AK106" i="2"/>
  <c r="AO106" i="2" s="1"/>
  <c r="AK94" i="2"/>
  <c r="AO94" i="2" s="1"/>
  <c r="AK82" i="2"/>
  <c r="AO82" i="2" s="1"/>
  <c r="AK70" i="2"/>
  <c r="AO70" i="2" s="1"/>
  <c r="AK58" i="2"/>
  <c r="AO58" i="2" s="1"/>
  <c r="AK46" i="2"/>
  <c r="AO46" i="2" s="1"/>
  <c r="AK34" i="2"/>
  <c r="AO34" i="2" s="1"/>
  <c r="AK22" i="2"/>
  <c r="AO22" i="2" s="1"/>
  <c r="AK10" i="2"/>
  <c r="AO10" i="2" s="1"/>
  <c r="AK477" i="2"/>
  <c r="AO477" i="2" s="1"/>
  <c r="AK465" i="2"/>
  <c r="AO465" i="2" s="1"/>
  <c r="AK453" i="2"/>
  <c r="AO453" i="2" s="1"/>
  <c r="AK441" i="2"/>
  <c r="AO441" i="2" s="1"/>
  <c r="AK429" i="2"/>
  <c r="AO429" i="2" s="1"/>
  <c r="AK417" i="2"/>
  <c r="AO417" i="2" s="1"/>
  <c r="AK405" i="2"/>
  <c r="AO405" i="2" s="1"/>
  <c r="AK393" i="2"/>
  <c r="AO393" i="2" s="1"/>
  <c r="AK381" i="2"/>
  <c r="AO381" i="2" s="1"/>
  <c r="AK369" i="2"/>
  <c r="AO369" i="2" s="1"/>
  <c r="AK357" i="2"/>
  <c r="AO357" i="2" s="1"/>
  <c r="AK345" i="2"/>
  <c r="AO345" i="2" s="1"/>
  <c r="AK333" i="2"/>
  <c r="AO333" i="2" s="1"/>
  <c r="AK321" i="2"/>
  <c r="AO321" i="2" s="1"/>
  <c r="AK309" i="2"/>
  <c r="AO309" i="2" s="1"/>
  <c r="AK297" i="2"/>
  <c r="AO297" i="2" s="1"/>
  <c r="AK285" i="2"/>
  <c r="AO285" i="2" s="1"/>
  <c r="AK273" i="2"/>
  <c r="AO273" i="2" s="1"/>
  <c r="AK261" i="2"/>
  <c r="AO261" i="2" s="1"/>
  <c r="AK249" i="2"/>
  <c r="AO249" i="2" s="1"/>
  <c r="AK237" i="2"/>
  <c r="AO237" i="2" s="1"/>
  <c r="AK225" i="2"/>
  <c r="AO225" i="2" s="1"/>
  <c r="AK213" i="2"/>
  <c r="AO213" i="2" s="1"/>
  <c r="AK201" i="2"/>
  <c r="AO201" i="2" s="1"/>
  <c r="AK189" i="2"/>
  <c r="AO189" i="2" s="1"/>
  <c r="AK177" i="2"/>
  <c r="AO177" i="2" s="1"/>
  <c r="AK165" i="2"/>
  <c r="AO165" i="2" s="1"/>
  <c r="AK153" i="2"/>
  <c r="AO153" i="2" s="1"/>
  <c r="AK141" i="2"/>
  <c r="AO141" i="2" s="1"/>
  <c r="AK129" i="2"/>
  <c r="AO129" i="2" s="1"/>
  <c r="AK117" i="2"/>
  <c r="AO117" i="2" s="1"/>
  <c r="AK105" i="2"/>
  <c r="AO105" i="2" s="1"/>
  <c r="AK93" i="2"/>
  <c r="AO93" i="2" s="1"/>
  <c r="AK81" i="2"/>
  <c r="AO81" i="2" s="1"/>
  <c r="AK69" i="2"/>
  <c r="AO69" i="2" s="1"/>
  <c r="AK57" i="2"/>
  <c r="AO57" i="2" s="1"/>
  <c r="AK45" i="2"/>
  <c r="AO45" i="2" s="1"/>
  <c r="AK33" i="2"/>
  <c r="AO33" i="2" s="1"/>
  <c r="AK21" i="2"/>
  <c r="AO21" i="2" s="1"/>
  <c r="AK9" i="2"/>
  <c r="AO9" i="2" s="1"/>
  <c r="AK476" i="2"/>
  <c r="AO476" i="2" s="1"/>
  <c r="AK464" i="2"/>
  <c r="AO464" i="2" s="1"/>
  <c r="AK452" i="2"/>
  <c r="AO452" i="2" s="1"/>
  <c r="AK440" i="2"/>
  <c r="AO440" i="2" s="1"/>
  <c r="AK428" i="2"/>
  <c r="AO428" i="2" s="1"/>
  <c r="AK416" i="2"/>
  <c r="AO416" i="2" s="1"/>
  <c r="AK404" i="2"/>
  <c r="AO404" i="2" s="1"/>
  <c r="AK392" i="2"/>
  <c r="AO392" i="2" s="1"/>
  <c r="AK380" i="2"/>
  <c r="AO380" i="2" s="1"/>
  <c r="AK368" i="2"/>
  <c r="AO368" i="2" s="1"/>
  <c r="AK356" i="2"/>
  <c r="AO356" i="2" s="1"/>
  <c r="AK344" i="2"/>
  <c r="AO344" i="2" s="1"/>
  <c r="AK332" i="2"/>
  <c r="AO332" i="2" s="1"/>
  <c r="AK320" i="2"/>
  <c r="AO320" i="2" s="1"/>
  <c r="AK308" i="2"/>
  <c r="AO308" i="2" s="1"/>
  <c r="AK296" i="2"/>
  <c r="AO296" i="2" s="1"/>
  <c r="AK284" i="2"/>
  <c r="AO284" i="2" s="1"/>
  <c r="AK272" i="2"/>
  <c r="AO272" i="2" s="1"/>
  <c r="AK260" i="2"/>
  <c r="AO260" i="2" s="1"/>
  <c r="AK248" i="2"/>
  <c r="AO248" i="2" s="1"/>
  <c r="AK236" i="2"/>
  <c r="AO236" i="2" s="1"/>
  <c r="AK224" i="2"/>
  <c r="AO224" i="2" s="1"/>
  <c r="AK212" i="2"/>
  <c r="AO212" i="2" s="1"/>
  <c r="AK200" i="2"/>
  <c r="AO200" i="2" s="1"/>
  <c r="AK188" i="2"/>
  <c r="AO188" i="2" s="1"/>
  <c r="AK176" i="2"/>
  <c r="AO176" i="2" s="1"/>
  <c r="AK164" i="2"/>
  <c r="AO164" i="2" s="1"/>
  <c r="AK152" i="2"/>
  <c r="AO152" i="2" s="1"/>
  <c r="AK140" i="2"/>
  <c r="AO140" i="2" s="1"/>
  <c r="AK128" i="2"/>
  <c r="AO128" i="2" s="1"/>
  <c r="AK116" i="2"/>
  <c r="AO116" i="2" s="1"/>
  <c r="AK104" i="2"/>
  <c r="AO104" i="2" s="1"/>
  <c r="AK92" i="2"/>
  <c r="AO92" i="2" s="1"/>
  <c r="AK80" i="2"/>
  <c r="AO80" i="2" s="1"/>
  <c r="AK68" i="2"/>
  <c r="AO68" i="2" s="1"/>
  <c r="AK56" i="2"/>
  <c r="AO56" i="2" s="1"/>
  <c r="AK44" i="2"/>
  <c r="AO44" i="2" s="1"/>
  <c r="AK32" i="2"/>
  <c r="AO32" i="2" s="1"/>
  <c r="AK20" i="2"/>
  <c r="AO20" i="2" s="1"/>
  <c r="AK8" i="2"/>
  <c r="AO8" i="2" s="1"/>
  <c r="AK475" i="2"/>
  <c r="AO475" i="2" s="1"/>
  <c r="AK463" i="2"/>
  <c r="AO463" i="2" s="1"/>
  <c r="AK451" i="2"/>
  <c r="AO451" i="2" s="1"/>
  <c r="AK439" i="2"/>
  <c r="AO439" i="2" s="1"/>
  <c r="AK427" i="2"/>
  <c r="AO427" i="2" s="1"/>
  <c r="AK415" i="2"/>
  <c r="AO415" i="2" s="1"/>
  <c r="AK403" i="2"/>
  <c r="AO403" i="2" s="1"/>
  <c r="AK391" i="2"/>
  <c r="AO391" i="2" s="1"/>
  <c r="AK379" i="2"/>
  <c r="AO379" i="2" s="1"/>
  <c r="AK367" i="2"/>
  <c r="AO367" i="2" s="1"/>
  <c r="AK355" i="2"/>
  <c r="AO355" i="2" s="1"/>
  <c r="AK343" i="2"/>
  <c r="AO343" i="2" s="1"/>
  <c r="AK331" i="2"/>
  <c r="AO331" i="2" s="1"/>
  <c r="AK319" i="2"/>
  <c r="AO319" i="2" s="1"/>
  <c r="AK307" i="2"/>
  <c r="AO307" i="2" s="1"/>
  <c r="AK295" i="2"/>
  <c r="AO295" i="2" s="1"/>
  <c r="AK283" i="2"/>
  <c r="AO283" i="2" s="1"/>
  <c r="AK271" i="2"/>
  <c r="AO271" i="2" s="1"/>
  <c r="AK259" i="2"/>
  <c r="AO259" i="2" s="1"/>
  <c r="AK247" i="2"/>
  <c r="AO247" i="2" s="1"/>
  <c r="AK235" i="2"/>
  <c r="AO235" i="2" s="1"/>
  <c r="AK223" i="2"/>
  <c r="AO223" i="2" s="1"/>
  <c r="AK211" i="2"/>
  <c r="AO211" i="2" s="1"/>
  <c r="AK199" i="2"/>
  <c r="AO199" i="2" s="1"/>
  <c r="AK187" i="2"/>
  <c r="AO187" i="2" s="1"/>
  <c r="AK175" i="2"/>
  <c r="AO175" i="2" s="1"/>
  <c r="AK163" i="2"/>
  <c r="AO163" i="2" s="1"/>
  <c r="AK151" i="2"/>
  <c r="AO151" i="2" s="1"/>
  <c r="AK139" i="2"/>
  <c r="AO139" i="2" s="1"/>
  <c r="AK127" i="2"/>
  <c r="AO127" i="2" s="1"/>
  <c r="AK115" i="2"/>
  <c r="AO115" i="2" s="1"/>
  <c r="AK103" i="2"/>
  <c r="AO103" i="2" s="1"/>
  <c r="AK91" i="2"/>
  <c r="AO91" i="2" s="1"/>
  <c r="AK79" i="2"/>
  <c r="AO79" i="2" s="1"/>
  <c r="AK67" i="2"/>
  <c r="AO67" i="2" s="1"/>
  <c r="AK55" i="2"/>
  <c r="AO55" i="2" s="1"/>
  <c r="AK43" i="2"/>
  <c r="AO43" i="2" s="1"/>
  <c r="AK31" i="2"/>
  <c r="AO31" i="2" s="1"/>
  <c r="AK19" i="2"/>
  <c r="AO19" i="2" s="1"/>
  <c r="AK7" i="2"/>
  <c r="AO7" i="2" s="1"/>
  <c r="AK474" i="2"/>
  <c r="AO474" i="2" s="1"/>
  <c r="AK462" i="2"/>
  <c r="AO462" i="2" s="1"/>
  <c r="AK450" i="2"/>
  <c r="AO450" i="2" s="1"/>
  <c r="AK438" i="2"/>
  <c r="AO438" i="2" s="1"/>
  <c r="AK426" i="2"/>
  <c r="AO426" i="2" s="1"/>
  <c r="AK414" i="2"/>
  <c r="AO414" i="2" s="1"/>
  <c r="AK402" i="2"/>
  <c r="AO402" i="2" s="1"/>
  <c r="AK390" i="2"/>
  <c r="AO390" i="2" s="1"/>
  <c r="AK378" i="2"/>
  <c r="AO378" i="2" s="1"/>
  <c r="AK366" i="2"/>
  <c r="AO366" i="2" s="1"/>
  <c r="AK354" i="2"/>
  <c r="AO354" i="2" s="1"/>
  <c r="AK342" i="2"/>
  <c r="AO342" i="2" s="1"/>
  <c r="AK330" i="2"/>
  <c r="AO330" i="2" s="1"/>
  <c r="AK318" i="2"/>
  <c r="AO318" i="2" s="1"/>
  <c r="AK306" i="2"/>
  <c r="AO306" i="2" s="1"/>
  <c r="AK294" i="2"/>
  <c r="AO294" i="2" s="1"/>
  <c r="AK282" i="2"/>
  <c r="AO282" i="2" s="1"/>
  <c r="AK270" i="2"/>
  <c r="AO270" i="2" s="1"/>
  <c r="AK258" i="2"/>
  <c r="AO258" i="2" s="1"/>
  <c r="AK246" i="2"/>
  <c r="AO246" i="2" s="1"/>
  <c r="AK234" i="2"/>
  <c r="AO234" i="2" s="1"/>
  <c r="AK222" i="2"/>
  <c r="AO222" i="2" s="1"/>
  <c r="AK210" i="2"/>
  <c r="AO210" i="2" s="1"/>
  <c r="AK198" i="2"/>
  <c r="AO198" i="2" s="1"/>
  <c r="AK186" i="2"/>
  <c r="AO186" i="2" s="1"/>
  <c r="AK174" i="2"/>
  <c r="AO174" i="2" s="1"/>
  <c r="AK162" i="2"/>
  <c r="AO162" i="2" s="1"/>
  <c r="AK150" i="2"/>
  <c r="AO150" i="2" s="1"/>
  <c r="AK138" i="2"/>
  <c r="AO138" i="2" s="1"/>
  <c r="AK126" i="2"/>
  <c r="AO126" i="2" s="1"/>
  <c r="AK114" i="2"/>
  <c r="AO114" i="2" s="1"/>
  <c r="AK102" i="2"/>
  <c r="AO102" i="2" s="1"/>
  <c r="AK90" i="2"/>
  <c r="AO90" i="2" s="1"/>
  <c r="AK78" i="2"/>
  <c r="AO78" i="2" s="1"/>
  <c r="AK66" i="2"/>
  <c r="AO66" i="2" s="1"/>
  <c r="AK54" i="2"/>
  <c r="AO54" i="2" s="1"/>
  <c r="AK42" i="2"/>
  <c r="AO42" i="2" s="1"/>
  <c r="AK30" i="2"/>
  <c r="AO30" i="2" s="1"/>
  <c r="AK18" i="2"/>
  <c r="AO18" i="2" s="1"/>
  <c r="AK6" i="2"/>
  <c r="AO6" i="2" s="1"/>
  <c r="AK473" i="2"/>
  <c r="AO473" i="2" s="1"/>
  <c r="AK461" i="2"/>
  <c r="AO461" i="2" s="1"/>
  <c r="AK449" i="2"/>
  <c r="AO449" i="2" s="1"/>
  <c r="AK437" i="2"/>
  <c r="AO437" i="2" s="1"/>
  <c r="AK425" i="2"/>
  <c r="AO425" i="2" s="1"/>
  <c r="AK413" i="2"/>
  <c r="AO413" i="2" s="1"/>
  <c r="AK401" i="2"/>
  <c r="AO401" i="2" s="1"/>
  <c r="AK389" i="2"/>
  <c r="AO389" i="2" s="1"/>
  <c r="AK377" i="2"/>
  <c r="AO377" i="2" s="1"/>
  <c r="AK365" i="2"/>
  <c r="AO365" i="2" s="1"/>
  <c r="AK353" i="2"/>
  <c r="AO353" i="2" s="1"/>
  <c r="AK341" i="2"/>
  <c r="AO341" i="2" s="1"/>
  <c r="AK329" i="2"/>
  <c r="AO329" i="2" s="1"/>
  <c r="AK317" i="2"/>
  <c r="AO317" i="2" s="1"/>
  <c r="AK305" i="2"/>
  <c r="AO305" i="2" s="1"/>
  <c r="AK293" i="2"/>
  <c r="AO293" i="2" s="1"/>
  <c r="AK281" i="2"/>
  <c r="AO281" i="2" s="1"/>
  <c r="AK269" i="2"/>
  <c r="AO269" i="2" s="1"/>
  <c r="AK257" i="2"/>
  <c r="AO257" i="2" s="1"/>
  <c r="AK245" i="2"/>
  <c r="AO245" i="2" s="1"/>
  <c r="AK233" i="2"/>
  <c r="AO233" i="2" s="1"/>
  <c r="AK221" i="2"/>
  <c r="AO221" i="2" s="1"/>
  <c r="AK209" i="2"/>
  <c r="AO209" i="2" s="1"/>
  <c r="AK197" i="2"/>
  <c r="AO197" i="2" s="1"/>
  <c r="AK185" i="2"/>
  <c r="AO185" i="2" s="1"/>
  <c r="AK173" i="2"/>
  <c r="AO173" i="2" s="1"/>
  <c r="AK161" i="2"/>
  <c r="AO161" i="2" s="1"/>
  <c r="AK149" i="2"/>
  <c r="AO149" i="2" s="1"/>
  <c r="AK137" i="2"/>
  <c r="AO137" i="2" s="1"/>
  <c r="AK125" i="2"/>
  <c r="AO125" i="2" s="1"/>
  <c r="AK113" i="2"/>
  <c r="AO113" i="2" s="1"/>
  <c r="AK101" i="2"/>
  <c r="AO101" i="2" s="1"/>
  <c r="AK89" i="2"/>
  <c r="AO89" i="2" s="1"/>
  <c r="AK77" i="2"/>
  <c r="AO77" i="2" s="1"/>
  <c r="AK65" i="2"/>
  <c r="AO65" i="2" s="1"/>
  <c r="AK53" i="2"/>
  <c r="AO53" i="2" s="1"/>
  <c r="AK41" i="2"/>
  <c r="AO41" i="2" s="1"/>
  <c r="AK29" i="2"/>
  <c r="AO29" i="2" s="1"/>
  <c r="AK17" i="2"/>
  <c r="AO17" i="2" s="1"/>
  <c r="AK5" i="2"/>
  <c r="AO5" i="2" s="1"/>
  <c r="AK472" i="2"/>
  <c r="AO472" i="2" s="1"/>
  <c r="AK460" i="2"/>
  <c r="AO460" i="2" s="1"/>
  <c r="AK448" i="2"/>
  <c r="AO448" i="2" s="1"/>
  <c r="AK436" i="2"/>
  <c r="AO436" i="2" s="1"/>
  <c r="AK424" i="2"/>
  <c r="AO424" i="2" s="1"/>
  <c r="AK412" i="2"/>
  <c r="AO412" i="2" s="1"/>
  <c r="AK400" i="2"/>
  <c r="AO400" i="2" s="1"/>
  <c r="AK388" i="2"/>
  <c r="AO388" i="2" s="1"/>
  <c r="AK376" i="2"/>
  <c r="AO376" i="2" s="1"/>
  <c r="AK364" i="2"/>
  <c r="AO364" i="2" s="1"/>
  <c r="AK352" i="2"/>
  <c r="AO352" i="2" s="1"/>
  <c r="AK340" i="2"/>
  <c r="AO340" i="2" s="1"/>
  <c r="AK328" i="2"/>
  <c r="AO328" i="2" s="1"/>
  <c r="AK316" i="2"/>
  <c r="AO316" i="2" s="1"/>
  <c r="AK304" i="2"/>
  <c r="AO304" i="2" s="1"/>
  <c r="AK292" i="2"/>
  <c r="AO292" i="2" s="1"/>
  <c r="AK280" i="2"/>
  <c r="AO280" i="2" s="1"/>
  <c r="AK268" i="2"/>
  <c r="AO268" i="2" s="1"/>
  <c r="AK256" i="2"/>
  <c r="AO256" i="2" s="1"/>
  <c r="AK244" i="2"/>
  <c r="AO244" i="2" s="1"/>
  <c r="AK232" i="2"/>
  <c r="AO232" i="2" s="1"/>
  <c r="AK220" i="2"/>
  <c r="AO220" i="2" s="1"/>
  <c r="AK208" i="2"/>
  <c r="AO208" i="2" s="1"/>
  <c r="AK196" i="2"/>
  <c r="AO196" i="2" s="1"/>
  <c r="AK184" i="2"/>
  <c r="AO184" i="2" s="1"/>
  <c r="AK172" i="2"/>
  <c r="AO172" i="2" s="1"/>
  <c r="AK160" i="2"/>
  <c r="AO160" i="2" s="1"/>
  <c r="AK148" i="2"/>
  <c r="AO148" i="2" s="1"/>
  <c r="AK136" i="2"/>
  <c r="AO136" i="2" s="1"/>
  <c r="AK124" i="2"/>
  <c r="AO124" i="2" s="1"/>
  <c r="AK112" i="2"/>
  <c r="AO112" i="2" s="1"/>
  <c r="AK100" i="2"/>
  <c r="AO100" i="2" s="1"/>
  <c r="AK88" i="2"/>
  <c r="AO88" i="2" s="1"/>
  <c r="AK76" i="2"/>
  <c r="AO76" i="2" s="1"/>
  <c r="AK64" i="2"/>
  <c r="AO64" i="2" s="1"/>
  <c r="AK52" i="2"/>
  <c r="AO52" i="2" s="1"/>
  <c r="AK40" i="2"/>
  <c r="AO40" i="2" s="1"/>
  <c r="AK28" i="2"/>
  <c r="AO28" i="2" s="1"/>
  <c r="AK16" i="2"/>
  <c r="AO16" i="2" s="1"/>
  <c r="AK4" i="2"/>
  <c r="AO4" i="2" s="1"/>
  <c r="AK471" i="2"/>
  <c r="AO471" i="2" s="1"/>
  <c r="AK459" i="2"/>
  <c r="AO459" i="2" s="1"/>
  <c r="AK447" i="2"/>
  <c r="AO447" i="2" s="1"/>
  <c r="AK435" i="2"/>
  <c r="AO435" i="2" s="1"/>
  <c r="AK423" i="2"/>
  <c r="AO423" i="2" s="1"/>
  <c r="AK411" i="2"/>
  <c r="AO411" i="2" s="1"/>
  <c r="AK399" i="2"/>
  <c r="AO399" i="2" s="1"/>
  <c r="AK387" i="2"/>
  <c r="AO387" i="2" s="1"/>
  <c r="AK375" i="2"/>
  <c r="AO375" i="2" s="1"/>
  <c r="AK363" i="2"/>
  <c r="AO363" i="2" s="1"/>
  <c r="AK351" i="2"/>
  <c r="AO351" i="2" s="1"/>
  <c r="AK339" i="2"/>
  <c r="AO339" i="2" s="1"/>
  <c r="AK327" i="2"/>
  <c r="AO327" i="2" s="1"/>
  <c r="AK315" i="2"/>
  <c r="AO315" i="2" s="1"/>
  <c r="AK303" i="2"/>
  <c r="AO303" i="2" s="1"/>
  <c r="AK291" i="2"/>
  <c r="AO291" i="2" s="1"/>
  <c r="AK279" i="2"/>
  <c r="AO279" i="2" s="1"/>
  <c r="AK267" i="2"/>
  <c r="AO267" i="2" s="1"/>
  <c r="AK255" i="2"/>
  <c r="AO255" i="2" s="1"/>
  <c r="AK243" i="2"/>
  <c r="AO243" i="2" s="1"/>
  <c r="AK231" i="2"/>
  <c r="AO231" i="2" s="1"/>
  <c r="AK219" i="2"/>
  <c r="AO219" i="2" s="1"/>
  <c r="AK207" i="2"/>
  <c r="AO207" i="2" s="1"/>
  <c r="AK195" i="2"/>
  <c r="AO195" i="2" s="1"/>
  <c r="AK183" i="2"/>
  <c r="AO183" i="2" s="1"/>
  <c r="AK171" i="2"/>
  <c r="AO171" i="2" s="1"/>
  <c r="AK159" i="2"/>
  <c r="AO159" i="2" s="1"/>
  <c r="AK147" i="2"/>
  <c r="AO147" i="2" s="1"/>
  <c r="AK135" i="2"/>
  <c r="AO135" i="2" s="1"/>
  <c r="AK123" i="2"/>
  <c r="AO123" i="2" s="1"/>
  <c r="AK111" i="2"/>
  <c r="AO111" i="2" s="1"/>
  <c r="AK99" i="2"/>
  <c r="AO99" i="2" s="1"/>
  <c r="AK87" i="2"/>
  <c r="AO87" i="2" s="1"/>
  <c r="AK75" i="2"/>
  <c r="AO75" i="2" s="1"/>
  <c r="AK63" i="2"/>
  <c r="AO63" i="2" s="1"/>
  <c r="AK51" i="2"/>
  <c r="AO51" i="2" s="1"/>
  <c r="AK39" i="2"/>
  <c r="AO39" i="2" s="1"/>
  <c r="AK27" i="2"/>
  <c r="AO27" i="2" s="1"/>
  <c r="AK15" i="2"/>
  <c r="AO15" i="2" s="1"/>
  <c r="AK3" i="2"/>
  <c r="AO3" i="2" s="1"/>
  <c r="AK470" i="2"/>
  <c r="AO470" i="2" s="1"/>
  <c r="AK458" i="2"/>
  <c r="AO458" i="2" s="1"/>
  <c r="AK446" i="2"/>
  <c r="AO446" i="2" s="1"/>
  <c r="AK434" i="2"/>
  <c r="AO434" i="2" s="1"/>
  <c r="AK422" i="2"/>
  <c r="AO422" i="2" s="1"/>
  <c r="AK410" i="2"/>
  <c r="AO410" i="2" s="1"/>
  <c r="AK398" i="2"/>
  <c r="AO398" i="2" s="1"/>
  <c r="AK386" i="2"/>
  <c r="AO386" i="2" s="1"/>
  <c r="AK374" i="2"/>
  <c r="AO374" i="2" s="1"/>
  <c r="AK362" i="2"/>
  <c r="AO362" i="2" s="1"/>
  <c r="AK350" i="2"/>
  <c r="AO350" i="2" s="1"/>
  <c r="AK338" i="2"/>
  <c r="AO338" i="2" s="1"/>
  <c r="AK326" i="2"/>
  <c r="AO326" i="2" s="1"/>
  <c r="AK314" i="2"/>
  <c r="AO314" i="2" s="1"/>
  <c r="AK302" i="2"/>
  <c r="AO302" i="2" s="1"/>
  <c r="AK290" i="2"/>
  <c r="AO290" i="2" s="1"/>
  <c r="AK278" i="2"/>
  <c r="AO278" i="2" s="1"/>
  <c r="AK266" i="2"/>
  <c r="AO266" i="2" s="1"/>
  <c r="AK254" i="2"/>
  <c r="AO254" i="2" s="1"/>
  <c r="AK242" i="2"/>
  <c r="AO242" i="2" s="1"/>
  <c r="AK230" i="2"/>
  <c r="AO230" i="2" s="1"/>
  <c r="AK218" i="2"/>
  <c r="AO218" i="2" s="1"/>
  <c r="AK206" i="2"/>
  <c r="AO206" i="2" s="1"/>
  <c r="AK194" i="2"/>
  <c r="AO194" i="2" s="1"/>
  <c r="AK182" i="2"/>
  <c r="AO182" i="2" s="1"/>
  <c r="AK170" i="2"/>
  <c r="AO170" i="2" s="1"/>
  <c r="AK158" i="2"/>
  <c r="AO158" i="2" s="1"/>
  <c r="AK146" i="2"/>
  <c r="AO146" i="2" s="1"/>
  <c r="AK134" i="2"/>
  <c r="AO134" i="2" s="1"/>
  <c r="AK122" i="2"/>
  <c r="AO122" i="2" s="1"/>
  <c r="AK110" i="2"/>
  <c r="AO110" i="2" s="1"/>
  <c r="AK98" i="2"/>
  <c r="AO98" i="2" s="1"/>
  <c r="AK86" i="2"/>
  <c r="AO86" i="2" s="1"/>
  <c r="AK74" i="2"/>
  <c r="AO74" i="2" s="1"/>
  <c r="AK62" i="2"/>
  <c r="AO62" i="2" s="1"/>
  <c r="AK50" i="2"/>
  <c r="AO50" i="2" s="1"/>
  <c r="AK38" i="2"/>
  <c r="AO38" i="2" s="1"/>
  <c r="AK26" i="2"/>
  <c r="AO26" i="2" s="1"/>
  <c r="AK14" i="2"/>
  <c r="AO14" i="2" s="1"/>
  <c r="AK2" i="2"/>
  <c r="AO2" i="2" s="1"/>
  <c r="V481" i="2"/>
  <c r="V469" i="2"/>
  <c r="V457" i="2"/>
  <c r="V445" i="2"/>
  <c r="V433" i="2"/>
  <c r="V421" i="2"/>
  <c r="V409" i="2"/>
  <c r="V397" i="2"/>
  <c r="V385" i="2"/>
  <c r="V373" i="2"/>
  <c r="V361" i="2"/>
  <c r="V349" i="2"/>
  <c r="V337" i="2"/>
  <c r="V325" i="2"/>
  <c r="V313" i="2"/>
  <c r="V301" i="2"/>
  <c r="V289" i="2"/>
  <c r="V277" i="2"/>
  <c r="V265" i="2"/>
  <c r="V253" i="2"/>
  <c r="V241" i="2"/>
  <c r="V229" i="2"/>
  <c r="V217" i="2"/>
  <c r="V205" i="2"/>
  <c r="V193" i="2"/>
  <c r="V181" i="2"/>
  <c r="V169" i="2"/>
  <c r="V157" i="2"/>
  <c r="V145" i="2"/>
  <c r="V133" i="2"/>
  <c r="V121" i="2"/>
  <c r="V109" i="2"/>
  <c r="V97" i="2"/>
  <c r="V85" i="2"/>
  <c r="V73" i="2"/>
  <c r="V61" i="2"/>
  <c r="V49" i="2"/>
  <c r="V37" i="2"/>
  <c r="V25" i="2"/>
  <c r="V13" i="2"/>
  <c r="V480" i="2"/>
  <c r="V468" i="2"/>
  <c r="V456" i="2"/>
  <c r="V444" i="2"/>
  <c r="V432" i="2"/>
  <c r="V420" i="2"/>
  <c r="V408" i="2"/>
  <c r="V396" i="2"/>
  <c r="V384" i="2"/>
  <c r="V372" i="2"/>
  <c r="V360" i="2"/>
  <c r="V348" i="2"/>
  <c r="V336" i="2"/>
  <c r="V324" i="2"/>
  <c r="V312" i="2"/>
  <c r="V300" i="2"/>
  <c r="V288" i="2"/>
  <c r="V276" i="2"/>
  <c r="V264" i="2"/>
  <c r="V252" i="2"/>
  <c r="V240" i="2"/>
  <c r="V228" i="2"/>
  <c r="V216" i="2"/>
  <c r="V204" i="2"/>
  <c r="V192" i="2"/>
  <c r="V180" i="2"/>
  <c r="V168" i="2"/>
  <c r="V156" i="2"/>
  <c r="V144" i="2"/>
  <c r="V132" i="2"/>
  <c r="V120" i="2"/>
  <c r="V108" i="2"/>
  <c r="V96" i="2"/>
  <c r="V84" i="2"/>
  <c r="V72" i="2"/>
  <c r="V60" i="2"/>
  <c r="V48" i="2"/>
  <c r="V36" i="2"/>
  <c r="V24" i="2"/>
  <c r="V12" i="2"/>
  <c r="V479" i="2"/>
  <c r="V467" i="2"/>
  <c r="V455" i="2"/>
  <c r="V443" i="2"/>
  <c r="V431" i="2"/>
  <c r="V419" i="2"/>
  <c r="V407" i="2"/>
  <c r="V395" i="2"/>
  <c r="V383" i="2"/>
  <c r="V371" i="2"/>
  <c r="V359" i="2"/>
  <c r="V347" i="2"/>
  <c r="V335" i="2"/>
  <c r="V323" i="2"/>
  <c r="V311" i="2"/>
  <c r="V299" i="2"/>
  <c r="V287" i="2"/>
  <c r="V275" i="2"/>
  <c r="V263" i="2"/>
  <c r="V251" i="2"/>
  <c r="V239" i="2"/>
  <c r="V227" i="2"/>
  <c r="V215" i="2"/>
  <c r="V203" i="2"/>
  <c r="V191" i="2"/>
  <c r="V179" i="2"/>
  <c r="V167" i="2"/>
  <c r="V155" i="2"/>
  <c r="V143" i="2"/>
  <c r="V131" i="2"/>
  <c r="V119" i="2"/>
  <c r="V107" i="2"/>
  <c r="V95" i="2"/>
  <c r="V83" i="2"/>
  <c r="V71" i="2"/>
  <c r="V59" i="2"/>
  <c r="V47" i="2"/>
  <c r="V35" i="2"/>
  <c r="V23" i="2"/>
  <c r="V11" i="2"/>
  <c r="V478" i="2"/>
  <c r="V466" i="2"/>
  <c r="V454" i="2"/>
  <c r="V442" i="2"/>
  <c r="V430" i="2"/>
  <c r="V418" i="2"/>
  <c r="V406" i="2"/>
  <c r="V394" i="2"/>
  <c r="V382" i="2"/>
  <c r="V370" i="2"/>
  <c r="V358" i="2"/>
  <c r="V346" i="2"/>
  <c r="V334" i="2"/>
  <c r="V322" i="2"/>
  <c r="V310" i="2"/>
  <c r="V298" i="2"/>
  <c r="V286" i="2"/>
  <c r="V274" i="2"/>
  <c r="V262" i="2"/>
  <c r="V250" i="2"/>
  <c r="V238" i="2"/>
  <c r="V226" i="2"/>
  <c r="V214" i="2"/>
  <c r="V202" i="2"/>
  <c r="V190" i="2"/>
  <c r="V178" i="2"/>
  <c r="V166" i="2"/>
  <c r="V154" i="2"/>
  <c r="V142" i="2"/>
  <c r="V130" i="2"/>
  <c r="V118" i="2"/>
  <c r="V106" i="2"/>
  <c r="V94" i="2"/>
  <c r="V82" i="2"/>
  <c r="V70" i="2"/>
  <c r="V58" i="2"/>
  <c r="V46" i="2"/>
  <c r="V34" i="2"/>
  <c r="V22" i="2"/>
  <c r="V10" i="2"/>
  <c r="V477" i="2"/>
  <c r="V465" i="2"/>
  <c r="V453" i="2"/>
  <c r="V441" i="2"/>
  <c r="V429" i="2"/>
  <c r="V417" i="2"/>
  <c r="V405" i="2"/>
  <c r="V393" i="2"/>
  <c r="V381" i="2"/>
  <c r="V369" i="2"/>
  <c r="V357" i="2"/>
  <c r="V345" i="2"/>
  <c r="V333" i="2"/>
  <c r="V321" i="2"/>
  <c r="V309" i="2"/>
  <c r="V297" i="2"/>
  <c r="V285" i="2"/>
  <c r="V273" i="2"/>
  <c r="V261" i="2"/>
  <c r="V249" i="2"/>
  <c r="V237" i="2"/>
  <c r="V225" i="2"/>
  <c r="V213" i="2"/>
  <c r="V201" i="2"/>
  <c r="V189" i="2"/>
  <c r="V177" i="2"/>
  <c r="V165" i="2"/>
  <c r="V153" i="2"/>
  <c r="V141" i="2"/>
  <c r="V129" i="2"/>
  <c r="V117" i="2"/>
  <c r="V105" i="2"/>
  <c r="V93" i="2"/>
  <c r="V81" i="2"/>
  <c r="V69" i="2"/>
  <c r="V57" i="2"/>
  <c r="V45" i="2"/>
  <c r="V33" i="2"/>
  <c r="V21" i="2"/>
  <c r="V9" i="2"/>
  <c r="V476" i="2"/>
  <c r="V464" i="2"/>
  <c r="V452" i="2"/>
  <c r="V440" i="2"/>
  <c r="V428" i="2"/>
  <c r="V416" i="2"/>
  <c r="V404" i="2"/>
  <c r="V392" i="2"/>
  <c r="V380" i="2"/>
  <c r="V368" i="2"/>
  <c r="V356" i="2"/>
  <c r="V344" i="2"/>
  <c r="V332" i="2"/>
  <c r="V320" i="2"/>
  <c r="V308" i="2"/>
  <c r="V296" i="2"/>
  <c r="V284" i="2"/>
  <c r="V272" i="2"/>
  <c r="V260" i="2"/>
  <c r="V248" i="2"/>
  <c r="V236" i="2"/>
  <c r="V224" i="2"/>
  <c r="V212" i="2"/>
  <c r="V200" i="2"/>
  <c r="V188" i="2"/>
  <c r="V176" i="2"/>
  <c r="V164" i="2"/>
  <c r="V152" i="2"/>
  <c r="V140" i="2"/>
  <c r="V128" i="2"/>
  <c r="V116" i="2"/>
  <c r="V104" i="2"/>
  <c r="V92" i="2"/>
  <c r="V80" i="2"/>
  <c r="V68" i="2"/>
  <c r="V56" i="2"/>
  <c r="V44" i="2"/>
  <c r="V32" i="2"/>
  <c r="V20" i="2"/>
  <c r="V8" i="2"/>
  <c r="V475" i="2"/>
  <c r="V463" i="2"/>
  <c r="V451" i="2"/>
  <c r="V439" i="2"/>
  <c r="V427" i="2"/>
  <c r="V415" i="2"/>
  <c r="V403" i="2"/>
  <c r="V391" i="2"/>
  <c r="V379" i="2"/>
  <c r="V367" i="2"/>
  <c r="V355" i="2"/>
  <c r="V343" i="2"/>
  <c r="V331" i="2"/>
  <c r="V319" i="2"/>
  <c r="V307" i="2"/>
  <c r="V295" i="2"/>
  <c r="V283" i="2"/>
  <c r="V271" i="2"/>
  <c r="V259" i="2"/>
  <c r="V247" i="2"/>
  <c r="V235" i="2"/>
  <c r="V223" i="2"/>
  <c r="V211" i="2"/>
  <c r="V199" i="2"/>
  <c r="V187" i="2"/>
  <c r="V175" i="2"/>
  <c r="V163" i="2"/>
  <c r="V151" i="2"/>
  <c r="V139" i="2"/>
  <c r="V127" i="2"/>
  <c r="V115" i="2"/>
  <c r="V103" i="2"/>
  <c r="V91" i="2"/>
  <c r="V79" i="2"/>
  <c r="V67" i="2"/>
  <c r="V55" i="2"/>
  <c r="V43" i="2"/>
  <c r="V31" i="2"/>
  <c r="V19" i="2"/>
  <c r="V7" i="2"/>
  <c r="V474" i="2"/>
  <c r="V462" i="2"/>
  <c r="V450" i="2"/>
  <c r="V438" i="2"/>
  <c r="V426" i="2"/>
  <c r="V414" i="2"/>
  <c r="V402" i="2"/>
  <c r="V390" i="2"/>
  <c r="V378" i="2"/>
  <c r="V366" i="2"/>
  <c r="V354" i="2"/>
  <c r="V342" i="2"/>
  <c r="V330" i="2"/>
  <c r="V318" i="2"/>
  <c r="V306" i="2"/>
  <c r="V294" i="2"/>
  <c r="V282" i="2"/>
  <c r="V270" i="2"/>
  <c r="V258" i="2"/>
  <c r="V246" i="2"/>
  <c r="V234" i="2"/>
  <c r="V222" i="2"/>
  <c r="V210" i="2"/>
  <c r="V198" i="2"/>
  <c r="V186" i="2"/>
  <c r="V174" i="2"/>
  <c r="V162" i="2"/>
  <c r="V150" i="2"/>
  <c r="V138" i="2"/>
  <c r="V126" i="2"/>
  <c r="V114" i="2"/>
  <c r="V102" i="2"/>
  <c r="V90" i="2"/>
  <c r="V78" i="2"/>
  <c r="V66" i="2"/>
  <c r="V54" i="2"/>
  <c r="V42" i="2"/>
  <c r="V30" i="2"/>
  <c r="V18" i="2"/>
  <c r="V6" i="2"/>
  <c r="V473" i="2"/>
  <c r="V461" i="2"/>
  <c r="V449" i="2"/>
  <c r="V437" i="2"/>
  <c r="V425" i="2"/>
  <c r="V413" i="2"/>
  <c r="V401" i="2"/>
  <c r="V389" i="2"/>
  <c r="V377" i="2"/>
  <c r="V365" i="2"/>
  <c r="V353" i="2"/>
  <c r="V341" i="2"/>
  <c r="V329" i="2"/>
  <c r="V317" i="2"/>
  <c r="V305" i="2"/>
  <c r="V293" i="2"/>
  <c r="V281" i="2"/>
  <c r="V269" i="2"/>
  <c r="V257" i="2"/>
  <c r="V245" i="2"/>
  <c r="V233" i="2"/>
  <c r="V221" i="2"/>
  <c r="V209" i="2"/>
  <c r="V197" i="2"/>
  <c r="V185" i="2"/>
  <c r="V173" i="2"/>
  <c r="V161" i="2"/>
  <c r="V149" i="2"/>
  <c r="V137" i="2"/>
  <c r="V125" i="2"/>
  <c r="V113" i="2"/>
  <c r="V101" i="2"/>
  <c r="V89" i="2"/>
  <c r="V77" i="2"/>
  <c r="V65" i="2"/>
  <c r="V53" i="2"/>
  <c r="V41" i="2"/>
  <c r="V29" i="2"/>
  <c r="V17" i="2"/>
  <c r="V5" i="2"/>
  <c r="V472" i="2"/>
  <c r="V460" i="2"/>
  <c r="V448" i="2"/>
  <c r="V436" i="2"/>
  <c r="V424" i="2"/>
  <c r="V412" i="2"/>
  <c r="V400" i="2"/>
  <c r="V388" i="2"/>
  <c r="V376" i="2"/>
  <c r="V364" i="2"/>
  <c r="V352" i="2"/>
  <c r="V340" i="2"/>
  <c r="V328" i="2"/>
  <c r="V316" i="2"/>
  <c r="V304" i="2"/>
  <c r="V292" i="2"/>
  <c r="V280" i="2"/>
  <c r="V268" i="2"/>
  <c r="V256" i="2"/>
  <c r="V244" i="2"/>
  <c r="V232" i="2"/>
  <c r="V220" i="2"/>
  <c r="V208" i="2"/>
  <c r="V196" i="2"/>
  <c r="V184" i="2"/>
  <c r="V172" i="2"/>
  <c r="V160" i="2"/>
  <c r="V148" i="2"/>
  <c r="V136" i="2"/>
  <c r="V124" i="2"/>
  <c r="V112" i="2"/>
  <c r="V100" i="2"/>
  <c r="V88" i="2"/>
  <c r="V76" i="2"/>
  <c r="V64" i="2"/>
  <c r="V52" i="2"/>
  <c r="V40" i="2"/>
  <c r="V28" i="2"/>
  <c r="V16" i="2"/>
  <c r="V4" i="2"/>
  <c r="V471" i="2"/>
  <c r="V459" i="2"/>
  <c r="V447" i="2"/>
  <c r="V435" i="2"/>
  <c r="V423" i="2"/>
  <c r="V411" i="2"/>
  <c r="V399" i="2"/>
  <c r="V387" i="2"/>
  <c r="V375" i="2"/>
  <c r="V363" i="2"/>
  <c r="V351" i="2"/>
  <c r="V339" i="2"/>
  <c r="V327" i="2"/>
  <c r="V315" i="2"/>
  <c r="V303" i="2"/>
  <c r="V291" i="2"/>
  <c r="V279" i="2"/>
  <c r="V267" i="2"/>
  <c r="V255" i="2"/>
  <c r="V243" i="2"/>
  <c r="V231" i="2"/>
  <c r="V219" i="2"/>
  <c r="V207" i="2"/>
  <c r="V195" i="2"/>
  <c r="V183" i="2"/>
  <c r="V171" i="2"/>
  <c r="V159" i="2"/>
  <c r="V147" i="2"/>
  <c r="V135" i="2"/>
  <c r="V123" i="2"/>
  <c r="V111" i="2"/>
  <c r="V99" i="2"/>
  <c r="V87" i="2"/>
  <c r="V75" i="2"/>
  <c r="V63" i="2"/>
  <c r="V51" i="2"/>
  <c r="V39" i="2"/>
  <c r="V27" i="2"/>
  <c r="V15" i="2"/>
  <c r="V3" i="2"/>
  <c r="V470" i="2"/>
  <c r="V458" i="2"/>
  <c r="V446" i="2"/>
  <c r="V434" i="2"/>
  <c r="V422" i="2"/>
  <c r="V410" i="2"/>
  <c r="V398" i="2"/>
  <c r="V386" i="2"/>
  <c r="V374" i="2"/>
  <c r="V362" i="2"/>
  <c r="V350" i="2"/>
  <c r="V338" i="2"/>
  <c r="V326" i="2"/>
  <c r="V314" i="2"/>
  <c r="V302" i="2"/>
  <c r="V290" i="2"/>
  <c r="V278" i="2"/>
  <c r="V266" i="2"/>
  <c r="V254" i="2"/>
  <c r="V242" i="2"/>
  <c r="V230" i="2"/>
  <c r="V218" i="2"/>
  <c r="V206" i="2"/>
  <c r="V194" i="2"/>
  <c r="V182" i="2"/>
  <c r="V170" i="2"/>
  <c r="V158" i="2"/>
  <c r="V146" i="2"/>
  <c r="V134" i="2"/>
  <c r="V122" i="2"/>
  <c r="V110" i="2"/>
  <c r="V98" i="2"/>
  <c r="V86" i="2"/>
  <c r="V74" i="2"/>
  <c r="V62" i="2"/>
  <c r="V50" i="2"/>
  <c r="V38" i="2"/>
  <c r="V26" i="2"/>
  <c r="V14" i="2"/>
  <c r="V2" i="2"/>
  <c r="C5" i="10" l="1"/>
  <c r="G24" i="3"/>
  <c r="E10" i="8"/>
  <c r="G28" i="3"/>
  <c r="E14" i="8"/>
  <c r="G27" i="3"/>
  <c r="E13" i="8"/>
  <c r="G31" i="3"/>
  <c r="E17" i="8"/>
  <c r="G25" i="3"/>
  <c r="E11" i="8"/>
  <c r="G22" i="3"/>
  <c r="E8" i="8"/>
  <c r="D25" i="8"/>
  <c r="G26" i="3"/>
  <c r="E12" i="8"/>
  <c r="F29" i="3"/>
  <c r="F23" i="3"/>
  <c r="F18" i="8"/>
  <c r="C25" i="8"/>
  <c r="E25" i="8" s="1"/>
  <c r="C18" i="8"/>
  <c r="D18" i="8"/>
  <c r="F30" i="3"/>
  <c r="AL99" i="2"/>
  <c r="AM99" i="2"/>
  <c r="AN99" i="2" s="1"/>
  <c r="AL243" i="2"/>
  <c r="AM243" i="2"/>
  <c r="AN243" i="2" s="1"/>
  <c r="AL387" i="2"/>
  <c r="AM387" i="2"/>
  <c r="AN387" i="2" s="1"/>
  <c r="AL52" i="2"/>
  <c r="AM52" i="2"/>
  <c r="AN52" i="2" s="1"/>
  <c r="AL196" i="2"/>
  <c r="AM196" i="2"/>
  <c r="AN196" i="2" s="1"/>
  <c r="AL340" i="2"/>
  <c r="AM340" i="2"/>
  <c r="AN340" i="2" s="1"/>
  <c r="AL5" i="2"/>
  <c r="AM5" i="2"/>
  <c r="AN5" i="2" s="1"/>
  <c r="AL149" i="2"/>
  <c r="AM149" i="2"/>
  <c r="AN149" i="2" s="1"/>
  <c r="AL293" i="2"/>
  <c r="AM293" i="2"/>
  <c r="AN293" i="2" s="1"/>
  <c r="AL437" i="2"/>
  <c r="AM437" i="2"/>
  <c r="AN437" i="2" s="1"/>
  <c r="AL102" i="2"/>
  <c r="AM102" i="2"/>
  <c r="AN102" i="2" s="1"/>
  <c r="AL246" i="2"/>
  <c r="AM246" i="2"/>
  <c r="AN246" i="2" s="1"/>
  <c r="AL390" i="2"/>
  <c r="AM390" i="2"/>
  <c r="AN390" i="2" s="1"/>
  <c r="AL55" i="2"/>
  <c r="AM55" i="2"/>
  <c r="AN55" i="2" s="1"/>
  <c r="AL199" i="2"/>
  <c r="AM199" i="2"/>
  <c r="AN199" i="2" s="1"/>
  <c r="AL343" i="2"/>
  <c r="AM343" i="2"/>
  <c r="AN343" i="2" s="1"/>
  <c r="AL8" i="2"/>
  <c r="AM8" i="2"/>
  <c r="AN8" i="2" s="1"/>
  <c r="AL152" i="2"/>
  <c r="AM152" i="2"/>
  <c r="AN152" i="2" s="1"/>
  <c r="AL296" i="2"/>
  <c r="AM296" i="2"/>
  <c r="AN296" i="2" s="1"/>
  <c r="AL440" i="2"/>
  <c r="AM440" i="2"/>
  <c r="AN440" i="2" s="1"/>
  <c r="AL105" i="2"/>
  <c r="AM105" i="2"/>
  <c r="AN105" i="2" s="1"/>
  <c r="AL249" i="2"/>
  <c r="AM249" i="2"/>
  <c r="AN249" i="2" s="1"/>
  <c r="AL393" i="2"/>
  <c r="AM393" i="2"/>
  <c r="AN393" i="2" s="1"/>
  <c r="AL58" i="2"/>
  <c r="AM58" i="2"/>
  <c r="AN58" i="2" s="1"/>
  <c r="AL202" i="2"/>
  <c r="AM202" i="2"/>
  <c r="AN202" i="2" s="1"/>
  <c r="AL346" i="2"/>
  <c r="AM346" i="2"/>
  <c r="AN346" i="2" s="1"/>
  <c r="AL11" i="2"/>
  <c r="AM11" i="2"/>
  <c r="AN11" i="2" s="1"/>
  <c r="AL155" i="2"/>
  <c r="AM155" i="2"/>
  <c r="AN155" i="2" s="1"/>
  <c r="AL299" i="2"/>
  <c r="AM299" i="2"/>
  <c r="AN299" i="2" s="1"/>
  <c r="AL443" i="2"/>
  <c r="AM443" i="2"/>
  <c r="AN443" i="2" s="1"/>
  <c r="AL108" i="2"/>
  <c r="AM108" i="2"/>
  <c r="AN108" i="2" s="1"/>
  <c r="AL252" i="2"/>
  <c r="AM252" i="2"/>
  <c r="AN252" i="2" s="1"/>
  <c r="AL396" i="2"/>
  <c r="AM396" i="2"/>
  <c r="AN396" i="2" s="1"/>
  <c r="AL61" i="2"/>
  <c r="AM61" i="2"/>
  <c r="AN61" i="2" s="1"/>
  <c r="AL205" i="2"/>
  <c r="AM205" i="2"/>
  <c r="AN205" i="2" s="1"/>
  <c r="AL349" i="2"/>
  <c r="AM349" i="2"/>
  <c r="AN349" i="2" s="1"/>
  <c r="AL134" i="2"/>
  <c r="AM134" i="2"/>
  <c r="AN134" i="2" s="1"/>
  <c r="AL158" i="2"/>
  <c r="AM158" i="2"/>
  <c r="AN158" i="2" s="1"/>
  <c r="AL302" i="2"/>
  <c r="AM302" i="2"/>
  <c r="AN302" i="2" s="1"/>
  <c r="AL446" i="2"/>
  <c r="AM446" i="2"/>
  <c r="AN446" i="2" s="1"/>
  <c r="AL255" i="2"/>
  <c r="AM255" i="2"/>
  <c r="AN255" i="2" s="1"/>
  <c r="AL399" i="2"/>
  <c r="AM399" i="2"/>
  <c r="AN399" i="2" s="1"/>
  <c r="AL64" i="2"/>
  <c r="AM64" i="2"/>
  <c r="AN64" i="2" s="1"/>
  <c r="AL208" i="2"/>
  <c r="AM208" i="2"/>
  <c r="AN208" i="2" s="1"/>
  <c r="AL352" i="2"/>
  <c r="AM352" i="2"/>
  <c r="AN352" i="2" s="1"/>
  <c r="AL17" i="2"/>
  <c r="AM17" i="2"/>
  <c r="AN17" i="2" s="1"/>
  <c r="AL161" i="2"/>
  <c r="AM161" i="2"/>
  <c r="AN161" i="2" s="1"/>
  <c r="AL305" i="2"/>
  <c r="AM305" i="2"/>
  <c r="AN305" i="2" s="1"/>
  <c r="AL449" i="2"/>
  <c r="AM449" i="2"/>
  <c r="AN449" i="2" s="1"/>
  <c r="AL114" i="2"/>
  <c r="AM114" i="2"/>
  <c r="AN114" i="2" s="1"/>
  <c r="AL258" i="2"/>
  <c r="AM258" i="2"/>
  <c r="AN258" i="2" s="1"/>
  <c r="AL402" i="2"/>
  <c r="AM402" i="2"/>
  <c r="AN402" i="2" s="1"/>
  <c r="AL67" i="2"/>
  <c r="AM67" i="2"/>
  <c r="AN67" i="2" s="1"/>
  <c r="AL211" i="2"/>
  <c r="AM211" i="2"/>
  <c r="AN211" i="2" s="1"/>
  <c r="AL355" i="2"/>
  <c r="AM355" i="2"/>
  <c r="AN355" i="2" s="1"/>
  <c r="AL20" i="2"/>
  <c r="AM20" i="2"/>
  <c r="AN20" i="2" s="1"/>
  <c r="AL164" i="2"/>
  <c r="AM164" i="2"/>
  <c r="AN164" i="2" s="1"/>
  <c r="AL308" i="2"/>
  <c r="AM308" i="2"/>
  <c r="AN308" i="2" s="1"/>
  <c r="AL452" i="2"/>
  <c r="AM452" i="2"/>
  <c r="AN452" i="2" s="1"/>
  <c r="AL117" i="2"/>
  <c r="AM117" i="2"/>
  <c r="AN117" i="2" s="1"/>
  <c r="AL261" i="2"/>
  <c r="AM261" i="2"/>
  <c r="AN261" i="2" s="1"/>
  <c r="AL405" i="2"/>
  <c r="AM405" i="2"/>
  <c r="AN405" i="2" s="1"/>
  <c r="AL70" i="2"/>
  <c r="AM70" i="2"/>
  <c r="AN70" i="2" s="1"/>
  <c r="AL214" i="2"/>
  <c r="AM214" i="2"/>
  <c r="AN214" i="2" s="1"/>
  <c r="AL358" i="2"/>
  <c r="AM358" i="2"/>
  <c r="AN358" i="2" s="1"/>
  <c r="AL23" i="2"/>
  <c r="AM23" i="2"/>
  <c r="AN23" i="2" s="1"/>
  <c r="AL167" i="2"/>
  <c r="AM167" i="2"/>
  <c r="AN167" i="2" s="1"/>
  <c r="AL311" i="2"/>
  <c r="AM311" i="2"/>
  <c r="AN311" i="2" s="1"/>
  <c r="AL455" i="2"/>
  <c r="AM455" i="2"/>
  <c r="AN455" i="2" s="1"/>
  <c r="AL120" i="2"/>
  <c r="AM120" i="2"/>
  <c r="AN120" i="2" s="1"/>
  <c r="AL264" i="2"/>
  <c r="AM264" i="2"/>
  <c r="AN264" i="2" s="1"/>
  <c r="AL408" i="2"/>
  <c r="AM408" i="2"/>
  <c r="AN408" i="2" s="1"/>
  <c r="AL73" i="2"/>
  <c r="AM73" i="2"/>
  <c r="AN73" i="2" s="1"/>
  <c r="AL217" i="2"/>
  <c r="AM217" i="2"/>
  <c r="AN217" i="2" s="1"/>
  <c r="AL361" i="2"/>
  <c r="AM361" i="2"/>
  <c r="AN361" i="2" s="1"/>
  <c r="AL422" i="2"/>
  <c r="AM422" i="2"/>
  <c r="AN422" i="2" s="1"/>
  <c r="AL14" i="2"/>
  <c r="AM14" i="2"/>
  <c r="AN14" i="2" s="1"/>
  <c r="AL111" i="2"/>
  <c r="AM111" i="2"/>
  <c r="AN111" i="2" s="1"/>
  <c r="AL26" i="2"/>
  <c r="AM26" i="2"/>
  <c r="AN26" i="2" s="1"/>
  <c r="AL170" i="2"/>
  <c r="AM170" i="2"/>
  <c r="AN170" i="2" s="1"/>
  <c r="AL314" i="2"/>
  <c r="AM314" i="2"/>
  <c r="AN314" i="2" s="1"/>
  <c r="AL458" i="2"/>
  <c r="AM458" i="2"/>
  <c r="AN458" i="2" s="1"/>
  <c r="AL123" i="2"/>
  <c r="AM123" i="2"/>
  <c r="AN123" i="2" s="1"/>
  <c r="AL267" i="2"/>
  <c r="AM267" i="2"/>
  <c r="AN267" i="2" s="1"/>
  <c r="AL411" i="2"/>
  <c r="AM411" i="2"/>
  <c r="AN411" i="2" s="1"/>
  <c r="AL76" i="2"/>
  <c r="AM76" i="2"/>
  <c r="AN76" i="2" s="1"/>
  <c r="AL220" i="2"/>
  <c r="AM220" i="2"/>
  <c r="AN220" i="2" s="1"/>
  <c r="AL364" i="2"/>
  <c r="AM364" i="2"/>
  <c r="AN364" i="2" s="1"/>
  <c r="AL29" i="2"/>
  <c r="AM29" i="2"/>
  <c r="AN29" i="2" s="1"/>
  <c r="AL173" i="2"/>
  <c r="AM173" i="2"/>
  <c r="AN173" i="2" s="1"/>
  <c r="AL317" i="2"/>
  <c r="AM317" i="2"/>
  <c r="AN317" i="2" s="1"/>
  <c r="AL461" i="2"/>
  <c r="AM461" i="2"/>
  <c r="AN461" i="2" s="1"/>
  <c r="AL126" i="2"/>
  <c r="AM126" i="2"/>
  <c r="AN126" i="2" s="1"/>
  <c r="AL270" i="2"/>
  <c r="AM270" i="2"/>
  <c r="AN270" i="2" s="1"/>
  <c r="AL414" i="2"/>
  <c r="AM414" i="2"/>
  <c r="AN414" i="2" s="1"/>
  <c r="AL79" i="2"/>
  <c r="AM79" i="2"/>
  <c r="AN79" i="2" s="1"/>
  <c r="AL223" i="2"/>
  <c r="AM223" i="2"/>
  <c r="AN223" i="2" s="1"/>
  <c r="AL367" i="2"/>
  <c r="AM367" i="2"/>
  <c r="AN367" i="2" s="1"/>
  <c r="AL32" i="2"/>
  <c r="AM32" i="2"/>
  <c r="AN32" i="2" s="1"/>
  <c r="AL176" i="2"/>
  <c r="AM176" i="2"/>
  <c r="AN176" i="2" s="1"/>
  <c r="AL320" i="2"/>
  <c r="AM320" i="2"/>
  <c r="AN320" i="2" s="1"/>
  <c r="AL464" i="2"/>
  <c r="AM464" i="2"/>
  <c r="AN464" i="2" s="1"/>
  <c r="AL129" i="2"/>
  <c r="AM129" i="2"/>
  <c r="AN129" i="2" s="1"/>
  <c r="AL273" i="2"/>
  <c r="AM273" i="2"/>
  <c r="AN273" i="2" s="1"/>
  <c r="AL417" i="2"/>
  <c r="AM417" i="2"/>
  <c r="AN417" i="2" s="1"/>
  <c r="AL82" i="2"/>
  <c r="AM82" i="2"/>
  <c r="AN82" i="2" s="1"/>
  <c r="AL226" i="2"/>
  <c r="AM226" i="2"/>
  <c r="AN226" i="2" s="1"/>
  <c r="AL370" i="2"/>
  <c r="AM370" i="2"/>
  <c r="AN370" i="2" s="1"/>
  <c r="AL35" i="2"/>
  <c r="AM35" i="2"/>
  <c r="AN35" i="2" s="1"/>
  <c r="AL179" i="2"/>
  <c r="AM179" i="2"/>
  <c r="AN179" i="2" s="1"/>
  <c r="AL323" i="2"/>
  <c r="AM323" i="2"/>
  <c r="AN323" i="2" s="1"/>
  <c r="AL467" i="2"/>
  <c r="AM467" i="2"/>
  <c r="AN467" i="2" s="1"/>
  <c r="AL132" i="2"/>
  <c r="AM132" i="2"/>
  <c r="AN132" i="2" s="1"/>
  <c r="AL276" i="2"/>
  <c r="AM276" i="2"/>
  <c r="AN276" i="2" s="1"/>
  <c r="AL420" i="2"/>
  <c r="AM420" i="2"/>
  <c r="AN420" i="2" s="1"/>
  <c r="AL85" i="2"/>
  <c r="AM85" i="2"/>
  <c r="AN85" i="2" s="1"/>
  <c r="AL229" i="2"/>
  <c r="AM229" i="2"/>
  <c r="AN229" i="2" s="1"/>
  <c r="AL373" i="2"/>
  <c r="AM373" i="2"/>
  <c r="AN373" i="2" s="1"/>
  <c r="AL290" i="2"/>
  <c r="AM290" i="2"/>
  <c r="AN290" i="2" s="1"/>
  <c r="AL376" i="2"/>
  <c r="AM376" i="2"/>
  <c r="AN376" i="2" s="1"/>
  <c r="AL41" i="2"/>
  <c r="AM41" i="2"/>
  <c r="AN41" i="2" s="1"/>
  <c r="AL185" i="2"/>
  <c r="AM185" i="2"/>
  <c r="AN185" i="2" s="1"/>
  <c r="AL329" i="2"/>
  <c r="AM329" i="2"/>
  <c r="AN329" i="2" s="1"/>
  <c r="AL473" i="2"/>
  <c r="AM473" i="2"/>
  <c r="AN473" i="2" s="1"/>
  <c r="AL138" i="2"/>
  <c r="AM138" i="2"/>
  <c r="AN138" i="2" s="1"/>
  <c r="AL282" i="2"/>
  <c r="AM282" i="2"/>
  <c r="AN282" i="2" s="1"/>
  <c r="AL426" i="2"/>
  <c r="AM426" i="2"/>
  <c r="AN426" i="2" s="1"/>
  <c r="AL91" i="2"/>
  <c r="AM91" i="2"/>
  <c r="AN91" i="2" s="1"/>
  <c r="AL235" i="2"/>
  <c r="AM235" i="2"/>
  <c r="AN235" i="2" s="1"/>
  <c r="AL379" i="2"/>
  <c r="AM379" i="2"/>
  <c r="AN379" i="2" s="1"/>
  <c r="AL44" i="2"/>
  <c r="AM44" i="2"/>
  <c r="AN44" i="2" s="1"/>
  <c r="AL188" i="2"/>
  <c r="AM188" i="2"/>
  <c r="AN188" i="2" s="1"/>
  <c r="AL332" i="2"/>
  <c r="AM332" i="2"/>
  <c r="AN332" i="2" s="1"/>
  <c r="AL476" i="2"/>
  <c r="AM476" i="2"/>
  <c r="AN476" i="2" s="1"/>
  <c r="AL141" i="2"/>
  <c r="AM141" i="2"/>
  <c r="AN141" i="2" s="1"/>
  <c r="AL285" i="2"/>
  <c r="AM285" i="2"/>
  <c r="AN285" i="2" s="1"/>
  <c r="AL429" i="2"/>
  <c r="AM429" i="2"/>
  <c r="AN429" i="2" s="1"/>
  <c r="AL94" i="2"/>
  <c r="AM94" i="2"/>
  <c r="AN94" i="2" s="1"/>
  <c r="AL238" i="2"/>
  <c r="AM238" i="2"/>
  <c r="AN238" i="2" s="1"/>
  <c r="AL382" i="2"/>
  <c r="AM382" i="2"/>
  <c r="AN382" i="2" s="1"/>
  <c r="AL47" i="2"/>
  <c r="AM47" i="2"/>
  <c r="AN47" i="2" s="1"/>
  <c r="AL191" i="2"/>
  <c r="AM191" i="2"/>
  <c r="AN191" i="2" s="1"/>
  <c r="AL335" i="2"/>
  <c r="AM335" i="2"/>
  <c r="AN335" i="2" s="1"/>
  <c r="AL479" i="2"/>
  <c r="AM479" i="2"/>
  <c r="AN479" i="2" s="1"/>
  <c r="AL144" i="2"/>
  <c r="AM144" i="2"/>
  <c r="AN144" i="2" s="1"/>
  <c r="AL288" i="2"/>
  <c r="AM288" i="2"/>
  <c r="AN288" i="2" s="1"/>
  <c r="AL432" i="2"/>
  <c r="AM432" i="2"/>
  <c r="AN432" i="2" s="1"/>
  <c r="AL97" i="2"/>
  <c r="AM97" i="2"/>
  <c r="AN97" i="2" s="1"/>
  <c r="AL241" i="2"/>
  <c r="AM241" i="2"/>
  <c r="AN241" i="2" s="1"/>
  <c r="AL385" i="2"/>
  <c r="AM385" i="2"/>
  <c r="AN385" i="2" s="1"/>
  <c r="AL278" i="2"/>
  <c r="AM278" i="2"/>
  <c r="AN278" i="2" s="1"/>
  <c r="AL38" i="2"/>
  <c r="AM38" i="2"/>
  <c r="AN38" i="2" s="1"/>
  <c r="AL470" i="2"/>
  <c r="AM470" i="2"/>
  <c r="AN470" i="2" s="1"/>
  <c r="AL423" i="2"/>
  <c r="AM423" i="2"/>
  <c r="AN423" i="2" s="1"/>
  <c r="AL232" i="2"/>
  <c r="AM232" i="2"/>
  <c r="AN232" i="2" s="1"/>
  <c r="AL50" i="2"/>
  <c r="AM50" i="2"/>
  <c r="AN50" i="2" s="1"/>
  <c r="AL194" i="2"/>
  <c r="AM194" i="2"/>
  <c r="AN194" i="2" s="1"/>
  <c r="AL338" i="2"/>
  <c r="AM338" i="2"/>
  <c r="AN338" i="2" s="1"/>
  <c r="AL3" i="2"/>
  <c r="AM3" i="2"/>
  <c r="AN3" i="2" s="1"/>
  <c r="AL435" i="2"/>
  <c r="AM435" i="2"/>
  <c r="AN435" i="2" s="1"/>
  <c r="AL197" i="2"/>
  <c r="AM197" i="2"/>
  <c r="AN197" i="2" s="1"/>
  <c r="AL341" i="2"/>
  <c r="AM341" i="2"/>
  <c r="AN341" i="2" s="1"/>
  <c r="AL6" i="2"/>
  <c r="AM6" i="2"/>
  <c r="AN6" i="2" s="1"/>
  <c r="AL150" i="2"/>
  <c r="AM150" i="2"/>
  <c r="AN150" i="2" s="1"/>
  <c r="AL294" i="2"/>
  <c r="AM294" i="2"/>
  <c r="AN294" i="2" s="1"/>
  <c r="AL438" i="2"/>
  <c r="AM438" i="2"/>
  <c r="AN438" i="2" s="1"/>
  <c r="AL103" i="2"/>
  <c r="AM103" i="2"/>
  <c r="AN103" i="2" s="1"/>
  <c r="AL247" i="2"/>
  <c r="AM247" i="2"/>
  <c r="AN247" i="2" s="1"/>
  <c r="AL391" i="2"/>
  <c r="AM391" i="2"/>
  <c r="AN391" i="2" s="1"/>
  <c r="AL56" i="2"/>
  <c r="AM56" i="2"/>
  <c r="AN56" i="2" s="1"/>
  <c r="AL200" i="2"/>
  <c r="AM200" i="2"/>
  <c r="AN200" i="2" s="1"/>
  <c r="AL344" i="2"/>
  <c r="AM344" i="2"/>
  <c r="AN344" i="2" s="1"/>
  <c r="AL9" i="2"/>
  <c r="AM9" i="2"/>
  <c r="AN9" i="2" s="1"/>
  <c r="AL153" i="2"/>
  <c r="AM153" i="2"/>
  <c r="AN153" i="2" s="1"/>
  <c r="AL297" i="2"/>
  <c r="AM297" i="2"/>
  <c r="AN297" i="2" s="1"/>
  <c r="AL441" i="2"/>
  <c r="AM441" i="2"/>
  <c r="AN441" i="2" s="1"/>
  <c r="AL106" i="2"/>
  <c r="AM106" i="2"/>
  <c r="AN106" i="2" s="1"/>
  <c r="AL250" i="2"/>
  <c r="AM250" i="2"/>
  <c r="AN250" i="2" s="1"/>
  <c r="AL394" i="2"/>
  <c r="AM394" i="2"/>
  <c r="AN394" i="2" s="1"/>
  <c r="AL59" i="2"/>
  <c r="AM59" i="2"/>
  <c r="AN59" i="2" s="1"/>
  <c r="AL203" i="2"/>
  <c r="AM203" i="2"/>
  <c r="AN203" i="2" s="1"/>
  <c r="AL347" i="2"/>
  <c r="AM347" i="2"/>
  <c r="AN347" i="2" s="1"/>
  <c r="AL12" i="2"/>
  <c r="AM12" i="2"/>
  <c r="AN12" i="2" s="1"/>
  <c r="AL156" i="2"/>
  <c r="AM156" i="2"/>
  <c r="AN156" i="2" s="1"/>
  <c r="AL300" i="2"/>
  <c r="AM300" i="2"/>
  <c r="AN300" i="2" s="1"/>
  <c r="AL444" i="2"/>
  <c r="AM444" i="2"/>
  <c r="AN444" i="2" s="1"/>
  <c r="AL109" i="2"/>
  <c r="AM109" i="2"/>
  <c r="AN109" i="2" s="1"/>
  <c r="AL253" i="2"/>
  <c r="AM253" i="2"/>
  <c r="AN253" i="2" s="1"/>
  <c r="AL397" i="2"/>
  <c r="AM397" i="2"/>
  <c r="AN397" i="2" s="1"/>
  <c r="AL87" i="2"/>
  <c r="AM87" i="2"/>
  <c r="AN87" i="2" s="1"/>
  <c r="AL88" i="2"/>
  <c r="AM88" i="2"/>
  <c r="AN88" i="2" s="1"/>
  <c r="AL147" i="2"/>
  <c r="AM147" i="2"/>
  <c r="AN147" i="2" s="1"/>
  <c r="AL291" i="2"/>
  <c r="AM291" i="2"/>
  <c r="AN291" i="2" s="1"/>
  <c r="AL100" i="2"/>
  <c r="AM100" i="2"/>
  <c r="AN100" i="2" s="1"/>
  <c r="AL244" i="2"/>
  <c r="AM244" i="2"/>
  <c r="AN244" i="2" s="1"/>
  <c r="AL388" i="2"/>
  <c r="AM388" i="2"/>
  <c r="AN388" i="2" s="1"/>
  <c r="AL53" i="2"/>
  <c r="AM53" i="2"/>
  <c r="AN53" i="2" s="1"/>
  <c r="AL62" i="2"/>
  <c r="AM62" i="2"/>
  <c r="AN62" i="2" s="1"/>
  <c r="AL206" i="2"/>
  <c r="AM206" i="2"/>
  <c r="AN206" i="2" s="1"/>
  <c r="AL350" i="2"/>
  <c r="AM350" i="2"/>
  <c r="AN350" i="2" s="1"/>
  <c r="AL15" i="2"/>
  <c r="AM15" i="2"/>
  <c r="AN15" i="2" s="1"/>
  <c r="AL159" i="2"/>
  <c r="AM159" i="2"/>
  <c r="AN159" i="2" s="1"/>
  <c r="AL303" i="2"/>
  <c r="AM303" i="2"/>
  <c r="AN303" i="2" s="1"/>
  <c r="AL447" i="2"/>
  <c r="AM447" i="2"/>
  <c r="AN447" i="2" s="1"/>
  <c r="AL112" i="2"/>
  <c r="AM112" i="2"/>
  <c r="AN112" i="2" s="1"/>
  <c r="AL256" i="2"/>
  <c r="AM256" i="2"/>
  <c r="AN256" i="2" s="1"/>
  <c r="AL400" i="2"/>
  <c r="AM400" i="2"/>
  <c r="AN400" i="2" s="1"/>
  <c r="AL65" i="2"/>
  <c r="AM65" i="2"/>
  <c r="AN65" i="2" s="1"/>
  <c r="AL209" i="2"/>
  <c r="AM209" i="2"/>
  <c r="AN209" i="2" s="1"/>
  <c r="AL353" i="2"/>
  <c r="AM353" i="2"/>
  <c r="AN353" i="2" s="1"/>
  <c r="AL18" i="2"/>
  <c r="AM18" i="2"/>
  <c r="AN18" i="2" s="1"/>
  <c r="AL162" i="2"/>
  <c r="AM162" i="2"/>
  <c r="AN162" i="2" s="1"/>
  <c r="AL306" i="2"/>
  <c r="AM306" i="2"/>
  <c r="AN306" i="2" s="1"/>
  <c r="AL450" i="2"/>
  <c r="AM450" i="2"/>
  <c r="AN450" i="2" s="1"/>
  <c r="AL115" i="2"/>
  <c r="AM115" i="2"/>
  <c r="AN115" i="2" s="1"/>
  <c r="AL259" i="2"/>
  <c r="AM259" i="2"/>
  <c r="AN259" i="2" s="1"/>
  <c r="AL403" i="2"/>
  <c r="AM403" i="2"/>
  <c r="AN403" i="2" s="1"/>
  <c r="AL68" i="2"/>
  <c r="AM68" i="2"/>
  <c r="AN68" i="2" s="1"/>
  <c r="AL212" i="2"/>
  <c r="AM212" i="2"/>
  <c r="AN212" i="2" s="1"/>
  <c r="AL356" i="2"/>
  <c r="AM356" i="2"/>
  <c r="AN356" i="2" s="1"/>
  <c r="AL21" i="2"/>
  <c r="AM21" i="2"/>
  <c r="AN21" i="2" s="1"/>
  <c r="AL165" i="2"/>
  <c r="AM165" i="2"/>
  <c r="AN165" i="2" s="1"/>
  <c r="AL309" i="2"/>
  <c r="AM309" i="2"/>
  <c r="AN309" i="2" s="1"/>
  <c r="AL453" i="2"/>
  <c r="AM453" i="2"/>
  <c r="AN453" i="2" s="1"/>
  <c r="AL118" i="2"/>
  <c r="AM118" i="2"/>
  <c r="AN118" i="2" s="1"/>
  <c r="AL262" i="2"/>
  <c r="AM262" i="2"/>
  <c r="AN262" i="2" s="1"/>
  <c r="AL406" i="2"/>
  <c r="AM406" i="2"/>
  <c r="AN406" i="2" s="1"/>
  <c r="AL71" i="2"/>
  <c r="AM71" i="2"/>
  <c r="AN71" i="2" s="1"/>
  <c r="AL215" i="2"/>
  <c r="AM215" i="2"/>
  <c r="AN215" i="2" s="1"/>
  <c r="AL359" i="2"/>
  <c r="AM359" i="2"/>
  <c r="AN359" i="2" s="1"/>
  <c r="AL24" i="2"/>
  <c r="AM24" i="2"/>
  <c r="AN24" i="2" s="1"/>
  <c r="AL168" i="2"/>
  <c r="AM168" i="2"/>
  <c r="AN168" i="2" s="1"/>
  <c r="AL312" i="2"/>
  <c r="AM312" i="2"/>
  <c r="AN312" i="2" s="1"/>
  <c r="AL456" i="2"/>
  <c r="AM456" i="2"/>
  <c r="AN456" i="2" s="1"/>
  <c r="AL121" i="2"/>
  <c r="AM121" i="2"/>
  <c r="AN121" i="2" s="1"/>
  <c r="AL265" i="2"/>
  <c r="AM265" i="2"/>
  <c r="AN265" i="2" s="1"/>
  <c r="AL409" i="2"/>
  <c r="AM409" i="2"/>
  <c r="AN409" i="2" s="1"/>
  <c r="AL146" i="2"/>
  <c r="AM146" i="2"/>
  <c r="AN146" i="2" s="1"/>
  <c r="AL365" i="2"/>
  <c r="AM365" i="2"/>
  <c r="AN365" i="2" s="1"/>
  <c r="AL30" i="2"/>
  <c r="AM30" i="2"/>
  <c r="AN30" i="2" s="1"/>
  <c r="AL174" i="2"/>
  <c r="AM174" i="2"/>
  <c r="AN174" i="2" s="1"/>
  <c r="AL318" i="2"/>
  <c r="AM318" i="2"/>
  <c r="AN318" i="2" s="1"/>
  <c r="AL462" i="2"/>
  <c r="AM462" i="2"/>
  <c r="AN462" i="2" s="1"/>
  <c r="AL127" i="2"/>
  <c r="AM127" i="2"/>
  <c r="AN127" i="2" s="1"/>
  <c r="AL271" i="2"/>
  <c r="AM271" i="2"/>
  <c r="AN271" i="2" s="1"/>
  <c r="AL415" i="2"/>
  <c r="AM415" i="2"/>
  <c r="AN415" i="2" s="1"/>
  <c r="AL80" i="2"/>
  <c r="AM80" i="2"/>
  <c r="AN80" i="2" s="1"/>
  <c r="AL224" i="2"/>
  <c r="AM224" i="2"/>
  <c r="AN224" i="2" s="1"/>
  <c r="AL368" i="2"/>
  <c r="AM368" i="2"/>
  <c r="AN368" i="2" s="1"/>
  <c r="AL33" i="2"/>
  <c r="AM33" i="2"/>
  <c r="AN33" i="2" s="1"/>
  <c r="AL177" i="2"/>
  <c r="AM177" i="2"/>
  <c r="AN177" i="2" s="1"/>
  <c r="AL321" i="2"/>
  <c r="AM321" i="2"/>
  <c r="AN321" i="2" s="1"/>
  <c r="AL465" i="2"/>
  <c r="AM465" i="2"/>
  <c r="AN465" i="2" s="1"/>
  <c r="AL130" i="2"/>
  <c r="AM130" i="2"/>
  <c r="AN130" i="2" s="1"/>
  <c r="AL274" i="2"/>
  <c r="AM274" i="2"/>
  <c r="AN274" i="2" s="1"/>
  <c r="AL418" i="2"/>
  <c r="AM418" i="2"/>
  <c r="AN418" i="2" s="1"/>
  <c r="AL83" i="2"/>
  <c r="AM83" i="2"/>
  <c r="AN83" i="2" s="1"/>
  <c r="AL227" i="2"/>
  <c r="AM227" i="2"/>
  <c r="AN227" i="2" s="1"/>
  <c r="AL371" i="2"/>
  <c r="AM371" i="2"/>
  <c r="AN371" i="2" s="1"/>
  <c r="AL36" i="2"/>
  <c r="AM36" i="2"/>
  <c r="AN36" i="2" s="1"/>
  <c r="AL180" i="2"/>
  <c r="AM180" i="2"/>
  <c r="AN180" i="2" s="1"/>
  <c r="AL324" i="2"/>
  <c r="AM324" i="2"/>
  <c r="AN324" i="2" s="1"/>
  <c r="AL468" i="2"/>
  <c r="AM468" i="2"/>
  <c r="AN468" i="2" s="1"/>
  <c r="AL133" i="2"/>
  <c r="AM133" i="2"/>
  <c r="AN133" i="2" s="1"/>
  <c r="AL277" i="2"/>
  <c r="AM277" i="2"/>
  <c r="AN277" i="2" s="1"/>
  <c r="AL421" i="2"/>
  <c r="AM421" i="2"/>
  <c r="AN421" i="2" s="1"/>
  <c r="AL2" i="2"/>
  <c r="AM2" i="2"/>
  <c r="AN2" i="2" s="1"/>
  <c r="AL279" i="2"/>
  <c r="AM279" i="2"/>
  <c r="AN279" i="2" s="1"/>
  <c r="AL218" i="2"/>
  <c r="AM218" i="2"/>
  <c r="AN218" i="2" s="1"/>
  <c r="AL362" i="2"/>
  <c r="AM362" i="2"/>
  <c r="AN362" i="2" s="1"/>
  <c r="AL171" i="2"/>
  <c r="AM171" i="2"/>
  <c r="AN171" i="2" s="1"/>
  <c r="AL459" i="2"/>
  <c r="AM459" i="2"/>
  <c r="AN459" i="2" s="1"/>
  <c r="AL268" i="2"/>
  <c r="AM268" i="2"/>
  <c r="AN268" i="2" s="1"/>
  <c r="AL77" i="2"/>
  <c r="AM77" i="2"/>
  <c r="AN77" i="2" s="1"/>
  <c r="AL230" i="2"/>
  <c r="AM230" i="2"/>
  <c r="AN230" i="2" s="1"/>
  <c r="AL39" i="2"/>
  <c r="AM39" i="2"/>
  <c r="AN39" i="2" s="1"/>
  <c r="AL327" i="2"/>
  <c r="AM327" i="2"/>
  <c r="AN327" i="2" s="1"/>
  <c r="AL136" i="2"/>
  <c r="AM136" i="2"/>
  <c r="AN136" i="2" s="1"/>
  <c r="AL424" i="2"/>
  <c r="AM424" i="2"/>
  <c r="AN424" i="2" s="1"/>
  <c r="AL233" i="2"/>
  <c r="AM233" i="2"/>
  <c r="AN233" i="2" s="1"/>
  <c r="AL42" i="2"/>
  <c r="AM42" i="2"/>
  <c r="AN42" i="2" s="1"/>
  <c r="AL330" i="2"/>
  <c r="AM330" i="2"/>
  <c r="AN330" i="2" s="1"/>
  <c r="AL139" i="2"/>
  <c r="AM139" i="2"/>
  <c r="AN139" i="2" s="1"/>
  <c r="AL283" i="2"/>
  <c r="AM283" i="2"/>
  <c r="AN283" i="2" s="1"/>
  <c r="AL427" i="2"/>
  <c r="AM427" i="2"/>
  <c r="AN427" i="2" s="1"/>
  <c r="AL92" i="2"/>
  <c r="AM92" i="2"/>
  <c r="AN92" i="2" s="1"/>
  <c r="AL236" i="2"/>
  <c r="AM236" i="2"/>
  <c r="AN236" i="2" s="1"/>
  <c r="AL380" i="2"/>
  <c r="AM380" i="2"/>
  <c r="AN380" i="2" s="1"/>
  <c r="AL45" i="2"/>
  <c r="AM45" i="2"/>
  <c r="AN45" i="2" s="1"/>
  <c r="AL189" i="2"/>
  <c r="AM189" i="2"/>
  <c r="AN189" i="2" s="1"/>
  <c r="AL333" i="2"/>
  <c r="AM333" i="2"/>
  <c r="AN333" i="2" s="1"/>
  <c r="AL477" i="2"/>
  <c r="AM477" i="2"/>
  <c r="AN477" i="2" s="1"/>
  <c r="AL142" i="2"/>
  <c r="AM142" i="2"/>
  <c r="AN142" i="2" s="1"/>
  <c r="AL286" i="2"/>
  <c r="AM286" i="2"/>
  <c r="AN286" i="2" s="1"/>
  <c r="AL430" i="2"/>
  <c r="AM430" i="2"/>
  <c r="AN430" i="2" s="1"/>
  <c r="AL95" i="2"/>
  <c r="AM95" i="2"/>
  <c r="AN95" i="2" s="1"/>
  <c r="AL239" i="2"/>
  <c r="AM239" i="2"/>
  <c r="AN239" i="2" s="1"/>
  <c r="AL383" i="2"/>
  <c r="AM383" i="2"/>
  <c r="AN383" i="2" s="1"/>
  <c r="AL48" i="2"/>
  <c r="AM48" i="2"/>
  <c r="AN48" i="2" s="1"/>
  <c r="AL192" i="2"/>
  <c r="AM192" i="2"/>
  <c r="AN192" i="2" s="1"/>
  <c r="AL336" i="2"/>
  <c r="AM336" i="2"/>
  <c r="AN336" i="2" s="1"/>
  <c r="AL480" i="2"/>
  <c r="AM480" i="2"/>
  <c r="AN480" i="2" s="1"/>
  <c r="AL145" i="2"/>
  <c r="AM145" i="2"/>
  <c r="AN145" i="2" s="1"/>
  <c r="AL289" i="2"/>
  <c r="AM289" i="2"/>
  <c r="AN289" i="2" s="1"/>
  <c r="AL433" i="2"/>
  <c r="AM433" i="2"/>
  <c r="AN433" i="2" s="1"/>
  <c r="AL135" i="2"/>
  <c r="AM135" i="2"/>
  <c r="AN135" i="2" s="1"/>
  <c r="AL74" i="2"/>
  <c r="AM74" i="2"/>
  <c r="AN74" i="2" s="1"/>
  <c r="AL27" i="2"/>
  <c r="AM27" i="2"/>
  <c r="AN27" i="2" s="1"/>
  <c r="AL315" i="2"/>
  <c r="AM315" i="2"/>
  <c r="AN315" i="2" s="1"/>
  <c r="AL124" i="2"/>
  <c r="AM124" i="2"/>
  <c r="AN124" i="2" s="1"/>
  <c r="AL412" i="2"/>
  <c r="AM412" i="2"/>
  <c r="AN412" i="2" s="1"/>
  <c r="AL221" i="2"/>
  <c r="AM221" i="2"/>
  <c r="AN221" i="2" s="1"/>
  <c r="AL86" i="2"/>
  <c r="AM86" i="2"/>
  <c r="AN86" i="2" s="1"/>
  <c r="AL374" i="2"/>
  <c r="AM374" i="2"/>
  <c r="AN374" i="2" s="1"/>
  <c r="AL183" i="2"/>
  <c r="AM183" i="2"/>
  <c r="AN183" i="2" s="1"/>
  <c r="AL471" i="2"/>
  <c r="AM471" i="2"/>
  <c r="AN471" i="2" s="1"/>
  <c r="AL280" i="2"/>
  <c r="AM280" i="2"/>
  <c r="AN280" i="2" s="1"/>
  <c r="AL89" i="2"/>
  <c r="AM89" i="2"/>
  <c r="AN89" i="2" s="1"/>
  <c r="AL377" i="2"/>
  <c r="AM377" i="2"/>
  <c r="AN377" i="2" s="1"/>
  <c r="AL186" i="2"/>
  <c r="AM186" i="2"/>
  <c r="AN186" i="2" s="1"/>
  <c r="AL474" i="2"/>
  <c r="AM474" i="2"/>
  <c r="AN474" i="2" s="1"/>
  <c r="AL98" i="2"/>
  <c r="AM98" i="2"/>
  <c r="AN98" i="2" s="1"/>
  <c r="AL242" i="2"/>
  <c r="AM242" i="2"/>
  <c r="AN242" i="2" s="1"/>
  <c r="AL386" i="2"/>
  <c r="AM386" i="2"/>
  <c r="AN386" i="2" s="1"/>
  <c r="AL51" i="2"/>
  <c r="AM51" i="2"/>
  <c r="AN51" i="2" s="1"/>
  <c r="AL195" i="2"/>
  <c r="AM195" i="2"/>
  <c r="AN195" i="2" s="1"/>
  <c r="AL339" i="2"/>
  <c r="AM339" i="2"/>
  <c r="AN339" i="2" s="1"/>
  <c r="AL4" i="2"/>
  <c r="AM4" i="2"/>
  <c r="AN4" i="2" s="1"/>
  <c r="AL148" i="2"/>
  <c r="AM148" i="2"/>
  <c r="AN148" i="2" s="1"/>
  <c r="AL292" i="2"/>
  <c r="AM292" i="2"/>
  <c r="AN292" i="2" s="1"/>
  <c r="AL436" i="2"/>
  <c r="AM436" i="2"/>
  <c r="AN436" i="2" s="1"/>
  <c r="AL101" i="2"/>
  <c r="AM101" i="2"/>
  <c r="AN101" i="2" s="1"/>
  <c r="AL245" i="2"/>
  <c r="AM245" i="2"/>
  <c r="AN245" i="2" s="1"/>
  <c r="AL389" i="2"/>
  <c r="AM389" i="2"/>
  <c r="AN389" i="2" s="1"/>
  <c r="AL54" i="2"/>
  <c r="AM54" i="2"/>
  <c r="AN54" i="2" s="1"/>
  <c r="AL198" i="2"/>
  <c r="AM198" i="2"/>
  <c r="AN198" i="2" s="1"/>
  <c r="AL342" i="2"/>
  <c r="AM342" i="2"/>
  <c r="AN342" i="2" s="1"/>
  <c r="AL7" i="2"/>
  <c r="AM7" i="2"/>
  <c r="AN7" i="2" s="1"/>
  <c r="AL151" i="2"/>
  <c r="AM151" i="2"/>
  <c r="AN151" i="2" s="1"/>
  <c r="AL295" i="2"/>
  <c r="AM295" i="2"/>
  <c r="AN295" i="2" s="1"/>
  <c r="AL439" i="2"/>
  <c r="AM439" i="2"/>
  <c r="AN439" i="2" s="1"/>
  <c r="AL104" i="2"/>
  <c r="AM104" i="2"/>
  <c r="AN104" i="2" s="1"/>
  <c r="AL248" i="2"/>
  <c r="AM248" i="2"/>
  <c r="AN248" i="2" s="1"/>
  <c r="AL392" i="2"/>
  <c r="AM392" i="2"/>
  <c r="AN392" i="2" s="1"/>
  <c r="AL57" i="2"/>
  <c r="AM57" i="2"/>
  <c r="AN57" i="2" s="1"/>
  <c r="AL201" i="2"/>
  <c r="AM201" i="2"/>
  <c r="AN201" i="2" s="1"/>
  <c r="AL345" i="2"/>
  <c r="AM345" i="2"/>
  <c r="AN345" i="2" s="1"/>
  <c r="AL10" i="2"/>
  <c r="AM10" i="2"/>
  <c r="AN10" i="2" s="1"/>
  <c r="AL154" i="2"/>
  <c r="AM154" i="2"/>
  <c r="AN154" i="2" s="1"/>
  <c r="AL298" i="2"/>
  <c r="AM298" i="2"/>
  <c r="AN298" i="2" s="1"/>
  <c r="AL442" i="2"/>
  <c r="AM442" i="2"/>
  <c r="AN442" i="2" s="1"/>
  <c r="AL107" i="2"/>
  <c r="AM107" i="2"/>
  <c r="AN107" i="2" s="1"/>
  <c r="AL251" i="2"/>
  <c r="AM251" i="2"/>
  <c r="AN251" i="2" s="1"/>
  <c r="AL395" i="2"/>
  <c r="AM395" i="2"/>
  <c r="AN395" i="2" s="1"/>
  <c r="AL60" i="2"/>
  <c r="AM60" i="2"/>
  <c r="AN60" i="2" s="1"/>
  <c r="AL204" i="2"/>
  <c r="AM204" i="2"/>
  <c r="AN204" i="2" s="1"/>
  <c r="AL348" i="2"/>
  <c r="AM348" i="2"/>
  <c r="AN348" i="2" s="1"/>
  <c r="AL13" i="2"/>
  <c r="AM13" i="2"/>
  <c r="AN13" i="2" s="1"/>
  <c r="AL157" i="2"/>
  <c r="AM157" i="2"/>
  <c r="AN157" i="2" s="1"/>
  <c r="AL301" i="2"/>
  <c r="AM301" i="2"/>
  <c r="AN301" i="2" s="1"/>
  <c r="AL445" i="2"/>
  <c r="AM445" i="2"/>
  <c r="AN445" i="2" s="1"/>
  <c r="AL434" i="2"/>
  <c r="AM434" i="2"/>
  <c r="AN434" i="2" s="1"/>
  <c r="AL182" i="2"/>
  <c r="AM182" i="2"/>
  <c r="AN182" i="2" s="1"/>
  <c r="AL254" i="2"/>
  <c r="AM254" i="2"/>
  <c r="AN254" i="2" s="1"/>
  <c r="AL63" i="2"/>
  <c r="AM63" i="2"/>
  <c r="AN63" i="2" s="1"/>
  <c r="AL351" i="2"/>
  <c r="AM351" i="2"/>
  <c r="AN351" i="2" s="1"/>
  <c r="AL160" i="2"/>
  <c r="AM160" i="2"/>
  <c r="AN160" i="2" s="1"/>
  <c r="AL448" i="2"/>
  <c r="AM448" i="2"/>
  <c r="AN448" i="2" s="1"/>
  <c r="AL401" i="2"/>
  <c r="AM401" i="2"/>
  <c r="AN401" i="2" s="1"/>
  <c r="AL210" i="2"/>
  <c r="AM210" i="2"/>
  <c r="AN210" i="2" s="1"/>
  <c r="AL354" i="2"/>
  <c r="AM354" i="2"/>
  <c r="AN354" i="2" s="1"/>
  <c r="AL19" i="2"/>
  <c r="AM19" i="2"/>
  <c r="AN19" i="2" s="1"/>
  <c r="AL163" i="2"/>
  <c r="AM163" i="2"/>
  <c r="AN163" i="2" s="1"/>
  <c r="AL307" i="2"/>
  <c r="AM307" i="2"/>
  <c r="AN307" i="2" s="1"/>
  <c r="AL451" i="2"/>
  <c r="AM451" i="2"/>
  <c r="AN451" i="2" s="1"/>
  <c r="AL116" i="2"/>
  <c r="AM116" i="2"/>
  <c r="AN116" i="2" s="1"/>
  <c r="AL260" i="2"/>
  <c r="AM260" i="2"/>
  <c r="AN260" i="2" s="1"/>
  <c r="AL404" i="2"/>
  <c r="AM404" i="2"/>
  <c r="AN404" i="2" s="1"/>
  <c r="AL69" i="2"/>
  <c r="AM69" i="2"/>
  <c r="AN69" i="2" s="1"/>
  <c r="AL213" i="2"/>
  <c r="AM213" i="2"/>
  <c r="AN213" i="2" s="1"/>
  <c r="AL357" i="2"/>
  <c r="AM357" i="2"/>
  <c r="AN357" i="2" s="1"/>
  <c r="AL22" i="2"/>
  <c r="AM22" i="2"/>
  <c r="AN22" i="2" s="1"/>
  <c r="AL166" i="2"/>
  <c r="AM166" i="2"/>
  <c r="AN166" i="2" s="1"/>
  <c r="AL310" i="2"/>
  <c r="AM310" i="2"/>
  <c r="AN310" i="2" s="1"/>
  <c r="AL454" i="2"/>
  <c r="AM454" i="2"/>
  <c r="AN454" i="2" s="1"/>
  <c r="AL119" i="2"/>
  <c r="AM119" i="2"/>
  <c r="AN119" i="2" s="1"/>
  <c r="AL263" i="2"/>
  <c r="AM263" i="2"/>
  <c r="AN263" i="2" s="1"/>
  <c r="AL407" i="2"/>
  <c r="AM407" i="2"/>
  <c r="AN407" i="2" s="1"/>
  <c r="AL72" i="2"/>
  <c r="AM72" i="2"/>
  <c r="AN72" i="2" s="1"/>
  <c r="AL216" i="2"/>
  <c r="AM216" i="2"/>
  <c r="AN216" i="2" s="1"/>
  <c r="AL360" i="2"/>
  <c r="AM360" i="2"/>
  <c r="AN360" i="2" s="1"/>
  <c r="AL25" i="2"/>
  <c r="AM25" i="2"/>
  <c r="AN25" i="2" s="1"/>
  <c r="AL169" i="2"/>
  <c r="AM169" i="2"/>
  <c r="AN169" i="2" s="1"/>
  <c r="AL313" i="2"/>
  <c r="AM313" i="2"/>
  <c r="AN313" i="2" s="1"/>
  <c r="AL457" i="2"/>
  <c r="AM457" i="2"/>
  <c r="AN457" i="2" s="1"/>
  <c r="AL231" i="2"/>
  <c r="AM231" i="2"/>
  <c r="AN231" i="2" s="1"/>
  <c r="AL326" i="2"/>
  <c r="AM326" i="2"/>
  <c r="AN326" i="2" s="1"/>
  <c r="AL110" i="2"/>
  <c r="AM110" i="2"/>
  <c r="AN110" i="2" s="1"/>
  <c r="AL398" i="2"/>
  <c r="AM398" i="2"/>
  <c r="AN398" i="2" s="1"/>
  <c r="AL207" i="2"/>
  <c r="AM207" i="2"/>
  <c r="AN207" i="2" s="1"/>
  <c r="AL16" i="2"/>
  <c r="AM16" i="2"/>
  <c r="AN16" i="2" s="1"/>
  <c r="AL304" i="2"/>
  <c r="AM304" i="2"/>
  <c r="AN304" i="2" s="1"/>
  <c r="AL113" i="2"/>
  <c r="AM113" i="2"/>
  <c r="AN113" i="2" s="1"/>
  <c r="AL257" i="2"/>
  <c r="AM257" i="2"/>
  <c r="AN257" i="2" s="1"/>
  <c r="AL66" i="2"/>
  <c r="AM66" i="2"/>
  <c r="AN66" i="2" s="1"/>
  <c r="AL122" i="2"/>
  <c r="AM122" i="2"/>
  <c r="AN122" i="2" s="1"/>
  <c r="AL266" i="2"/>
  <c r="AM266" i="2"/>
  <c r="AN266" i="2" s="1"/>
  <c r="AL410" i="2"/>
  <c r="AM410" i="2"/>
  <c r="AN410" i="2" s="1"/>
  <c r="AL75" i="2"/>
  <c r="AM75" i="2"/>
  <c r="AN75" i="2" s="1"/>
  <c r="AL219" i="2"/>
  <c r="AM219" i="2"/>
  <c r="AN219" i="2" s="1"/>
  <c r="AL363" i="2"/>
  <c r="AM363" i="2"/>
  <c r="AN363" i="2" s="1"/>
  <c r="AL28" i="2"/>
  <c r="AM28" i="2"/>
  <c r="AN28" i="2" s="1"/>
  <c r="AL172" i="2"/>
  <c r="AM172" i="2"/>
  <c r="AN172" i="2" s="1"/>
  <c r="AL316" i="2"/>
  <c r="AM316" i="2"/>
  <c r="AN316" i="2" s="1"/>
  <c r="AL460" i="2"/>
  <c r="AM460" i="2"/>
  <c r="AN460" i="2" s="1"/>
  <c r="AL125" i="2"/>
  <c r="AM125" i="2"/>
  <c r="AN125" i="2" s="1"/>
  <c r="AL269" i="2"/>
  <c r="AM269" i="2"/>
  <c r="AN269" i="2" s="1"/>
  <c r="AL413" i="2"/>
  <c r="AM413" i="2"/>
  <c r="AN413" i="2" s="1"/>
  <c r="AL78" i="2"/>
  <c r="AM78" i="2"/>
  <c r="AN78" i="2" s="1"/>
  <c r="AL222" i="2"/>
  <c r="AM222" i="2"/>
  <c r="AN222" i="2" s="1"/>
  <c r="AL366" i="2"/>
  <c r="AM366" i="2"/>
  <c r="AN366" i="2" s="1"/>
  <c r="AL31" i="2"/>
  <c r="AM31" i="2"/>
  <c r="AN31" i="2" s="1"/>
  <c r="AL175" i="2"/>
  <c r="AM175" i="2"/>
  <c r="AN175" i="2" s="1"/>
  <c r="AL319" i="2"/>
  <c r="AM319" i="2"/>
  <c r="AN319" i="2" s="1"/>
  <c r="AL463" i="2"/>
  <c r="AM463" i="2"/>
  <c r="AN463" i="2" s="1"/>
  <c r="AL128" i="2"/>
  <c r="AM128" i="2"/>
  <c r="AN128" i="2" s="1"/>
  <c r="AL272" i="2"/>
  <c r="AM272" i="2"/>
  <c r="AN272" i="2" s="1"/>
  <c r="AL416" i="2"/>
  <c r="AM416" i="2"/>
  <c r="AN416" i="2" s="1"/>
  <c r="AL81" i="2"/>
  <c r="AM81" i="2"/>
  <c r="AN81" i="2" s="1"/>
  <c r="AL225" i="2"/>
  <c r="AM225" i="2"/>
  <c r="AN225" i="2" s="1"/>
  <c r="AL369" i="2"/>
  <c r="AM369" i="2"/>
  <c r="AN369" i="2" s="1"/>
  <c r="AL34" i="2"/>
  <c r="AM34" i="2"/>
  <c r="AN34" i="2" s="1"/>
  <c r="AL178" i="2"/>
  <c r="AM178" i="2"/>
  <c r="AN178" i="2" s="1"/>
  <c r="AL322" i="2"/>
  <c r="AM322" i="2"/>
  <c r="AN322" i="2" s="1"/>
  <c r="AL466" i="2"/>
  <c r="AM466" i="2"/>
  <c r="AN466" i="2" s="1"/>
  <c r="AL131" i="2"/>
  <c r="AM131" i="2"/>
  <c r="AN131" i="2" s="1"/>
  <c r="AL275" i="2"/>
  <c r="AM275" i="2"/>
  <c r="AN275" i="2" s="1"/>
  <c r="AL419" i="2"/>
  <c r="AM419" i="2"/>
  <c r="AN419" i="2" s="1"/>
  <c r="AL84" i="2"/>
  <c r="AM84" i="2"/>
  <c r="AN84" i="2" s="1"/>
  <c r="AL228" i="2"/>
  <c r="AM228" i="2"/>
  <c r="AN228" i="2" s="1"/>
  <c r="AL372" i="2"/>
  <c r="AM372" i="2"/>
  <c r="AN372" i="2" s="1"/>
  <c r="AL37" i="2"/>
  <c r="AM37" i="2"/>
  <c r="AN37" i="2" s="1"/>
  <c r="AL181" i="2"/>
  <c r="AM181" i="2"/>
  <c r="AN181" i="2" s="1"/>
  <c r="AL325" i="2"/>
  <c r="AM325" i="2"/>
  <c r="AN325" i="2" s="1"/>
  <c r="AL469" i="2"/>
  <c r="AM469" i="2"/>
  <c r="AN469" i="2" s="1"/>
  <c r="AL375" i="2"/>
  <c r="AM375" i="2"/>
  <c r="AN375" i="2" s="1"/>
  <c r="AL40" i="2"/>
  <c r="AM40" i="2"/>
  <c r="AN40" i="2" s="1"/>
  <c r="AL184" i="2"/>
  <c r="AM184" i="2"/>
  <c r="AN184" i="2" s="1"/>
  <c r="AL328" i="2"/>
  <c r="AM328" i="2"/>
  <c r="AN328" i="2" s="1"/>
  <c r="AL472" i="2"/>
  <c r="AM472" i="2"/>
  <c r="AN472" i="2" s="1"/>
  <c r="AL137" i="2"/>
  <c r="AM137" i="2"/>
  <c r="AN137" i="2" s="1"/>
  <c r="AL281" i="2"/>
  <c r="AM281" i="2"/>
  <c r="AN281" i="2" s="1"/>
  <c r="AL425" i="2"/>
  <c r="AM425" i="2"/>
  <c r="AN425" i="2" s="1"/>
  <c r="AL90" i="2"/>
  <c r="AM90" i="2"/>
  <c r="AN90" i="2" s="1"/>
  <c r="AL234" i="2"/>
  <c r="AM234" i="2"/>
  <c r="AN234" i="2" s="1"/>
  <c r="AL378" i="2"/>
  <c r="AM378" i="2"/>
  <c r="AN378" i="2" s="1"/>
  <c r="AL43" i="2"/>
  <c r="AM43" i="2"/>
  <c r="AN43" i="2" s="1"/>
  <c r="AL187" i="2"/>
  <c r="AM187" i="2"/>
  <c r="AN187" i="2" s="1"/>
  <c r="AL331" i="2"/>
  <c r="AM331" i="2"/>
  <c r="AN331" i="2" s="1"/>
  <c r="AL475" i="2"/>
  <c r="AM475" i="2"/>
  <c r="AN475" i="2" s="1"/>
  <c r="AL140" i="2"/>
  <c r="AM140" i="2"/>
  <c r="AN140" i="2" s="1"/>
  <c r="AL284" i="2"/>
  <c r="AM284" i="2"/>
  <c r="AN284" i="2" s="1"/>
  <c r="AL428" i="2"/>
  <c r="AM428" i="2"/>
  <c r="AN428" i="2" s="1"/>
  <c r="AL93" i="2"/>
  <c r="AM93" i="2"/>
  <c r="AN93" i="2" s="1"/>
  <c r="AL237" i="2"/>
  <c r="AM237" i="2"/>
  <c r="AN237" i="2" s="1"/>
  <c r="AL381" i="2"/>
  <c r="AM381" i="2"/>
  <c r="AN381" i="2" s="1"/>
  <c r="AL46" i="2"/>
  <c r="AM46" i="2"/>
  <c r="AN46" i="2" s="1"/>
  <c r="AL190" i="2"/>
  <c r="AM190" i="2"/>
  <c r="AN190" i="2" s="1"/>
  <c r="AL334" i="2"/>
  <c r="AM334" i="2"/>
  <c r="AN334" i="2" s="1"/>
  <c r="AL478" i="2"/>
  <c r="AM478" i="2"/>
  <c r="AN478" i="2" s="1"/>
  <c r="AL143" i="2"/>
  <c r="AM143" i="2"/>
  <c r="AN143" i="2" s="1"/>
  <c r="AL287" i="2"/>
  <c r="AM287" i="2"/>
  <c r="AN287" i="2" s="1"/>
  <c r="AL431" i="2"/>
  <c r="AM431" i="2"/>
  <c r="AN431" i="2" s="1"/>
  <c r="AL96" i="2"/>
  <c r="AM96" i="2"/>
  <c r="AN96" i="2" s="1"/>
  <c r="AL240" i="2"/>
  <c r="AM240" i="2"/>
  <c r="AN240" i="2" s="1"/>
  <c r="AL384" i="2"/>
  <c r="AM384" i="2"/>
  <c r="AN384" i="2" s="1"/>
  <c r="AL49" i="2"/>
  <c r="AM49" i="2"/>
  <c r="AN49" i="2" s="1"/>
  <c r="AL193" i="2"/>
  <c r="AM193" i="2"/>
  <c r="AN193" i="2" s="1"/>
  <c r="AL337" i="2"/>
  <c r="AM337" i="2"/>
  <c r="AN337" i="2" s="1"/>
  <c r="AL481" i="2"/>
  <c r="AM481" i="2"/>
  <c r="AN481" i="2" s="1"/>
  <c r="G30" i="3" l="1"/>
  <c r="E16" i="8"/>
  <c r="G23" i="3"/>
  <c r="E9" i="8"/>
  <c r="E18" i="8" s="1"/>
  <c r="G29" i="3"/>
  <c r="E15" i="8"/>
  <c r="J11" i="5"/>
  <c r="J10" i="5"/>
</calcChain>
</file>

<file path=xl/sharedStrings.xml><?xml version="1.0" encoding="utf-8"?>
<sst xmlns="http://schemas.openxmlformats.org/spreadsheetml/2006/main" count="6135" uniqueCount="844">
  <si>
    <t>교직원번호</t>
  </si>
  <si>
    <t>성명</t>
  </si>
  <si>
    <t>재직상태구분</t>
  </si>
  <si>
    <t>순번</t>
  </si>
  <si>
    <t>휴직구분</t>
  </si>
  <si>
    <t>시작일</t>
  </si>
  <si>
    <t>종료일</t>
  </si>
  <si>
    <t>전유람</t>
  </si>
  <si>
    <t>재직</t>
  </si>
  <si>
    <t>휴직복직</t>
  </si>
  <si>
    <t>안현욱</t>
  </si>
  <si>
    <t>손해미</t>
  </si>
  <si>
    <t>장서주</t>
  </si>
  <si>
    <t>노준찬</t>
  </si>
  <si>
    <t>고준희</t>
  </si>
  <si>
    <t>강하윤</t>
  </si>
  <si>
    <t>휴직</t>
  </si>
  <si>
    <t>육아휴직</t>
  </si>
  <si>
    <t>허도민</t>
  </si>
  <si>
    <t>서도정</t>
  </si>
  <si>
    <t>문가민</t>
  </si>
  <si>
    <t>연수휴직</t>
  </si>
  <si>
    <t>김수찬</t>
  </si>
  <si>
    <t>안라별</t>
  </si>
  <si>
    <t>배건솔</t>
  </si>
  <si>
    <t>문상영</t>
  </si>
  <si>
    <t>고원미</t>
  </si>
  <si>
    <t>전태람</t>
  </si>
  <si>
    <t>고상아</t>
  </si>
  <si>
    <t>남태온</t>
  </si>
  <si>
    <t>남우미</t>
  </si>
  <si>
    <t>배상욱</t>
  </si>
  <si>
    <t>문지솔</t>
  </si>
  <si>
    <t>고하결</t>
  </si>
  <si>
    <t>배준욱</t>
  </si>
  <si>
    <t>허현솔</t>
  </si>
  <si>
    <t>유은우</t>
  </si>
  <si>
    <t>가족돌봄휴직</t>
  </si>
  <si>
    <t>조서미</t>
  </si>
  <si>
    <t>홍하아</t>
  </si>
  <si>
    <t>윤라솔</t>
  </si>
  <si>
    <t>조수호</t>
  </si>
  <si>
    <t>권서아</t>
  </si>
  <si>
    <t>백상진</t>
  </si>
  <si>
    <t>질병휴직(일반질병)</t>
  </si>
  <si>
    <t>허수주</t>
  </si>
  <si>
    <t>배나현</t>
  </si>
  <si>
    <t>최상호</t>
  </si>
  <si>
    <t>정원연</t>
  </si>
  <si>
    <t>오마민</t>
  </si>
  <si>
    <t>황하윤</t>
  </si>
  <si>
    <t>병역휴직</t>
  </si>
  <si>
    <t>정하빈</t>
  </si>
  <si>
    <t>전우정</t>
  </si>
  <si>
    <t>권원주</t>
  </si>
  <si>
    <t>황상호</t>
  </si>
  <si>
    <t>양민석</t>
  </si>
  <si>
    <t>김가진</t>
  </si>
  <si>
    <t>김서솔</t>
  </si>
  <si>
    <t>정유람</t>
  </si>
  <si>
    <t>강재수</t>
  </si>
  <si>
    <t>장우경</t>
  </si>
  <si>
    <t>강현아</t>
  </si>
  <si>
    <t>장소빈</t>
  </si>
  <si>
    <t>이하호</t>
  </si>
  <si>
    <t>윤지아</t>
  </si>
  <si>
    <t>신수연</t>
  </si>
  <si>
    <t>류우영</t>
  </si>
  <si>
    <t>장해아</t>
  </si>
  <si>
    <t>홍태영</t>
  </si>
  <si>
    <t>오상욱</t>
  </si>
  <si>
    <t>오준정</t>
  </si>
  <si>
    <t>정태민</t>
  </si>
  <si>
    <t>김윤영</t>
  </si>
  <si>
    <t>백유영</t>
  </si>
  <si>
    <t>황채온</t>
  </si>
  <si>
    <t>손원경</t>
  </si>
  <si>
    <t>권지아</t>
  </si>
  <si>
    <t>신가우</t>
  </si>
  <si>
    <t>최가미</t>
  </si>
  <si>
    <t>김원현</t>
  </si>
  <si>
    <t>최건수</t>
  </si>
  <si>
    <t>송채결</t>
  </si>
  <si>
    <t>정건윤</t>
  </si>
  <si>
    <t>조채연</t>
  </si>
  <si>
    <t>송해정</t>
  </si>
  <si>
    <t>남마솔</t>
  </si>
  <si>
    <t>오서온</t>
  </si>
  <si>
    <t>문지현</t>
  </si>
  <si>
    <t>심해아</t>
  </si>
  <si>
    <t>강은온</t>
  </si>
  <si>
    <t>배재연</t>
  </si>
  <si>
    <t>강건경</t>
  </si>
  <si>
    <t>유학휴직</t>
  </si>
  <si>
    <t>허채솔</t>
  </si>
  <si>
    <t>정수별</t>
  </si>
  <si>
    <t>안지영</t>
  </si>
  <si>
    <t>남가석</t>
  </si>
  <si>
    <t>조라경</t>
  </si>
  <si>
    <t>이수찬</t>
  </si>
  <si>
    <t>황가온</t>
  </si>
  <si>
    <t>배마미</t>
  </si>
  <si>
    <t>류해윤</t>
  </si>
  <si>
    <t>류지결</t>
  </si>
  <si>
    <t>매칭키</t>
    <phoneticPr fontId="1" type="noConversion"/>
  </si>
  <si>
    <t>휴직기간일수</t>
    <phoneticPr fontId="1" type="noConversion"/>
  </si>
  <si>
    <t>현재진행</t>
    <phoneticPr fontId="1" type="noConversion"/>
  </si>
  <si>
    <t>복직예정월</t>
    <phoneticPr fontId="1" type="noConversion"/>
  </si>
  <si>
    <t>시작연도</t>
    <phoneticPr fontId="1" type="noConversion"/>
  </si>
  <si>
    <t>휴직기간구간</t>
    <phoneticPr fontId="1" type="noConversion"/>
  </si>
  <si>
    <t>검토</t>
    <phoneticPr fontId="1" type="noConversion"/>
  </si>
  <si>
    <t>나이</t>
  </si>
  <si>
    <t>성별</t>
  </si>
  <si>
    <t>상위소속</t>
  </si>
  <si>
    <t>소속</t>
  </si>
  <si>
    <t>직급</t>
  </si>
  <si>
    <t>교직원상세구분</t>
  </si>
  <si>
    <t>공무원구분</t>
  </si>
  <si>
    <t>직위</t>
  </si>
  <si>
    <t>정년보장여부</t>
  </si>
  <si>
    <t>외국인여부</t>
  </si>
  <si>
    <t>최초발령시작일자</t>
  </si>
  <si>
    <t>본교발령시작일자</t>
  </si>
  <si>
    <t>직급발령시작일자</t>
  </si>
  <si>
    <t>소속발령시작일자</t>
  </si>
  <si>
    <t>인사시스템근속년수</t>
  </si>
  <si>
    <t>휴직정보(원문)</t>
  </si>
  <si>
    <t>황예영</t>
  </si>
  <si>
    <t>여자</t>
  </si>
  <si>
    <t>공과대학</t>
  </si>
  <si>
    <t>학사과</t>
  </si>
  <si>
    <t>입학전문직(입학사정관)</t>
  </si>
  <si>
    <t>대학회계계약직</t>
  </si>
  <si>
    <t>비공무원</t>
  </si>
  <si>
    <t>Y</t>
  </si>
  <si>
    <t>N</t>
  </si>
  <si>
    <t>강마주</t>
  </si>
  <si>
    <t>연구처</t>
  </si>
  <si>
    <t>연구진흥과</t>
  </si>
  <si>
    <t>대학회계계약직(사서실무직)</t>
  </si>
  <si>
    <t>박서아</t>
  </si>
  <si>
    <t>부속기관</t>
  </si>
  <si>
    <t>재무과</t>
  </si>
  <si>
    <t>시설주사보</t>
  </si>
  <si>
    <t>일반직</t>
  </si>
  <si>
    <t>공무원</t>
  </si>
  <si>
    <t>류유석</t>
  </si>
  <si>
    <t>학생처</t>
  </si>
  <si>
    <t>대학회계계약직(사무실무직)</t>
  </si>
  <si>
    <t>문지민</t>
  </si>
  <si>
    <t>남자</t>
  </si>
  <si>
    <t>교육혁신실</t>
  </si>
  <si>
    <t>전문경력관 나군(노무담당)</t>
  </si>
  <si>
    <t>황재석</t>
  </si>
  <si>
    <t>도서관</t>
  </si>
  <si>
    <t>산학협력단</t>
  </si>
  <si>
    <t>시설주사</t>
  </si>
  <si>
    <t>권우솔</t>
  </si>
  <si>
    <t>사무국</t>
  </si>
  <si>
    <t>학생과</t>
  </si>
  <si>
    <t>배민온</t>
  </si>
  <si>
    <t>백원빈</t>
  </si>
  <si>
    <t>경영대학</t>
  </si>
  <si>
    <t>행정주사</t>
  </si>
  <si>
    <t>박유진</t>
  </si>
  <si>
    <t>공업주사</t>
  </si>
  <si>
    <t>유해찬</t>
  </si>
  <si>
    <t>임해우</t>
  </si>
  <si>
    <t>교무처</t>
  </si>
  <si>
    <t>혁신지원과</t>
  </si>
  <si>
    <t>박원수</t>
  </si>
  <si>
    <t>간호대학</t>
  </si>
  <si>
    <t>유우영</t>
  </si>
  <si>
    <t>기획평가과</t>
  </si>
  <si>
    <t>정은진</t>
  </si>
  <si>
    <t>행정서기보</t>
  </si>
  <si>
    <t>심소연</t>
  </si>
  <si>
    <t>과학기술서기관</t>
  </si>
  <si>
    <t>홍은희</t>
  </si>
  <si>
    <t>인문대학</t>
  </si>
  <si>
    <t>행정주사보</t>
  </si>
  <si>
    <t>조태욱</t>
  </si>
  <si>
    <t>총무과</t>
  </si>
  <si>
    <t>조우빈</t>
  </si>
  <si>
    <t>사범대학</t>
  </si>
  <si>
    <t>통합행정실</t>
  </si>
  <si>
    <t>사회복무요원</t>
  </si>
  <si>
    <t>휴직복직[20240317~99991231]</t>
  </si>
  <si>
    <t>남유찬</t>
  </si>
  <si>
    <t>입학처</t>
  </si>
  <si>
    <t>정민민</t>
  </si>
  <si>
    <t>사서사무관</t>
  </si>
  <si>
    <t>간호대학 기획평가과장</t>
  </si>
  <si>
    <t>서기관</t>
  </si>
  <si>
    <t>휴직복직[20240313~99991231]</t>
  </si>
  <si>
    <t>남유미</t>
  </si>
  <si>
    <t>윤도민</t>
  </si>
  <si>
    <t>행정실</t>
  </si>
  <si>
    <t>사서주사보</t>
  </si>
  <si>
    <t>양준윤</t>
  </si>
  <si>
    <t>행정사무관</t>
  </si>
  <si>
    <t>경영대학 기획평가과장</t>
  </si>
  <si>
    <t>정보개발과</t>
  </si>
  <si>
    <t>휴직복직[20240314~99991231]</t>
  </si>
  <si>
    <t>신라수</t>
  </si>
  <si>
    <t>행정서기보시보</t>
  </si>
  <si>
    <t>심원미</t>
  </si>
  <si>
    <t>시설과</t>
  </si>
  <si>
    <t>신상빈</t>
  </si>
  <si>
    <t>사서주사</t>
  </si>
  <si>
    <t>백준욱</t>
  </si>
  <si>
    <t>입학과</t>
  </si>
  <si>
    <t>행정인턴</t>
  </si>
  <si>
    <t>인턴(수습)</t>
  </si>
  <si>
    <t>휴직복직[20240210~99991231]</t>
  </si>
  <si>
    <t>오예현</t>
  </si>
  <si>
    <t>기획처</t>
  </si>
  <si>
    <t>이원미</t>
  </si>
  <si>
    <t>최우석</t>
  </si>
  <si>
    <t>사서서기</t>
  </si>
  <si>
    <t>최나욱</t>
  </si>
  <si>
    <t>백재진</t>
  </si>
  <si>
    <t>정보운영과</t>
  </si>
  <si>
    <t>행정서기</t>
  </si>
  <si>
    <t>휴직복직[20250129~99991231]</t>
  </si>
  <si>
    <t>유원호</t>
  </si>
  <si>
    <t>이은솔</t>
  </si>
  <si>
    <t>정우별</t>
  </si>
  <si>
    <t>허서진</t>
  </si>
  <si>
    <t>황유빈</t>
  </si>
  <si>
    <t>전산주사</t>
  </si>
  <si>
    <t>손상람</t>
  </si>
  <si>
    <t>조상별</t>
  </si>
  <si>
    <t>공업서기</t>
  </si>
  <si>
    <t>양지희</t>
  </si>
  <si>
    <t>배소윤</t>
  </si>
  <si>
    <t>대학원</t>
  </si>
  <si>
    <t>백재빈</t>
  </si>
  <si>
    <t>대학회계직7급(사무원)</t>
  </si>
  <si>
    <t>대학회계직</t>
  </si>
  <si>
    <t>최원희</t>
  </si>
  <si>
    <t>휴직복직[20230511~99991231]</t>
  </si>
  <si>
    <t>윤라우</t>
  </si>
  <si>
    <t>공업사무관</t>
  </si>
  <si>
    <t>대학원 학생과장</t>
  </si>
  <si>
    <t>윤가민</t>
  </si>
  <si>
    <t>자연과학대학</t>
  </si>
  <si>
    <t>휴직복직[20240419~99991231], 휴직복직[20250614~99991231], 육아휴직[20260522~20270522]</t>
  </si>
  <si>
    <t>유우별</t>
  </si>
  <si>
    <t>휴직복직[20230609~99991231], 육아휴직[20260517~20270517]</t>
  </si>
  <si>
    <t>김다결</t>
  </si>
  <si>
    <t>휴직복직[20240824~99991231]</t>
  </si>
  <si>
    <t>대학회계계약직(기술실무직)</t>
  </si>
  <si>
    <t>휴직복직[20240512~99991231], 연수휴직[20260819~20270819]</t>
  </si>
  <si>
    <t>김민온</t>
  </si>
  <si>
    <t>정마우</t>
  </si>
  <si>
    <t>황지주</t>
  </si>
  <si>
    <t>오상정</t>
  </si>
  <si>
    <t>임은미</t>
  </si>
  <si>
    <t>문원찬</t>
  </si>
  <si>
    <t>대학회계직6급(사무원)</t>
  </si>
  <si>
    <t>류상수</t>
  </si>
  <si>
    <t>한지수</t>
  </si>
  <si>
    <t>휴직복직[20250326~99991231]</t>
  </si>
  <si>
    <t>오하람</t>
  </si>
  <si>
    <t>심상민</t>
  </si>
  <si>
    <t>AX·정보화혁신본부</t>
  </si>
  <si>
    <t>육아휴직[20260426~20270426]</t>
  </si>
  <si>
    <t>장상경</t>
  </si>
  <si>
    <t>남현희</t>
  </si>
  <si>
    <t>홍건희</t>
  </si>
  <si>
    <t>조현윤</t>
  </si>
  <si>
    <t>송유빈</t>
  </si>
  <si>
    <t>휴직복직[20230930~99991231]</t>
  </si>
  <si>
    <t>육아휴직[20251129~20261129]</t>
  </si>
  <si>
    <t>전산주사보</t>
  </si>
  <si>
    <t>휴직복직[20240214~99991231], 휴직복직[20230415~99991231], 육아휴직[20251229~20270629]</t>
  </si>
  <si>
    <t>홍수경</t>
  </si>
  <si>
    <t>휴직복직[20221126~99991231]</t>
  </si>
  <si>
    <t>서다욱</t>
  </si>
  <si>
    <t>심수호</t>
  </si>
  <si>
    <t>신은연</t>
  </si>
  <si>
    <t>강예정</t>
  </si>
  <si>
    <t>기록연구사</t>
  </si>
  <si>
    <t>연구직</t>
  </si>
  <si>
    <t>허우현</t>
  </si>
  <si>
    <t>노수연</t>
  </si>
  <si>
    <t>임건주</t>
  </si>
  <si>
    <t>김도찬</t>
  </si>
  <si>
    <t>한다미</t>
  </si>
  <si>
    <t>휴직복직[20221222~99991231]</t>
  </si>
  <si>
    <t>오민연</t>
  </si>
  <si>
    <t>권현결</t>
  </si>
  <si>
    <t>손예람</t>
  </si>
  <si>
    <t>임재영</t>
  </si>
  <si>
    <t>손나주</t>
  </si>
  <si>
    <t>대학회계계약직(국제전문직)</t>
  </si>
  <si>
    <t>류윤진</t>
  </si>
  <si>
    <t>유민석</t>
  </si>
  <si>
    <t>윤은빈</t>
  </si>
  <si>
    <t>류나온</t>
  </si>
  <si>
    <t>대학회계계약직(상담전문직)</t>
  </si>
  <si>
    <t>최윤욱</t>
  </si>
  <si>
    <t>오도민</t>
  </si>
  <si>
    <t>배상경</t>
  </si>
  <si>
    <t>최수찬</t>
  </si>
  <si>
    <t>양준호</t>
  </si>
  <si>
    <t>조현호</t>
  </si>
  <si>
    <t>도서관 행정실장</t>
  </si>
  <si>
    <t>홍수아</t>
  </si>
  <si>
    <t>황서결</t>
  </si>
  <si>
    <t>한채수</t>
  </si>
  <si>
    <t>허상주</t>
  </si>
  <si>
    <t>강상민</t>
  </si>
  <si>
    <t>홍우별</t>
  </si>
  <si>
    <t>자연과학대학 입학과장</t>
  </si>
  <si>
    <t>휴직복직[20250703~99991231]</t>
  </si>
  <si>
    <t>임민욱</t>
  </si>
  <si>
    <t>최민빈</t>
  </si>
  <si>
    <t>문예찬</t>
  </si>
  <si>
    <t>장채민</t>
  </si>
  <si>
    <t>윤준연</t>
  </si>
  <si>
    <t>양유수</t>
  </si>
  <si>
    <t>백민미</t>
  </si>
  <si>
    <t>정윤민</t>
  </si>
  <si>
    <t>배건경</t>
  </si>
  <si>
    <t>휴직복직[20231227~99991231], 휴직복직[20230717~99991231], 휴직복직[20221228~99991231], 육아휴직[20260106~20270106]</t>
  </si>
  <si>
    <t>유해경</t>
  </si>
  <si>
    <t>송은빈</t>
  </si>
  <si>
    <t>김윤윤</t>
  </si>
  <si>
    <t>양우주</t>
  </si>
  <si>
    <t>전우별</t>
  </si>
  <si>
    <t>배수주</t>
  </si>
  <si>
    <t>노유현</t>
  </si>
  <si>
    <t>권예솔</t>
  </si>
  <si>
    <t>류다윤</t>
  </si>
  <si>
    <t>홍나진</t>
  </si>
  <si>
    <t>대학회계직7급(전산원)</t>
  </si>
  <si>
    <t>휴직복직[20230831~99991231], 휴직복직[20230816~99991231], 육아휴직[20251024~20261024]</t>
  </si>
  <si>
    <t>휴직복직[20240427~99991231], 육아휴직[20260106~20270106]</t>
  </si>
  <si>
    <t>이재민</t>
  </si>
  <si>
    <t>강채우</t>
  </si>
  <si>
    <t>육아휴직[20251025~20271231]</t>
  </si>
  <si>
    <t>임라현</t>
  </si>
  <si>
    <t>휴직복직[20230308~99991231]</t>
  </si>
  <si>
    <t>강예영</t>
  </si>
  <si>
    <t>장도희</t>
  </si>
  <si>
    <t>박하진</t>
  </si>
  <si>
    <t>한나별</t>
  </si>
  <si>
    <t>육아휴직[20260415~20270415]</t>
  </si>
  <si>
    <t>휴직복직[20251008~99991231], 휴직복직[20230308~99991231], 가족돌봄휴직[20260821~20270221]</t>
  </si>
  <si>
    <t>심윤민</t>
  </si>
  <si>
    <t>휴직복직[20250713~99991231]</t>
  </si>
  <si>
    <t>배현찬</t>
  </si>
  <si>
    <t>노서연</t>
  </si>
  <si>
    <t>사무국 재무과장</t>
  </si>
  <si>
    <t>정하람</t>
  </si>
  <si>
    <t>문은수</t>
  </si>
  <si>
    <t>황재미</t>
  </si>
  <si>
    <t>백도미</t>
  </si>
  <si>
    <t>휴직복직[20230626~99991231], 휴직복직[20250225~99991231], 휴직복직[20250326~99991231], 육아휴직[20260522~20271122]</t>
  </si>
  <si>
    <t>송준연</t>
  </si>
  <si>
    <t>최재아</t>
  </si>
  <si>
    <t>류서아</t>
  </si>
  <si>
    <t>노가온</t>
  </si>
  <si>
    <t>노유연</t>
  </si>
  <si>
    <t>홍나영</t>
  </si>
  <si>
    <t>휴직복직[20250503~99991231]</t>
  </si>
  <si>
    <t>백윤수</t>
  </si>
  <si>
    <t>휴직복직[20240416~99991231]</t>
  </si>
  <si>
    <t>휴직복직[20230216~99991231]</t>
  </si>
  <si>
    <t>심우연</t>
  </si>
  <si>
    <t>한다별</t>
  </si>
  <si>
    <t>휴직복직[20241214~99991231], 휴직복직[20250407~99991231], 질병휴직(일반질병)[20260207~20271017]</t>
  </si>
  <si>
    <t>문마민</t>
  </si>
  <si>
    <t>신태찬</t>
  </si>
  <si>
    <t>권다석</t>
  </si>
  <si>
    <t>조준람</t>
  </si>
  <si>
    <t>신채수</t>
  </si>
  <si>
    <t>휴직복직[20240915~99991231]</t>
  </si>
  <si>
    <t>김원호</t>
  </si>
  <si>
    <t>공업주사보</t>
  </si>
  <si>
    <t>오소솔</t>
  </si>
  <si>
    <t>장마정</t>
  </si>
  <si>
    <t>대학회계계약직(보건전문직)</t>
  </si>
  <si>
    <t>박윤희</t>
  </si>
  <si>
    <t>배태희</t>
  </si>
  <si>
    <t>권유주</t>
  </si>
  <si>
    <t>남도우</t>
  </si>
  <si>
    <t>휴직복직[20220901~99991231]</t>
  </si>
  <si>
    <t>장가미</t>
  </si>
  <si>
    <t>신서연</t>
  </si>
  <si>
    <t>공업서기보</t>
  </si>
  <si>
    <t>정준솔</t>
  </si>
  <si>
    <t>안채우</t>
  </si>
  <si>
    <t>전수찬</t>
  </si>
  <si>
    <t>임은솔</t>
  </si>
  <si>
    <t>정하진</t>
  </si>
  <si>
    <t>사무운영주사</t>
  </si>
  <si>
    <t>기능직</t>
  </si>
  <si>
    <t>유하윤</t>
  </si>
  <si>
    <t>김현영</t>
  </si>
  <si>
    <t>한수민</t>
  </si>
  <si>
    <t>장가현</t>
  </si>
  <si>
    <t>심소빈</t>
  </si>
  <si>
    <t>노도정</t>
  </si>
  <si>
    <t>휴직복직[20230129~99991231], 휴직복직[20250129~99991231], 육아휴직[20260605~20270605]</t>
  </si>
  <si>
    <t>조태민</t>
  </si>
  <si>
    <t>유수욱</t>
  </si>
  <si>
    <t>한윤호</t>
  </si>
  <si>
    <t>정민현</t>
  </si>
  <si>
    <t>휴직복직[20240227~99991231]</t>
  </si>
  <si>
    <t>박도찬</t>
  </si>
  <si>
    <t>홍건연</t>
  </si>
  <si>
    <t>정나람</t>
  </si>
  <si>
    <t>박상민</t>
  </si>
  <si>
    <t>대학회계계약직(전산전문직)</t>
  </si>
  <si>
    <t>양원석</t>
  </si>
  <si>
    <t>휴직복직[20250519~99991231]</t>
  </si>
  <si>
    <t>배라희</t>
  </si>
  <si>
    <t>휴직복직[20251222~99991231], 병역휴직[20251015~20270415]</t>
  </si>
  <si>
    <t>휴직복직[20240521~99991231]</t>
  </si>
  <si>
    <t>문상온</t>
  </si>
  <si>
    <t>학생처 입학과장</t>
  </si>
  <si>
    <t>정지희</t>
  </si>
  <si>
    <t>오재윤</t>
  </si>
  <si>
    <t>휴직복직[20230517~99991231]</t>
  </si>
  <si>
    <t>문윤미</t>
  </si>
  <si>
    <t>김마경</t>
  </si>
  <si>
    <t>고수수</t>
  </si>
  <si>
    <t>대학회계계약직(학예연구직)</t>
  </si>
  <si>
    <t>한은현</t>
  </si>
  <si>
    <t>이태희</t>
  </si>
  <si>
    <t>심은빈</t>
  </si>
  <si>
    <t>심유영</t>
  </si>
  <si>
    <t>권재윤</t>
  </si>
  <si>
    <t>서원연</t>
  </si>
  <si>
    <t>사범대학 재무과장</t>
  </si>
  <si>
    <t>휴직복직[20250216~99991231]</t>
  </si>
  <si>
    <t>심상연</t>
  </si>
  <si>
    <t>김가석</t>
  </si>
  <si>
    <t>임준정</t>
  </si>
  <si>
    <t>휴직복직[20241219~99991231], 육아휴직[20260809~20280209]</t>
  </si>
  <si>
    <t>양마람</t>
  </si>
  <si>
    <t>양가찬</t>
  </si>
  <si>
    <t>서기관(일반임기제)</t>
  </si>
  <si>
    <t>휴직복직[20250128~99991231]</t>
  </si>
  <si>
    <t>류채온</t>
  </si>
  <si>
    <t>서예수</t>
  </si>
  <si>
    <t>심마솔</t>
  </si>
  <si>
    <t>신채정</t>
  </si>
  <si>
    <t>휴직복직[20251019~99991231]</t>
  </si>
  <si>
    <t>오태민</t>
  </si>
  <si>
    <t>홍원연</t>
  </si>
  <si>
    <t>임재미</t>
  </si>
  <si>
    <t>정상별</t>
  </si>
  <si>
    <t>심수빈</t>
  </si>
  <si>
    <t>배상미</t>
  </si>
  <si>
    <t>손라미</t>
  </si>
  <si>
    <t>가족돌봄휴직[20251102~20261102]</t>
  </si>
  <si>
    <t>허채석</t>
  </si>
  <si>
    <t>강준온</t>
  </si>
  <si>
    <t>노우결</t>
  </si>
  <si>
    <t>최유진</t>
  </si>
  <si>
    <t>최상윤</t>
  </si>
  <si>
    <t>윤우경</t>
  </si>
  <si>
    <t>권은수</t>
  </si>
  <si>
    <t>윤수희</t>
  </si>
  <si>
    <t>임하호</t>
  </si>
  <si>
    <t>전채민</t>
  </si>
  <si>
    <t>백해별</t>
  </si>
  <si>
    <t>배재희</t>
  </si>
  <si>
    <t>윤재찬</t>
  </si>
  <si>
    <t>신해연</t>
  </si>
  <si>
    <t>육아휴직[20260518~20280518]</t>
  </si>
  <si>
    <t>휴직복직[20250910~99991231]</t>
  </si>
  <si>
    <t>신건경</t>
  </si>
  <si>
    <t>휴직복직[20250905~99991231], 휴직복직[20230926~99991231], 휴직복직[20240815~99991231], 육아휴직[20260224~20270824]</t>
  </si>
  <si>
    <t>임하수</t>
  </si>
  <si>
    <t>사무운영주사보</t>
  </si>
  <si>
    <t>안마영</t>
  </si>
  <si>
    <t>황유아</t>
  </si>
  <si>
    <t>강서찬</t>
  </si>
  <si>
    <t>휴직복직[20250804~99991231]</t>
  </si>
  <si>
    <t>송유우</t>
  </si>
  <si>
    <t>신도영</t>
  </si>
  <si>
    <t>전마현</t>
  </si>
  <si>
    <t>대학회계직7급(사서원)</t>
  </si>
  <si>
    <t>전민온</t>
  </si>
  <si>
    <t>유해솔</t>
  </si>
  <si>
    <t>안나영</t>
  </si>
  <si>
    <t>양윤석</t>
  </si>
  <si>
    <t>이민희</t>
  </si>
  <si>
    <t>양민호</t>
  </si>
  <si>
    <t>황건진</t>
  </si>
  <si>
    <t>휴직복직[20250724~99991231]</t>
  </si>
  <si>
    <t>육아휴직[20260608~20280608], 휴직복직[20260722~99991231], 질병휴직(일반질병)[20260722~20270122]</t>
  </si>
  <si>
    <t>이채현</t>
  </si>
  <si>
    <t>유채현</t>
  </si>
  <si>
    <t>김우연</t>
  </si>
  <si>
    <t>류도별</t>
  </si>
  <si>
    <t>안하연</t>
  </si>
  <si>
    <t>임지수</t>
  </si>
  <si>
    <t>휴직복직[20220810~99991231]</t>
  </si>
  <si>
    <t>서태영</t>
  </si>
  <si>
    <t>문우수</t>
  </si>
  <si>
    <t>한가욱</t>
  </si>
  <si>
    <t>문예별</t>
  </si>
  <si>
    <t>휴직복직[20240613~99991231]</t>
  </si>
  <si>
    <t>신수영</t>
  </si>
  <si>
    <t>정재우</t>
  </si>
  <si>
    <t>문소람</t>
  </si>
  <si>
    <t>한가정</t>
  </si>
  <si>
    <t>오태미</t>
  </si>
  <si>
    <t>윤지빈</t>
  </si>
  <si>
    <t>손다우</t>
  </si>
  <si>
    <t>도서관 총무과장</t>
  </si>
  <si>
    <t>배태람</t>
  </si>
  <si>
    <t>정마람</t>
  </si>
  <si>
    <t>양서희</t>
  </si>
  <si>
    <t>최건주</t>
  </si>
  <si>
    <t>심소찬</t>
  </si>
  <si>
    <t>휴직복직[20220905~99991231]</t>
  </si>
  <si>
    <t>심원진</t>
  </si>
  <si>
    <t>홍은경</t>
  </si>
  <si>
    <t>권예별</t>
  </si>
  <si>
    <t>오원미</t>
  </si>
  <si>
    <t>서준찬</t>
  </si>
  <si>
    <t>홍상영</t>
  </si>
  <si>
    <t>권지진</t>
  </si>
  <si>
    <t>정라솔</t>
  </si>
  <si>
    <t>권소우</t>
  </si>
  <si>
    <t>정예우</t>
  </si>
  <si>
    <t>류해찬</t>
  </si>
  <si>
    <t>육아휴직[20251012~20270412]</t>
  </si>
  <si>
    <t>서마수</t>
  </si>
  <si>
    <t>정유결</t>
  </si>
  <si>
    <t>홍하우</t>
  </si>
  <si>
    <t>정재람</t>
  </si>
  <si>
    <t>휴직복직[20251217~99991231], 휴직복직[20260109~99991231], 질병휴직(일반질병)[20260723~20270723]</t>
  </si>
  <si>
    <t>박라민</t>
  </si>
  <si>
    <t>배하현</t>
  </si>
  <si>
    <t>휴직복직[20250722~99991231]</t>
  </si>
  <si>
    <t>홍우진</t>
  </si>
  <si>
    <t>정채주</t>
  </si>
  <si>
    <t>고건람</t>
  </si>
  <si>
    <t>안해희</t>
  </si>
  <si>
    <t>이민람</t>
  </si>
  <si>
    <t>노가윤</t>
  </si>
  <si>
    <t>이채수</t>
  </si>
  <si>
    <t>임하별</t>
  </si>
  <si>
    <t>노해빈</t>
  </si>
  <si>
    <t>황유연</t>
  </si>
  <si>
    <t>노해정</t>
  </si>
  <si>
    <t>임서욱</t>
  </si>
  <si>
    <t>휴직복직[20240515~99991231], 휴직복직[20231018~99991231], 휴직복직[20241002~99991231], 육아휴직[20251104~20271104]</t>
  </si>
  <si>
    <t>손재주</t>
  </si>
  <si>
    <t>노나진</t>
  </si>
  <si>
    <t>권채아</t>
  </si>
  <si>
    <t>손도솔</t>
  </si>
  <si>
    <t>장소주</t>
  </si>
  <si>
    <t>휴직복직[20221121~99991231]</t>
  </si>
  <si>
    <t>홍지온</t>
  </si>
  <si>
    <t>윤건수</t>
  </si>
  <si>
    <t>휴직복직[20230724~99991231]</t>
  </si>
  <si>
    <t>임마솔</t>
  </si>
  <si>
    <t>조하호</t>
  </si>
  <si>
    <t>휴직복직[20250203~99991231]</t>
  </si>
  <si>
    <t>임채우</t>
  </si>
  <si>
    <t>정태호</t>
  </si>
  <si>
    <t>백재솔</t>
  </si>
  <si>
    <t>휴직복직[20230204~99991231]</t>
  </si>
  <si>
    <t>유민욱</t>
  </si>
  <si>
    <t>장우희</t>
  </si>
  <si>
    <t>휴직복직[20231204~99991231]</t>
  </si>
  <si>
    <t>육아휴직[20260604~20261204], 육아휴직[20270326~20261106]</t>
  </si>
  <si>
    <t>유준영</t>
  </si>
  <si>
    <t>양라호</t>
  </si>
  <si>
    <t>휴직복직[20240621~99991231]</t>
  </si>
  <si>
    <t>휴직복직[20231104~99991231], 휴직복직[20230910~99991231], 연수휴직[20260313~20270313]</t>
  </si>
  <si>
    <t>휴직복직[20250514~99991231]</t>
  </si>
  <si>
    <t>고수결</t>
  </si>
  <si>
    <t>심마빈</t>
  </si>
  <si>
    <t>휴직복직[20250313~99991231]</t>
  </si>
  <si>
    <t>고지경</t>
  </si>
  <si>
    <t>정나별</t>
  </si>
  <si>
    <t>신소우</t>
  </si>
  <si>
    <t>홍라미</t>
  </si>
  <si>
    <t>휴직복직[20230110~99991231]</t>
  </si>
  <si>
    <t>휴직복직[20230526~99991231], 휴직복직[20241113~99991231], 육아휴직[20260125~20261213]</t>
  </si>
  <si>
    <t>질병휴직(일반질병)[20260503~20270503]</t>
  </si>
  <si>
    <t>신준욱</t>
  </si>
  <si>
    <t>심원수</t>
  </si>
  <si>
    <t>휴직복직[20241016~99991231]</t>
  </si>
  <si>
    <t>전수별</t>
  </si>
  <si>
    <t>양은석</t>
  </si>
  <si>
    <t>백건현</t>
  </si>
  <si>
    <t>신유민</t>
  </si>
  <si>
    <t>남원결</t>
  </si>
  <si>
    <t>배예현</t>
  </si>
  <si>
    <t>김서영</t>
  </si>
  <si>
    <t>박도온</t>
  </si>
  <si>
    <t>정태빈</t>
  </si>
  <si>
    <t>조태희</t>
  </si>
  <si>
    <t>강도별</t>
  </si>
  <si>
    <t>윤서욱</t>
  </si>
  <si>
    <t>안수현</t>
  </si>
  <si>
    <t>윤윤람</t>
  </si>
  <si>
    <t>서서람</t>
  </si>
  <si>
    <t>휴직복직[20230826~99991231], 질병휴직(일반질병)[20260120~20270120]</t>
  </si>
  <si>
    <t>문하정</t>
  </si>
  <si>
    <t>오채민</t>
  </si>
  <si>
    <t>양라윤</t>
  </si>
  <si>
    <t>유은수</t>
  </si>
  <si>
    <t>황소미</t>
  </si>
  <si>
    <t>유다우</t>
  </si>
  <si>
    <t>양해진</t>
  </si>
  <si>
    <t>휴직복직[20230116~99991231]</t>
  </si>
  <si>
    <t>휴직복직[20240418~99991231]</t>
  </si>
  <si>
    <t>남준욱</t>
  </si>
  <si>
    <t>홍도정</t>
  </si>
  <si>
    <t>임소주</t>
  </si>
  <si>
    <t>서은미</t>
  </si>
  <si>
    <t>유다경</t>
  </si>
  <si>
    <t>권해민</t>
  </si>
  <si>
    <t>강유미</t>
  </si>
  <si>
    <t>김상연</t>
  </si>
  <si>
    <t>김도민</t>
  </si>
  <si>
    <t>휴직복직[20250629~99991231], 육아휴직[20260404~20261004]</t>
  </si>
  <si>
    <t>허윤민</t>
  </si>
  <si>
    <t>고은미</t>
  </si>
  <si>
    <t>휴직복직[20231224~99991231]</t>
  </si>
  <si>
    <t>김지진</t>
  </si>
  <si>
    <t>안나별</t>
  </si>
  <si>
    <t>서도주</t>
  </si>
  <si>
    <t>이태진</t>
  </si>
  <si>
    <t>임라미</t>
  </si>
  <si>
    <t>허은빈</t>
  </si>
  <si>
    <t>김수현</t>
  </si>
  <si>
    <t>송지솔</t>
  </si>
  <si>
    <t>휴직복직[20230706~99991231], 휴직복직[20231006~99991231], 유학휴직[20251020~20261020]</t>
  </si>
  <si>
    <t>송마람</t>
  </si>
  <si>
    <t>서재솔</t>
  </si>
  <si>
    <t>허원온</t>
  </si>
  <si>
    <t>휴직복직[20240404~99991231]</t>
  </si>
  <si>
    <t>송상아</t>
  </si>
  <si>
    <t>남현정</t>
  </si>
  <si>
    <t>남우연</t>
  </si>
  <si>
    <t>심상호</t>
  </si>
  <si>
    <t>오준연</t>
  </si>
  <si>
    <t>최상희</t>
  </si>
  <si>
    <t>안서현</t>
  </si>
  <si>
    <t>임유우</t>
  </si>
  <si>
    <t>노나연</t>
  </si>
  <si>
    <t>백민빈</t>
  </si>
  <si>
    <t>휴직복직[20240202~99991231]</t>
  </si>
  <si>
    <t>권가빈</t>
  </si>
  <si>
    <t>홍상아</t>
  </si>
  <si>
    <t>남다경</t>
  </si>
  <si>
    <t>백현온</t>
  </si>
  <si>
    <t>문마욱</t>
  </si>
  <si>
    <t>김원경</t>
  </si>
  <si>
    <t>운전서기</t>
  </si>
  <si>
    <t>휴직복직[20231120~99991231]</t>
  </si>
  <si>
    <t>최서별</t>
  </si>
  <si>
    <t>휴직복직[20250824~99991231]</t>
  </si>
  <si>
    <t>휴직복직[20250805~99991231]</t>
  </si>
  <si>
    <t>손예우</t>
  </si>
  <si>
    <t>최태진</t>
  </si>
  <si>
    <t>손태석</t>
  </si>
  <si>
    <t>문우온</t>
  </si>
  <si>
    <t>정라빈</t>
  </si>
  <si>
    <t>박서연</t>
  </si>
  <si>
    <t>문건욱</t>
  </si>
  <si>
    <t>휴직복직[20241208~99991231]</t>
  </si>
  <si>
    <t>신상윤</t>
  </si>
  <si>
    <t>권준호</t>
  </si>
  <si>
    <t>휴직복직[20240409~99991231]</t>
  </si>
  <si>
    <t>허소석</t>
  </si>
  <si>
    <t>권예우</t>
  </si>
  <si>
    <t>허라우</t>
  </si>
  <si>
    <t>학생처 시설과장</t>
  </si>
  <si>
    <t>신태영</t>
  </si>
  <si>
    <t>윤윤경</t>
  </si>
  <si>
    <t>신마욱</t>
  </si>
  <si>
    <t>임유별</t>
  </si>
  <si>
    <t>공과대학 행정실장</t>
  </si>
  <si>
    <t>전은현</t>
  </si>
  <si>
    <t>휴직복직[20251112~99991231], 휴직복직[20231116~99991231], 휴직복직[20251005~99991231], 육아휴직[20260328~20270328]</t>
  </si>
  <si>
    <t>심준온</t>
  </si>
  <si>
    <t>휴직복직[20240619~99991231], 육아휴직[20260529~20261129]</t>
  </si>
  <si>
    <t>김도진</t>
  </si>
  <si>
    <t>휴직복직[20230820~99991231], 육아휴직[20251030~20271030]</t>
  </si>
  <si>
    <t>신민연</t>
  </si>
  <si>
    <t>남소연</t>
  </si>
  <si>
    <t>최준수</t>
  </si>
  <si>
    <t>임태희</t>
  </si>
  <si>
    <t>급수</t>
    <phoneticPr fontId="1" type="noConversion"/>
  </si>
  <si>
    <t>집계급수</t>
    <phoneticPr fontId="1" type="noConversion"/>
  </si>
  <si>
    <t>급수순서</t>
    <phoneticPr fontId="1" type="noConversion"/>
  </si>
  <si>
    <t>직군</t>
    <phoneticPr fontId="1" type="noConversion"/>
  </si>
  <si>
    <t>집계대상</t>
    <phoneticPr fontId="1" type="noConversion"/>
  </si>
  <si>
    <t>인원플래그</t>
    <phoneticPr fontId="1" type="noConversion"/>
  </si>
  <si>
    <t>휴직플래그</t>
    <phoneticPr fontId="1" type="noConversion"/>
  </si>
  <si>
    <t>연령대</t>
    <phoneticPr fontId="1" type="noConversion"/>
  </si>
  <si>
    <t>본교발령경과년수</t>
    <phoneticPr fontId="1" type="noConversion"/>
  </si>
  <si>
    <t>최초발령경과년수</t>
    <phoneticPr fontId="1" type="noConversion"/>
  </si>
  <si>
    <t>근속구간</t>
    <phoneticPr fontId="1" type="noConversion"/>
  </si>
  <si>
    <t>현직급체류년수</t>
    <phoneticPr fontId="1" type="noConversion"/>
  </si>
  <si>
    <t>적체구분</t>
    <phoneticPr fontId="1" type="noConversion"/>
  </si>
  <si>
    <t>정년도래연도</t>
    <phoneticPr fontId="1" type="noConversion"/>
  </si>
  <si>
    <t>보직자여부</t>
    <phoneticPr fontId="1" type="noConversion"/>
  </si>
  <si>
    <t>현재휴직시작일</t>
    <phoneticPr fontId="1" type="noConversion"/>
  </si>
  <si>
    <t>휴직사유</t>
    <phoneticPr fontId="1" type="noConversion"/>
  </si>
  <si>
    <t>복직예정일</t>
    <phoneticPr fontId="1" type="noConversion"/>
  </si>
  <si>
    <t>휴직잔여일수</t>
    <phoneticPr fontId="1" type="noConversion"/>
  </si>
  <si>
    <t>복직임박</t>
    <phoneticPr fontId="1" type="noConversion"/>
  </si>
  <si>
    <t>데이터검토</t>
    <phoneticPr fontId="1" type="noConversion"/>
  </si>
  <si>
    <t>기준시점</t>
  </si>
  <si>
    <t>구분</t>
  </si>
  <si>
    <t>자료출처</t>
  </si>
  <si>
    <t>2년 전(집계표)</t>
  </si>
  <si>
    <t>4급</t>
  </si>
  <si>
    <t>가상 집계표</t>
  </si>
  <si>
    <t>5급</t>
  </si>
  <si>
    <t>6급</t>
  </si>
  <si>
    <t>7급</t>
  </si>
  <si>
    <t>8급</t>
  </si>
  <si>
    <t>9급</t>
  </si>
  <si>
    <t>연구사</t>
  </si>
  <si>
    <t>전문경력관</t>
  </si>
  <si>
    <t>1년 전(집계표)</t>
  </si>
  <si>
    <t>당월(명부)</t>
  </si>
  <si>
    <t>명부(자동계산)</t>
  </si>
  <si>
    <t>총계</t>
    <phoneticPr fontId="1" type="noConversion"/>
  </si>
  <si>
    <t>휴직률</t>
    <phoneticPr fontId="1" type="noConversion"/>
  </si>
  <si>
    <t>집계대상</t>
  </si>
  <si>
    <t>집계급수</t>
  </si>
  <si>
    <t>인턴</t>
  </si>
  <si>
    <t>총합계</t>
  </si>
  <si>
    <t>인원</t>
  </si>
  <si>
    <t>포함</t>
  </si>
  <si>
    <t xml:space="preserve">휴직률 </t>
  </si>
  <si>
    <t>직군</t>
  </si>
  <si>
    <t>기타(복무·인턴)</t>
  </si>
  <si>
    <t>연령대</t>
  </si>
  <si>
    <t>20대 이하</t>
  </si>
  <si>
    <t>30대</t>
  </si>
  <si>
    <t>40대</t>
  </si>
  <si>
    <t>50대</t>
  </si>
  <si>
    <t>휴직사유</t>
  </si>
  <si>
    <t>복직예정월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</si>
  <si>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</si>
  <si>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</si>
  <si>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</si>
  <si>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</si>
  <si>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</si>
  <si>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</si>
  <si>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</si>
  <si>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</si>
  <si>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</si>
  <si>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</si>
  <si>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</si>
  <si>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2027-10</t>
  </si>
  <si>
    <t>2027-11</t>
  </si>
  <si>
    <t>2027-12</t>
  </si>
  <si>
    <t>2028-02</t>
  </si>
  <si>
    <t>2028-05</t>
  </si>
  <si>
    <t>적체구분</t>
  </si>
  <si>
    <t>10년 이상</t>
  </si>
  <si>
    <t>5~10년</t>
  </si>
  <si>
    <t>5년 미만</t>
  </si>
  <si>
    <t>정년도래연도</t>
  </si>
  <si>
    <t>근속구간</t>
  </si>
  <si>
    <t>10~20년</t>
  </si>
  <si>
    <t>20~30년</t>
  </si>
  <si>
    <t>30년 이상</t>
  </si>
  <si>
    <t>미상</t>
  </si>
  <si>
    <t>현재진행</t>
  </si>
  <si>
    <t>휴직기간구간</t>
  </si>
  <si>
    <t>1년 이하</t>
  </si>
  <si>
    <t>2년 이하</t>
  </si>
  <si>
    <t>2년 초과</t>
  </si>
  <si>
    <t>6개월 이하</t>
  </si>
  <si>
    <t>진행</t>
  </si>
  <si>
    <t>직원 인사현황 대시보드 — 가상 데이터 데모</t>
  </si>
  <si>
    <t>구조 시연용 · 가상 명부   |   ※ RAW 시트의 데이터를 바꾸면 모든 수치·차트가 자동 갱신됩니다   ※ 가상 데이터입니다. 인원·성명·부서·날짜 전부 난수이며 실제 인사자료·실제 인물과 무관합니다.</t>
  </si>
  <si>
    <t>현원 (사회복무·인턴 포함)</t>
  </si>
  <si>
    <t>평균 연령</t>
  </si>
  <si>
    <t>여성 비율</t>
  </si>
  <si>
    <t>6급 10년 이상 적체</t>
  </si>
  <si>
    <t>6개월 내 복직 예정</t>
  </si>
  <si>
    <t>정년 도래 (5년 내)</t>
  </si>
  <si>
    <t>부서 · 직급 교차 조회</t>
  </si>
  <si>
    <t>슬라이서를 눌러 조건을 걸면 아래 표가 즉시 바뀝니다. 여러 항목은 Ctrl 로 다중 선택, 필터 해제는 슬라이서 우측 상단 아이콘.   ※ 가상 데이터입니다. 인원·성명·부서·날짜 전부 난수이며 실제 인사자료·실제 인물과 무관합니다.</t>
  </si>
  <si>
    <t>▸ 조건 선택</t>
  </si>
  <si>
    <t>휴직 현황 및 복직 예정 관리</t>
  </si>
  <si>
    <t>휴직 사유·복직예정일은 명부의 「휴직정보」를 자동 해석한 값입니다(휴직복직 이력 제외 · 가장 최근 시작 건 기준). 잔여일수와 6개월 내 복직 여부는 파일을 여는 날짜로 다시 계산됩니다.   ※ 가상 데이터입니다. 인원·성명·부서·날짜 전부 난수이며 실제 인사자료·실제 인물과 무관합니다.</t>
  </si>
  <si>
    <t>▸ 휴직 사유 × 급수</t>
  </si>
  <si>
    <t>▸ 급수별 휴직률 (분모 = 집계대상 인원)</t>
  </si>
  <si>
    <t>값</t>
  </si>
  <si>
    <t>▸ 6개월 내 복직 예정자 (잔여일수 = 파일을 연 날짜 기준)</t>
  </si>
  <si>
    <t>복직임박</t>
  </si>
  <si>
    <t>복직예정일</t>
  </si>
  <si>
    <t>잔여일수</t>
  </si>
  <si>
    <t>6개월내</t>
  </si>
  <si>
    <t>전년 대비 인력 추이</t>
  </si>
  <si>
    <t>2년 전(집계표), 1년 전(집계표) 은 집계표 확정치이고, 당월(명부) 은 현원 명부에서 자동 계산한 값입니다(사회복무요원·인턴 제외). 집계표는 파견자를 제외하고 집계합니다.   ※ 가상 데이터입니다. 인원·성명·부서·날짜 전부 난수이며 실제 인사자료·실제 인물과 무관합니다.</t>
  </si>
  <si>
    <t>▸ 시점별 인원 (재직+휴직)   —   증감은 2년 전(집계표) → 1년 전(집계표)</t>
  </si>
  <si>
    <t>증감</t>
  </si>
  <si>
    <t>합계</t>
  </si>
  <si>
    <t>▸ 휴직률 추이 (분모 = 재직 + 휴직)</t>
  </si>
  <si>
    <t>시점</t>
  </si>
  <si>
    <t>휴직률</t>
  </si>
  <si>
    <t>인력 구조 진단 — 승진 적체 · 정년 · 근속</t>
  </si>
  <si>
    <t>현직급 체류기간은 「직급발령시작일자」부터 오늘까지입니다. 정년 도래는 공무원 정년 60세를 만나이에 적용한 추정치로 ±1년 오차가 있습니다(개인정보 보호를 위해 생년월일을 제거하고 나이만 사용).   ※ 가상 데이터입니다. 인원·성명·부서·날짜 전부 난수이며 실제 인사자료·실제 인물과 무관합니다.</t>
  </si>
  <si>
    <t>▸ 급수별 현직급 체류기간 (재직 공무원) — 승진 적체 진단</t>
  </si>
  <si>
    <t>▸ 정년 도래 예상 (향후 10년 · 공무원)</t>
  </si>
  <si>
    <t>▸ 보직자 현황 (직위 보유자)</t>
  </si>
  <si>
    <t>보직자여부</t>
  </si>
  <si>
    <t>보직자</t>
  </si>
  <si>
    <t>사용 안내 — 데이터 갱신 방법</t>
  </si>
  <si>
    <t>이 대시보드는 원본 표를 바꾸면 피벗과 차트가 함께 갱신되도록 만들었습니다.   ※ 가상 데이터입니다. 인원·성명·부서·날짜 전부 난수이며 실제 인사자료·실제 인물과 무관합니다.</t>
  </si>
  <si>
    <t>0. 현재 데이터 요약</t>
  </si>
  <si>
    <t>1. 매달 갱신 절차</t>
  </si>
  <si>
    <t>① 「10.RAW_현원명부」 시트를 열고, 표 안의 데이터를 새 명부로 교체합니다.
   (표 마지막 행 아래에 붙여넣으면 Excel 표가 자동으로 확장되고 파생열 수식이 따라 채워집니다)
② 「11.RAW_휴직이력」은 명부의 「휴직정보」를 1건=1행으로 풀어놓은 표입니다. 동일한 방식으로 교체합니다.
③ 저장 후 파일을 다시 열면 모든 피벗·차트가 자동 갱신됩니다. 즉시 갱신하려면 [데이터] &gt; [모두 새로 고침](Ctrl+Alt+F5).</t>
  </si>
  <si>
    <t>2. 자동으로 계산되는 열</t>
  </si>
  <si>
    <t>급수 / 집계급수 / 급수순서 / 직군 / 집계대상 / 인원플래그 / 휴직플래그 / 연령대 / 본교발령경과년수 / 최초발령경과년수 / 근속구간 / 현직급체류년수 / 적체구분 / 정년도래연도 / 보직자여부 / 현재휴직시작일 / 휴직사유 / 복직예정일 / 복직예정월 / 휴직잔여일수 / 복직임박 / 데이터검토
「11.RAW_휴직이력」: 매칭키 / 휴직기간일수 / 현재진행 / 복직예정월 / 시작연도 / 휴직기간구간 / 검토
→ 모두 수식입니다. 직접 값을 입력하지 마십시오. 「10.RAW_현원명부」의 휴직사유와 복직예정일은 「11.RAW_휴직이력」을 찾아보는 수식이므로, 두 표를 함께 교체해야 합니다.</t>
  </si>
  <si>
    <t>3. 급수 판정 규칙</t>
  </si>
  <si>
    <t>직급 이름으로 판정합니다. 서기관=4급 / 사무관=5급 / 주사=6급 / 주사보=7급 / 서기=8급 / 서기보=9급, 연구직=연구사, 전문경력관·대학회계직·대학회계계약직은 별도 구분.
→ 판정 결과는 총무과 「직급별 재·휴직 현황」 집계표와 대조해 확인했습니다. 규칙에 없는 직급이 들어오면 '미분류'로 표시되므로, 위 '현재 데이터 요약'의 미분류 인원이 0인지 매번 확인하십시오.</t>
  </si>
  <si>
    <t>4. 휴직 사유 판정 규칙</t>
  </si>
  <si>
    <t>명부 「휴직정보」에서 '휴직복직' 이력을 제외하고, 이미 시작했고 아직 끝나지 않은 항목 중 가장 최근에 시작한 건을 현재 휴직으로 봅니다.
→ 육아휴직 중 복직 처리 후 질병휴직으로 전환한 사례가 있어, '종료일이 가장 늦은 건'이 아니라 '가장 최근 시작한 건'을 기준으로 합니다.</t>
  </si>
  <si>
    <t>5. 기준일이 다른 자료</t>
  </si>
  <si>
    <t>명부와 총무과 집계표의 기준일이 다릅니다. 표지 부제와 「12.RAW_연도집계」의 기준시점 라벨에서 확인하십시오.
→ 두 자료의 인원 차이는 그 사이 기간의 발령분입니다. 집계표는 부산시교육청 파견자를 제외하고 집계하므로 그만큼도 차이가 납니다.</t>
  </si>
  <si>
    <t>6. 휴직률의 분모</t>
  </si>
  <si>
    <t>휴직률 = 휴직 인원 ÷ 집계대상 인원(사회복무요원·인턴 제외)입니다. 요약 시트의 KPI, 급수별 휴직률 차트, 04.전년대비 시트가 모두 같은 분모를 씁니다.
→ 사회복무요원·인턴은 신분상 휴직 제도가 적용되지 않아 분모에서 뺐습니다. 현원 전체를 분모로 쓰면 값이 낮게 나오므로, 어느 분모를 썼는지 밝히지 않으면 집계표 수치와 어긋나 혼선이 생깁니다.
→ 급수별 휴직률은 피벗 '계산 필드'(휴직플래그 ÷ 인원플래그)로 만들었습니다. 급수 구분이 새로 생겨도 자동으로 계산됩니다.</t>
  </si>
  <si>
    <t>7. 근속년수를 쓰는 방식</t>
  </si>
  <si>
    <t>근속 분석은 인사시스템의 「근속년수」 값을 그대로 씁니다. 값이 비어 있는 사람은 근속구간이 '미상'으로 잡히며, 대부분 사회복무요원·인턴·계약직과 타 기관 전입자입니다.
→ 발령일자로 근속을 계산하지 않는 이유: 「본교발령시작일자」는 재발령 때 갱신되어 2026년에만 60명이 찍혀 있고, 「최초발령시작일자」로 계산해도 인사시스템 근속년수와 정확히 맞는 경우가 10%가 안 됩니다(군경력 등 산입 경력 때문으로 보임).
→ 파생열 '본교발령경과년수'·'최초발령경과년수'는 근속이 아니라 발령일로부터 지난 햇수입니다. 두 값 차이가 큰 사람은 타 기관 전입자입니다.</t>
  </si>
  <si>
    <t>8. 원자료로 알 수 없는 것</t>
  </si>
  <si>
    <t>① 부서별 휴직 분석 — 휴직 발령 시 소속이 본부로 바뀌어, 휴직자 대부분의 상위소속이 '부산대학교'로 기록됩니다. 원래 근무 부서를 알 수 없어 부서별 업무공백 분석은 이 자료만으로는 불가능합니다.
② 연도별 휴직 개시 추이 — 「휴직정보」의 사유 항목은 최근 2~3년치만 남아 있고, 그 이전 휴직은 '휴직복직' 기록으로만 남습니다. 「11.RAW_휴직이력」의 시작연도 분포를 확인하십시오. 장기 추이 차트는 만들지 않았습니다.
③ 정원·결원 — 직제 정원 자료가 없어 충원율·결원은 산출하지 않았습니다. 휴직자를 뺀 '재직 인원'을 실가동 인원 지표로 대신 씁니다.</t>
  </si>
  <si>
    <t>9. 확인이 필요한 데이터</t>
  </si>
  <si>
    <t>「10.RAW_현원명부」의 '데이터검토' 열과 「11.RAW_휴직이력」의 '검토' 열에 표시됩니다.
· 휴직사유 자동판정 실패 — 휴직 상태인데 「휴직정보」에서 현재 휴직 건을 찾지 못한 경우
· 휴직기간 오류 — 시작일이 종료일보다 늦게 입력된 경우
→ 원자료를 임의로 고치지 않으므로, 표시된 행은 인사담당자가 확인해야 합니다. 현재 건수는 이 시트 맨 위 '현재 데이터 요약'에 나옵니다.</t>
  </si>
  <si>
    <t>10. 개인정보 처리</t>
  </si>
  <si>
    <t>원본 명부의 생년월일·휴대폰번호·집전화·사무실전화·이메일·현재주소·주민등록주소·영문명·중문명은 모두 삭제했고, 연령 분석을 위해 '나이'만 남겼습니다.
→ 성명·교직원번호는 내부 실무 조회 목적으로 유지했습니다. 이 파일은 총무과 내부용이며 외부 공개용으로는 별도 마스킹본을 사용하십시오.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</si>
</sst>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#,##0&quot;명&quot;"/>
    <numFmt numFmtId="178" formatCode="0.0&quot;세&quot;"/>
    <numFmt numFmtId="179" formatCode="\+#,##0;\-#,##0;0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rgb="FF1C4FA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5F6B7A"/>
      <name val="맑은 고딕"/>
      <family val="2"/>
      <charset val="129"/>
      <scheme val="minor"/>
    </font>
    <font>
      <sz val="9"/>
      <color rgb="FF5F6B7A"/>
      <name val="맑은 고딕"/>
      <family val="3"/>
      <charset val="129"/>
      <scheme val="minor"/>
    </font>
    <font>
      <b/>
      <sz val="20"/>
      <color rgb="FF1C4FA1"/>
      <name val="맑은 고딕"/>
      <family val="3"/>
      <charset val="129"/>
      <scheme val="minor"/>
    </font>
    <font>
      <sz val="8"/>
      <color rgb="FF5F6B7A"/>
      <name val="맑은 고딕"/>
      <family val="2"/>
      <charset val="129"/>
      <scheme val="minor"/>
    </font>
    <font>
      <b/>
      <sz val="20"/>
      <color rgb="FF1E8E3E"/>
      <name val="맑은 고딕"/>
      <family val="3"/>
      <charset val="129"/>
      <scheme val="minor"/>
    </font>
    <font>
      <b/>
      <sz val="20"/>
      <color rgb="FFE8710A"/>
      <name val="맑은 고딕"/>
      <family val="3"/>
      <charset val="129"/>
      <scheme val="minor"/>
    </font>
    <font>
      <b/>
      <sz val="20"/>
      <color rgb="FF2DA7E0"/>
      <name val="맑은 고딕"/>
      <family val="3"/>
      <charset val="129"/>
      <scheme val="minor"/>
    </font>
    <font>
      <b/>
      <sz val="20"/>
      <color rgb="FFD93025"/>
      <name val="맑은 고딕"/>
      <family val="3"/>
      <charset val="129"/>
      <scheme val="minor"/>
    </font>
    <font>
      <b/>
      <sz val="11"/>
      <color rgb="FF1C4FA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1C4FA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C4FA1"/>
        <bgColor indexed="64"/>
      </patternFill>
    </fill>
    <fill>
      <patternFill patternType="solid">
        <fgColor rgb="FFF2F4F7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D5DBE3"/>
      </top>
      <bottom/>
      <diagonal/>
    </border>
    <border>
      <left/>
      <right/>
      <top/>
      <bottom style="thin">
        <color rgb="FFD5DBE3"/>
      </bottom>
      <diagonal/>
    </border>
    <border>
      <left/>
      <right/>
      <top style="thin">
        <color rgb="FFD5DBE3"/>
      </top>
      <bottom style="thin">
        <color rgb="FFD5DBE3"/>
      </bottom>
      <diagonal/>
    </border>
    <border>
      <left style="thin">
        <color rgb="FFD5DBE3"/>
      </left>
      <right/>
      <top/>
      <bottom/>
      <diagonal/>
    </border>
    <border>
      <left style="thin">
        <color rgb="FFD5DBE3"/>
      </left>
      <right/>
      <top/>
      <bottom style="thin">
        <color rgb="FFD5DBE3"/>
      </bottom>
      <diagonal/>
    </border>
    <border>
      <left/>
      <right style="thin">
        <color rgb="FFD5DBE3"/>
      </right>
      <top/>
      <bottom/>
      <diagonal/>
    </border>
    <border>
      <left/>
      <right style="thin">
        <color rgb="FFD5DBE3"/>
      </right>
      <top/>
      <bottom style="thin">
        <color rgb="FFD5DBE3"/>
      </bottom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>
      <left style="thin">
        <color rgb="FFD5DBE3"/>
      </left>
      <right/>
      <top style="medium">
        <color rgb="FF1C4FA1"/>
      </top>
      <bottom/>
      <diagonal/>
    </border>
    <border>
      <left/>
      <right/>
      <top style="medium">
        <color rgb="FF1C4FA1"/>
      </top>
      <bottom/>
      <diagonal/>
    </border>
    <border>
      <left/>
      <right style="thin">
        <color rgb="FFD5DBE3"/>
      </right>
      <top style="medium">
        <color rgb="FF1C4FA1"/>
      </top>
      <bottom/>
      <diagonal/>
    </border>
    <border>
      <left style="thin">
        <color rgb="FFD5DBE3"/>
      </left>
      <right/>
      <top style="medium">
        <color rgb="FF1E8E3E"/>
      </top>
      <bottom/>
      <diagonal/>
    </border>
    <border>
      <left/>
      <right/>
      <top style="medium">
        <color rgb="FF1E8E3E"/>
      </top>
      <bottom/>
      <diagonal/>
    </border>
    <border>
      <left style="thin">
        <color rgb="FFD5DBE3"/>
      </left>
      <right/>
      <top style="medium">
        <color rgb="FFE8710A"/>
      </top>
      <bottom/>
      <diagonal/>
    </border>
    <border>
      <left/>
      <right/>
      <top style="medium">
        <color rgb="FFE8710A"/>
      </top>
      <bottom/>
      <diagonal/>
    </border>
    <border>
      <left style="thin">
        <color rgb="FFD5DBE3"/>
      </left>
      <right/>
      <top style="medium">
        <color rgb="FF2DA7E0"/>
      </top>
      <bottom/>
      <diagonal/>
    </border>
    <border>
      <left/>
      <right/>
      <top style="medium">
        <color rgb="FF2DA7E0"/>
      </top>
      <bottom/>
      <diagonal/>
    </border>
    <border>
      <left style="thin">
        <color rgb="FFD5DBE3"/>
      </left>
      <right/>
      <top style="medium">
        <color rgb="FFD93025"/>
      </top>
      <bottom/>
      <diagonal/>
    </border>
    <border>
      <left/>
      <right/>
      <top style="medium">
        <color rgb="FFD93025"/>
      </top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0" borderId="0" xfId="0" pivotButton="1">
      <alignment vertical="center"/>
    </xf>
    <xf numFmtId="3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177" fontId="8" fillId="4" borderId="4" xfId="0" applyNumberFormat="1" applyFont="1" applyFill="1" applyBorder="1" applyAlignment="1">
      <alignment horizontal="center" vertical="center"/>
    </xf>
    <xf numFmtId="177" fontId="8" fillId="4" borderId="0" xfId="0" applyNumberFormat="1" applyFont="1" applyFill="1" applyBorder="1" applyAlignment="1">
      <alignment horizontal="center" vertical="center"/>
    </xf>
    <xf numFmtId="177" fontId="8" fillId="4" borderId="6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top"/>
    </xf>
    <xf numFmtId="0" fontId="9" fillId="4" borderId="2" xfId="0" applyFont="1" applyFill="1" applyBorder="1" applyAlignment="1">
      <alignment horizontal="center" vertical="top"/>
    </xf>
    <xf numFmtId="0" fontId="9" fillId="4" borderId="7" xfId="0" applyFont="1" applyFill="1" applyBorder="1" applyAlignment="1">
      <alignment horizontal="center" vertical="top"/>
    </xf>
    <xf numFmtId="0" fontId="6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177" fontId="10" fillId="4" borderId="4" xfId="0" applyNumberFormat="1" applyFont="1" applyFill="1" applyBorder="1" applyAlignment="1">
      <alignment horizontal="center" vertical="center"/>
    </xf>
    <xf numFmtId="177" fontId="10" fillId="4" borderId="0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177" fontId="11" fillId="4" borderId="4" xfId="0" applyNumberFormat="1" applyFont="1" applyFill="1" applyBorder="1" applyAlignment="1">
      <alignment horizontal="center" vertical="center"/>
    </xf>
    <xf numFmtId="177" fontId="11" fillId="4" borderId="0" xfId="0" applyNumberFormat="1" applyFont="1" applyFill="1" applyBorder="1" applyAlignment="1">
      <alignment horizontal="center" vertical="center"/>
    </xf>
    <xf numFmtId="178" fontId="8" fillId="4" borderId="4" xfId="0" applyNumberFormat="1" applyFont="1" applyFill="1" applyBorder="1" applyAlignment="1">
      <alignment horizontal="center" vertical="center"/>
    </xf>
    <xf numFmtId="178" fontId="8" fillId="4" borderId="0" xfId="0" applyNumberFormat="1" applyFont="1" applyFill="1" applyBorder="1" applyAlignment="1">
      <alignment horizontal="center" vertical="center"/>
    </xf>
    <xf numFmtId="178" fontId="8" fillId="4" borderId="6" xfId="0" applyNumberFormat="1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176" fontId="12" fillId="4" borderId="4" xfId="0" applyNumberFormat="1" applyFont="1" applyFill="1" applyBorder="1" applyAlignment="1">
      <alignment horizontal="center" vertical="center"/>
    </xf>
    <xf numFmtId="176" fontId="12" fillId="4" borderId="0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177" fontId="13" fillId="4" borderId="4" xfId="0" applyNumberFormat="1" applyFont="1" applyFill="1" applyBorder="1" applyAlignment="1">
      <alignment horizontal="center" vertical="center"/>
    </xf>
    <xf numFmtId="177" fontId="13" fillId="4" borderId="0" xfId="0" applyNumberFormat="1" applyFont="1" applyFill="1" applyBorder="1" applyAlignment="1">
      <alignment horizontal="center" vertical="center"/>
    </xf>
    <xf numFmtId="0" fontId="14" fillId="2" borderId="0" xfId="0" applyFont="1" applyFill="1">
      <alignment vertical="center"/>
    </xf>
    <xf numFmtId="0" fontId="14" fillId="0" borderId="0" xfId="0" applyFont="1">
      <alignment vertical="center"/>
    </xf>
    <xf numFmtId="0" fontId="16" fillId="3" borderId="8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5" fillId="4" borderId="8" xfId="0" applyFont="1" applyFill="1" applyBorder="1">
      <alignment vertical="center"/>
    </xf>
    <xf numFmtId="179" fontId="3" fillId="2" borderId="8" xfId="0" applyNumberFormat="1" applyFont="1" applyFill="1" applyBorder="1">
      <alignment vertical="center"/>
    </xf>
    <xf numFmtId="179" fontId="15" fillId="4" borderId="8" xfId="0" applyNumberFormat="1" applyFont="1" applyFill="1" applyBorder="1">
      <alignment vertical="center"/>
    </xf>
    <xf numFmtId="176" fontId="3" fillId="2" borderId="8" xfId="0" applyNumberFormat="1" applyFont="1" applyFill="1" applyBorder="1">
      <alignment vertical="center"/>
    </xf>
    <xf numFmtId="0" fontId="17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vertical="top" wrapText="1"/>
    </xf>
    <xf numFmtId="0" fontId="17" fillId="2" borderId="3" xfId="0" applyFont="1" applyFill="1" applyBorder="1" applyAlignment="1">
      <alignment vertical="top"/>
    </xf>
    <xf numFmtId="0" fontId="5" fillId="2" borderId="3" xfId="0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12">
    <dxf>
      <font>
        <b/>
        <family val="3"/>
      </font>
      <alignment horizontal="center" vertical="center" textRotation="0" wrapText="1" indent="0" justifyLastLine="0" shrinkToFit="0" readingOrder="0"/>
    </dxf>
    <dxf>
      <font>
        <b/>
        <family val="3"/>
      </font>
      <alignment horizontal="center" vertical="center" textRotation="0" wrapText="1" indent="0" justifyLastLine="0" shrinkToFit="0" readingOrder="0"/>
    </dxf>
    <dxf>
      <font>
        <b/>
        <family val="3"/>
      </font>
      <alignment horizontal="center" vertical="center" textRotation="0" wrapText="1" indent="0" justifyLastLine="0" shrinkToFit="0" readingOrder="0"/>
    </dxf>
    <dxf>
      <numFmt numFmtId="176" formatCode="0.0%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데모).xlsx]_피벗!ptGrade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급수별 재직 </a:t>
            </a:r>
            <a:r>
              <a:rPr lang="en-US"/>
              <a:t>· </a:t>
            </a:r>
            <a:r>
              <a:rPr lang="ko-KR"/>
              <a:t>휴직 현황 </a:t>
            </a:r>
            <a:r>
              <a:rPr lang="en-US"/>
              <a:t>(</a:t>
            </a:r>
            <a:r>
              <a:rPr lang="ko-KR"/>
              <a:t>사회복무</a:t>
            </a:r>
            <a:r>
              <a:rPr lang="en-US"/>
              <a:t>·</a:t>
            </a:r>
            <a:r>
              <a:rPr lang="ko-KR"/>
              <a:t>인턴 제외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FFFFFF"/>
                  </a:solidFill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710A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FFFFFF"/>
                  </a:solidFill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_피벗!$B$5:$B$6</c:f>
              <c:strCache>
                <c:ptCount val="1"/>
                <c:pt idx="0">
                  <c:v>재직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C2-4A3B-B894-9D173EEB35F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C2-4A3B-B894-9D173EEB35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_피벗!$A$7:$A$17</c:f>
              <c:strCache>
                <c:ptCount val="10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  <c:pt idx="8">
                  <c:v>대학회계직</c:v>
                </c:pt>
                <c:pt idx="9">
                  <c:v>대학회계계약직</c:v>
                </c:pt>
              </c:strCache>
            </c:strRef>
          </c:cat>
          <c:val>
            <c:numRef>
              <c:f>_피벗!$B$7:$B$17</c:f>
              <c:numCache>
                <c:formatCode>#,##0</c:formatCode>
                <c:ptCount val="10"/>
                <c:pt idx="0">
                  <c:v>10</c:v>
                </c:pt>
                <c:pt idx="1">
                  <c:v>23</c:v>
                </c:pt>
                <c:pt idx="2">
                  <c:v>104</c:v>
                </c:pt>
                <c:pt idx="3">
                  <c:v>64</c:v>
                </c:pt>
                <c:pt idx="4">
                  <c:v>46</c:v>
                </c:pt>
                <c:pt idx="5">
                  <c:v>26</c:v>
                </c:pt>
                <c:pt idx="6">
                  <c:v>1</c:v>
                </c:pt>
                <c:pt idx="7">
                  <c:v>2</c:v>
                </c:pt>
                <c:pt idx="8">
                  <c:v>32</c:v>
                </c:pt>
                <c:pt idx="9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C2-4A3B-B894-9D173EEB35FE}"/>
            </c:ext>
          </c:extLst>
        </c:ser>
        <c:ser>
          <c:idx val="1"/>
          <c:order val="1"/>
          <c:tx>
            <c:strRef>
              <c:f>_피벗!$C$5:$C$6</c:f>
              <c:strCache>
                <c:ptCount val="1"/>
                <c:pt idx="0">
                  <c:v>휴직</c:v>
                </c:pt>
              </c:strCache>
            </c:strRef>
          </c:tx>
          <c:spPr>
            <a:solidFill>
              <a:srgbClr val="E8710A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C2-4A3B-B894-9D173EEB35F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C2-4A3B-B894-9D173EEB35F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C2-4A3B-B894-9D173EEB35F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C2-4A3B-B894-9D173EEB35F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AC2-4A3B-B894-9D173EEB35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_피벗!$A$7:$A$17</c:f>
              <c:strCache>
                <c:ptCount val="10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  <c:pt idx="8">
                  <c:v>대학회계직</c:v>
                </c:pt>
                <c:pt idx="9">
                  <c:v>대학회계계약직</c:v>
                </c:pt>
              </c:strCache>
            </c:strRef>
          </c:cat>
          <c:val>
            <c:numRef>
              <c:f>_피벗!$C$7:$C$17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8">
                  <c:v>3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C2-4A3B-B894-9D173EEB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508515791"/>
        <c:axId val="1508524527"/>
      </c:barChart>
      <c:catAx>
        <c:axId val="150851579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508524527"/>
        <c:crosses val="autoZero"/>
        <c:auto val="1"/>
        <c:lblAlgn val="ctr"/>
        <c:lblOffset val="100"/>
        <c:noMultiLvlLbl val="0"/>
      </c:catAx>
      <c:valAx>
        <c:axId val="1508524527"/>
        <c:scaling>
          <c:orientation val="minMax"/>
        </c:scaling>
        <c:delete val="0"/>
        <c:axPos val="t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0851579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데모).xlsx]_피벗!ptGroup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직군 구성 </a:t>
            </a:r>
            <a:r>
              <a:rPr lang="en-US"/>
              <a:t>(</a:t>
            </a:r>
            <a:r>
              <a:rPr lang="ko-KR"/>
              <a:t>인원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1C4FA1"/>
                  </a:solidFill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_피벗!$B$38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1C4FA1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_피벗!$A$39:$A$43</c:f>
              <c:strCache>
                <c:ptCount val="4"/>
                <c:pt idx="0">
                  <c:v>공무원</c:v>
                </c:pt>
                <c:pt idx="1">
                  <c:v>대학회계계약직</c:v>
                </c:pt>
                <c:pt idx="2">
                  <c:v>대학회계직</c:v>
                </c:pt>
                <c:pt idx="3">
                  <c:v>기타(복무·인턴)</c:v>
                </c:pt>
              </c:strCache>
            </c:strRef>
          </c:cat>
          <c:val>
            <c:numRef>
              <c:f>_피벗!$B$39:$B$43</c:f>
              <c:numCache>
                <c:formatCode>#,##0</c:formatCode>
                <c:ptCount val="4"/>
                <c:pt idx="0">
                  <c:v>297</c:v>
                </c:pt>
                <c:pt idx="1">
                  <c:v>118</c:v>
                </c:pt>
                <c:pt idx="2">
                  <c:v>35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F-467B-A203-9760E0121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503651503"/>
        <c:axId val="1487343871"/>
      </c:barChart>
      <c:catAx>
        <c:axId val="150365150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487343871"/>
        <c:crosses val="autoZero"/>
        <c:auto val="1"/>
        <c:lblAlgn val="ctr"/>
        <c:lblOffset val="100"/>
        <c:noMultiLvlLbl val="0"/>
      </c:catAx>
      <c:valAx>
        <c:axId val="1487343871"/>
        <c:scaling>
          <c:orientation val="minMax"/>
        </c:scaling>
        <c:delete val="0"/>
        <c:axPos val="t"/>
        <c:majorGridlines/>
        <c:numFmt formatCode="#,##0" sourceLinked="1"/>
        <c:majorTickMark val="out"/>
        <c:minorTickMark val="none"/>
        <c:tickLblPos val="nextTo"/>
        <c:crossAx val="150365150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데모).xlsx]_피벗!ptAge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연령대 </a:t>
            </a:r>
            <a:r>
              <a:rPr lang="en-US"/>
              <a:t>× </a:t>
            </a:r>
            <a:r>
              <a:rPr lang="ko-KR"/>
              <a:t>성별 분포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DA7E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_피벗!$B$48:$B$49</c:f>
              <c:strCache>
                <c:ptCount val="1"/>
                <c:pt idx="0">
                  <c:v>남자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_피벗!$A$50:$A$54</c:f>
              <c:strCache>
                <c:ptCount val="4"/>
                <c:pt idx="0">
                  <c:v>20대 이하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</c:strCache>
            </c:strRef>
          </c:cat>
          <c:val>
            <c:numRef>
              <c:f>_피벗!$B$50:$B$54</c:f>
              <c:numCache>
                <c:formatCode>#,##0</c:formatCode>
                <c:ptCount val="4"/>
                <c:pt idx="0">
                  <c:v>41</c:v>
                </c:pt>
                <c:pt idx="1">
                  <c:v>59</c:v>
                </c:pt>
                <c:pt idx="2">
                  <c:v>68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CB-4221-92EB-E90EF83B6F49}"/>
            </c:ext>
          </c:extLst>
        </c:ser>
        <c:ser>
          <c:idx val="1"/>
          <c:order val="1"/>
          <c:tx>
            <c:strRef>
              <c:f>_피벗!$C$48:$C$49</c:f>
              <c:strCache>
                <c:ptCount val="1"/>
                <c:pt idx="0">
                  <c:v>여자</c:v>
                </c:pt>
              </c:strCache>
            </c:strRef>
          </c:tx>
          <c:spPr>
            <a:solidFill>
              <a:srgbClr val="2DA7E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_피벗!$A$50:$A$54</c:f>
              <c:strCache>
                <c:ptCount val="4"/>
                <c:pt idx="0">
                  <c:v>20대 이하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</c:strCache>
            </c:strRef>
          </c:cat>
          <c:val>
            <c:numRef>
              <c:f>_피벗!$C$50:$C$54</c:f>
              <c:numCache>
                <c:formatCode>#,##0</c:formatCode>
                <c:ptCount val="4"/>
                <c:pt idx="0">
                  <c:v>50</c:v>
                </c:pt>
                <c:pt idx="1">
                  <c:v>45</c:v>
                </c:pt>
                <c:pt idx="2">
                  <c:v>95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CB-4221-92EB-E90EF83B6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7345119"/>
        <c:axId val="1487341375"/>
      </c:barChart>
      <c:catAx>
        <c:axId val="1487345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87341375"/>
        <c:crosses val="autoZero"/>
        <c:auto val="1"/>
        <c:lblAlgn val="ctr"/>
        <c:lblOffset val="100"/>
        <c:noMultiLvlLbl val="0"/>
      </c:catAx>
      <c:valAx>
        <c:axId val="1487341375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1487345119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데모).xlsx]_피벗!ptReason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휴직 사유별 인원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E8710A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E8710A"/>
                  </a:solidFill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_피벗!$B$59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E8710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E8710A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_피벗!$A$60:$A$66</c:f>
              <c:strCache>
                <c:ptCount val="6"/>
                <c:pt idx="0">
                  <c:v>육아휴직</c:v>
                </c:pt>
                <c:pt idx="1">
                  <c:v>질병휴직(일반질병)</c:v>
                </c:pt>
                <c:pt idx="2">
                  <c:v>가족돌봄휴직</c:v>
                </c:pt>
                <c:pt idx="3">
                  <c:v>연수휴직</c:v>
                </c:pt>
                <c:pt idx="4">
                  <c:v>유학휴직</c:v>
                </c:pt>
                <c:pt idx="5">
                  <c:v>병역휴직</c:v>
                </c:pt>
              </c:strCache>
            </c:strRef>
          </c:cat>
          <c:val>
            <c:numRef>
              <c:f>_피벗!$B$60:$B$66</c:f>
              <c:numCache>
                <c:formatCode>#,##0</c:formatCode>
                <c:ptCount val="6"/>
                <c:pt idx="0">
                  <c:v>23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C7-4EB6-B44F-F3406ED01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87338047"/>
        <c:axId val="1487339711"/>
      </c:barChart>
      <c:catAx>
        <c:axId val="148733804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487339711"/>
        <c:crosses val="autoZero"/>
        <c:auto val="1"/>
        <c:lblAlgn val="ctr"/>
        <c:lblOffset val="100"/>
        <c:noMultiLvlLbl val="0"/>
      </c:catAx>
      <c:valAx>
        <c:axId val="1487339711"/>
        <c:scaling>
          <c:orientation val="minMax"/>
        </c:scaling>
        <c:delete val="0"/>
        <c:axPos val="t"/>
        <c:majorGridlines/>
        <c:numFmt formatCode="#,##0" sourceLinked="1"/>
        <c:majorTickMark val="out"/>
        <c:minorTickMark val="none"/>
        <c:tickLblPos val="nextTo"/>
        <c:crossAx val="1487338047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데모).xlsx]_피벗!ptLeaveRate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급수별 휴직률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E8710A"/>
          </a:solidFill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_피벗!$B$22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E8710A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_피벗!$A$23:$A$33</c:f>
              <c:strCache>
                <c:ptCount val="10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  <c:pt idx="8">
                  <c:v>대학회계직</c:v>
                </c:pt>
                <c:pt idx="9">
                  <c:v>대학회계계약직</c:v>
                </c:pt>
              </c:strCache>
            </c:strRef>
          </c:cat>
          <c:val>
            <c:numRef>
              <c:f>_피벗!$B$23:$B$33</c:f>
              <c:numCache>
                <c:formatCode>0.0%</c:formatCode>
                <c:ptCount val="10"/>
                <c:pt idx="0">
                  <c:v>9.0909090909090912E-2</c:v>
                </c:pt>
                <c:pt idx="1">
                  <c:v>0.08</c:v>
                </c:pt>
                <c:pt idx="2">
                  <c:v>5.4545454545454543E-2</c:v>
                </c:pt>
                <c:pt idx="3">
                  <c:v>8.5714285714285715E-2</c:v>
                </c:pt>
                <c:pt idx="4">
                  <c:v>0.08</c:v>
                </c:pt>
                <c:pt idx="5">
                  <c:v>7.1428571428571425E-2</c:v>
                </c:pt>
                <c:pt idx="6">
                  <c:v>0</c:v>
                </c:pt>
                <c:pt idx="7">
                  <c:v>0</c:v>
                </c:pt>
                <c:pt idx="8">
                  <c:v>8.5714285714285715E-2</c:v>
                </c:pt>
                <c:pt idx="9">
                  <c:v>8.4745762711864403E-2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6-40C1-B4D0-D879689C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404735"/>
        <c:axId val="1278406815"/>
      </c:barChart>
      <c:catAx>
        <c:axId val="1278404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278406815"/>
        <c:crosses val="autoZero"/>
        <c:auto val="1"/>
        <c:lblAlgn val="ctr"/>
        <c:lblOffset val="100"/>
        <c:noMultiLvlLbl val="0"/>
      </c:catAx>
      <c:valAx>
        <c:axId val="1278406815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278404735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데모).xlsx]_피벗!ptMonth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복직 예정 인원 </a:t>
            </a:r>
            <a:r>
              <a:rPr lang="en-US"/>
              <a:t>(</a:t>
            </a:r>
            <a:r>
              <a:rPr lang="ko-KR"/>
              <a:t>월별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DA7E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_피벗!$B$71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2DA7E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_피벗!$A$72:$A$88</c:f>
              <c:strCache>
                <c:ptCount val="16"/>
                <c:pt idx="0">
                  <c:v>2026-10</c:v>
                </c:pt>
                <c:pt idx="1">
                  <c:v>2026-11</c:v>
                </c:pt>
                <c:pt idx="2">
                  <c:v>2026-12</c:v>
                </c:pt>
                <c:pt idx="3">
                  <c:v>2027-01</c:v>
                </c:pt>
                <c:pt idx="4">
                  <c:v>2027-02</c:v>
                </c:pt>
                <c:pt idx="5">
                  <c:v>2027-03</c:v>
                </c:pt>
                <c:pt idx="6">
                  <c:v>2027-04</c:v>
                </c:pt>
                <c:pt idx="7">
                  <c:v>2027-05</c:v>
                </c:pt>
                <c:pt idx="8">
                  <c:v>2027-06</c:v>
                </c:pt>
                <c:pt idx="9">
                  <c:v>2027-07</c:v>
                </c:pt>
                <c:pt idx="10">
                  <c:v>2027-08</c:v>
                </c:pt>
                <c:pt idx="11">
                  <c:v>2027-10</c:v>
                </c:pt>
                <c:pt idx="12">
                  <c:v>2027-11</c:v>
                </c:pt>
                <c:pt idx="13">
                  <c:v>2027-12</c:v>
                </c:pt>
                <c:pt idx="14">
                  <c:v>2028-02</c:v>
                </c:pt>
                <c:pt idx="15">
                  <c:v>2028-05</c:v>
                </c:pt>
              </c:strCache>
            </c:strRef>
          </c:cat>
          <c:val>
            <c:numRef>
              <c:f>_피벗!$B$72:$B$88</c:f>
              <c:numCache>
                <c:formatCode>#,##0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F-41F4-800D-F8E5E6388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5481343"/>
        <c:axId val="1278407647"/>
      </c:barChart>
      <c:catAx>
        <c:axId val="148548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8407647"/>
        <c:crosses val="autoZero"/>
        <c:auto val="1"/>
        <c:lblAlgn val="ctr"/>
        <c:lblOffset val="100"/>
        <c:noMultiLvlLbl val="0"/>
      </c:catAx>
      <c:valAx>
        <c:axId val="1278407647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48548134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데모).xlsx]_피벗!ptLeaveDur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현재 휴직 기간 분포 </a:t>
            </a:r>
            <a:r>
              <a:rPr lang="en-US"/>
              <a:t>(</a:t>
            </a:r>
            <a:r>
              <a:rPr lang="ko-KR"/>
              <a:t>사유별 </a:t>
            </a:r>
            <a:r>
              <a:rPr lang="en-US"/>
              <a:t>· </a:t>
            </a:r>
            <a:r>
              <a:rPr lang="ko-KR"/>
              <a:t>진행 중인 건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710A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DA7E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FB3E8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6B4C4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3D4EA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_피벗!$B$154:$B$155</c:f>
              <c:strCache>
                <c:ptCount val="1"/>
                <c:pt idx="0">
                  <c:v>가족돌봄휴직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_피벗!$A$156:$A$160</c:f>
              <c:strCache>
                <c:ptCount val="4"/>
                <c:pt idx="0">
                  <c:v>6개월 이하</c:v>
                </c:pt>
                <c:pt idx="1">
                  <c:v>1년 이하</c:v>
                </c:pt>
                <c:pt idx="2">
                  <c:v>2년 이하</c:v>
                </c:pt>
                <c:pt idx="3">
                  <c:v>2년 초과</c:v>
                </c:pt>
              </c:strCache>
            </c:strRef>
          </c:cat>
          <c:val>
            <c:numRef>
              <c:f>_피벗!$B$156:$B$160</c:f>
              <c:numCache>
                <c:formatCode>#,##0</c:formatCode>
                <c:ptCount val="4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3-439F-9F06-AFA07E3C502A}"/>
            </c:ext>
          </c:extLst>
        </c:ser>
        <c:ser>
          <c:idx val="1"/>
          <c:order val="1"/>
          <c:tx>
            <c:strRef>
              <c:f>_피벗!$C$154:$C$155</c:f>
              <c:strCache>
                <c:ptCount val="1"/>
                <c:pt idx="0">
                  <c:v>병역휴직</c:v>
                </c:pt>
              </c:strCache>
            </c:strRef>
          </c:tx>
          <c:spPr>
            <a:solidFill>
              <a:srgbClr val="E8710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_피벗!$A$156:$A$160</c:f>
              <c:strCache>
                <c:ptCount val="4"/>
                <c:pt idx="0">
                  <c:v>6개월 이하</c:v>
                </c:pt>
                <c:pt idx="1">
                  <c:v>1년 이하</c:v>
                </c:pt>
                <c:pt idx="2">
                  <c:v>2년 이하</c:v>
                </c:pt>
                <c:pt idx="3">
                  <c:v>2년 초과</c:v>
                </c:pt>
              </c:strCache>
            </c:strRef>
          </c:cat>
          <c:val>
            <c:numRef>
              <c:f>_피벗!$C$156:$C$160</c:f>
              <c:numCache>
                <c:formatCode>#,##0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3-439F-9F06-AFA07E3C502A}"/>
            </c:ext>
          </c:extLst>
        </c:ser>
        <c:ser>
          <c:idx val="2"/>
          <c:order val="2"/>
          <c:tx>
            <c:strRef>
              <c:f>_피벗!$D$154:$D$155</c:f>
              <c:strCache>
                <c:ptCount val="1"/>
                <c:pt idx="0">
                  <c:v>연수휴직</c:v>
                </c:pt>
              </c:strCache>
            </c:strRef>
          </c:tx>
          <c:spPr>
            <a:solidFill>
              <a:srgbClr val="2DA7E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_피벗!$A$156:$A$160</c:f>
              <c:strCache>
                <c:ptCount val="4"/>
                <c:pt idx="0">
                  <c:v>6개월 이하</c:v>
                </c:pt>
                <c:pt idx="1">
                  <c:v>1년 이하</c:v>
                </c:pt>
                <c:pt idx="2">
                  <c:v>2년 이하</c:v>
                </c:pt>
                <c:pt idx="3">
                  <c:v>2년 초과</c:v>
                </c:pt>
              </c:strCache>
            </c:strRef>
          </c:cat>
          <c:val>
            <c:numRef>
              <c:f>_피벗!$D$156:$D$160</c:f>
              <c:numCache>
                <c:formatCode>#,##0</c:formatCode>
                <c:ptCount val="4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3-439F-9F06-AFA07E3C502A}"/>
            </c:ext>
          </c:extLst>
        </c:ser>
        <c:ser>
          <c:idx val="3"/>
          <c:order val="3"/>
          <c:tx>
            <c:strRef>
              <c:f>_피벗!$E$154:$E$155</c:f>
              <c:strCache>
                <c:ptCount val="1"/>
                <c:pt idx="0">
                  <c:v>유학휴직</c:v>
                </c:pt>
              </c:strCache>
            </c:strRef>
          </c:tx>
          <c:spPr>
            <a:solidFill>
              <a:srgbClr val="7FB3E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_피벗!$A$156:$A$160</c:f>
              <c:strCache>
                <c:ptCount val="4"/>
                <c:pt idx="0">
                  <c:v>6개월 이하</c:v>
                </c:pt>
                <c:pt idx="1">
                  <c:v>1년 이하</c:v>
                </c:pt>
                <c:pt idx="2">
                  <c:v>2년 이하</c:v>
                </c:pt>
                <c:pt idx="3">
                  <c:v>2년 초과</c:v>
                </c:pt>
              </c:strCache>
            </c:strRef>
          </c:cat>
          <c:val>
            <c:numRef>
              <c:f>_피벗!$E$156:$E$160</c:f>
              <c:numCache>
                <c:formatCode>#,##0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3-439F-9F06-AFA07E3C502A}"/>
            </c:ext>
          </c:extLst>
        </c:ser>
        <c:ser>
          <c:idx val="4"/>
          <c:order val="4"/>
          <c:tx>
            <c:strRef>
              <c:f>_피벗!$F$154:$F$155</c:f>
              <c:strCache>
                <c:ptCount val="1"/>
                <c:pt idx="0">
                  <c:v>육아휴직</c:v>
                </c:pt>
              </c:strCache>
            </c:strRef>
          </c:tx>
          <c:spPr>
            <a:solidFill>
              <a:srgbClr val="A6B4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_피벗!$A$156:$A$160</c:f>
              <c:strCache>
                <c:ptCount val="4"/>
                <c:pt idx="0">
                  <c:v>6개월 이하</c:v>
                </c:pt>
                <c:pt idx="1">
                  <c:v>1년 이하</c:v>
                </c:pt>
                <c:pt idx="2">
                  <c:v>2년 이하</c:v>
                </c:pt>
                <c:pt idx="3">
                  <c:v>2년 초과</c:v>
                </c:pt>
              </c:strCache>
            </c:strRef>
          </c:cat>
          <c:val>
            <c:numRef>
              <c:f>_피벗!$F$156:$F$160</c:f>
              <c:numCache>
                <c:formatCode>#,##0</c:formatCode>
                <c:ptCount val="4"/>
                <c:pt idx="0">
                  <c:v>2</c:v>
                </c:pt>
                <c:pt idx="1">
                  <c:v>12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23-439F-9F06-AFA07E3C502A}"/>
            </c:ext>
          </c:extLst>
        </c:ser>
        <c:ser>
          <c:idx val="5"/>
          <c:order val="5"/>
          <c:tx>
            <c:strRef>
              <c:f>_피벗!$G$154:$G$155</c:f>
              <c:strCache>
                <c:ptCount val="1"/>
                <c:pt idx="0">
                  <c:v>질병휴직(일반질병)</c:v>
                </c:pt>
              </c:strCache>
            </c:strRef>
          </c:tx>
          <c:spPr>
            <a:solidFill>
              <a:srgbClr val="C3D4E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_피벗!$A$156:$A$160</c:f>
              <c:strCache>
                <c:ptCount val="4"/>
                <c:pt idx="0">
                  <c:v>6개월 이하</c:v>
                </c:pt>
                <c:pt idx="1">
                  <c:v>1년 이하</c:v>
                </c:pt>
                <c:pt idx="2">
                  <c:v>2년 이하</c:v>
                </c:pt>
                <c:pt idx="3">
                  <c:v>2년 초과</c:v>
                </c:pt>
              </c:strCache>
            </c:strRef>
          </c:cat>
          <c:val>
            <c:numRef>
              <c:f>_피벗!$G$156:$G$160</c:f>
              <c:numCache>
                <c:formatCode>#,##0</c:formatCode>
                <c:ptCount val="4"/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23-439F-9F06-AFA07E3C5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5453215"/>
        <c:axId val="1270351119"/>
      </c:barChart>
      <c:catAx>
        <c:axId val="1505453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0351119"/>
        <c:crosses val="autoZero"/>
        <c:auto val="1"/>
        <c:lblAlgn val="ctr"/>
        <c:lblOffset val="100"/>
        <c:noMultiLvlLbl val="0"/>
      </c:catAx>
      <c:valAx>
        <c:axId val="1270351119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505453215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데모).xlsx]_피벗!ptHist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구분별 인원 추이 </a:t>
            </a:r>
            <a:r>
              <a:rPr lang="en-US"/>
              <a:t>(2</a:t>
            </a:r>
            <a:r>
              <a:rPr lang="ko-KR"/>
              <a:t>년 전</a:t>
            </a:r>
            <a:r>
              <a:rPr lang="en-US"/>
              <a:t>(</a:t>
            </a:r>
            <a:r>
              <a:rPr lang="ko-KR"/>
              <a:t>집계표</a:t>
            </a:r>
            <a:r>
              <a:rPr lang="en-US"/>
              <a:t>) → 1</a:t>
            </a:r>
            <a:r>
              <a:rPr lang="ko-KR"/>
              <a:t>년 전</a:t>
            </a:r>
            <a:r>
              <a:rPr lang="en-US"/>
              <a:t>(</a:t>
            </a:r>
            <a:r>
              <a:rPr lang="ko-KR"/>
              <a:t>집계표</a:t>
            </a:r>
            <a:r>
              <a:rPr lang="en-US"/>
              <a:t>) → </a:t>
            </a:r>
            <a:r>
              <a:rPr lang="ko-KR"/>
              <a:t>당월</a:t>
            </a:r>
            <a:r>
              <a:rPr lang="en-US"/>
              <a:t>(</a:t>
            </a:r>
            <a:r>
              <a:rPr lang="ko-KR"/>
              <a:t>명부</a:t>
            </a:r>
            <a:r>
              <a:rPr lang="en-US"/>
              <a:t>))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DA7E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8710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_피벗!$B$137:$B$138</c:f>
              <c:strCache>
                <c:ptCount val="1"/>
                <c:pt idx="0">
                  <c:v>2년 전(집계표)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cat>
            <c:strRef>
              <c:f>_피벗!$A$139:$A$149</c:f>
              <c:strCache>
                <c:ptCount val="10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  <c:pt idx="8">
                  <c:v>대학회계직</c:v>
                </c:pt>
                <c:pt idx="9">
                  <c:v>대학회계계약직</c:v>
                </c:pt>
              </c:strCache>
            </c:strRef>
          </c:cat>
          <c:val>
            <c:numRef>
              <c:f>_피벗!$B$139:$B$149</c:f>
              <c:numCache>
                <c:formatCode>#,##0</c:formatCode>
                <c:ptCount val="10"/>
                <c:pt idx="0">
                  <c:v>6</c:v>
                </c:pt>
                <c:pt idx="1">
                  <c:v>23</c:v>
                </c:pt>
                <c:pt idx="2">
                  <c:v>111</c:v>
                </c:pt>
                <c:pt idx="3">
                  <c:v>81</c:v>
                </c:pt>
                <c:pt idx="4">
                  <c:v>47</c:v>
                </c:pt>
                <c:pt idx="5">
                  <c:v>34</c:v>
                </c:pt>
                <c:pt idx="6">
                  <c:v>3</c:v>
                </c:pt>
                <c:pt idx="7">
                  <c:v>3</c:v>
                </c:pt>
                <c:pt idx="8">
                  <c:v>38</c:v>
                </c:pt>
                <c:pt idx="9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8-42EA-B9A7-EC878098A66A}"/>
            </c:ext>
          </c:extLst>
        </c:ser>
        <c:ser>
          <c:idx val="1"/>
          <c:order val="1"/>
          <c:tx>
            <c:strRef>
              <c:f>_피벗!$C$137:$C$138</c:f>
              <c:strCache>
                <c:ptCount val="1"/>
                <c:pt idx="0">
                  <c:v>1년 전(집계표)</c:v>
                </c:pt>
              </c:strCache>
            </c:strRef>
          </c:tx>
          <c:spPr>
            <a:solidFill>
              <a:srgbClr val="2DA7E0"/>
            </a:solidFill>
          </c:spPr>
          <c:invertIfNegative val="0"/>
          <c:cat>
            <c:strRef>
              <c:f>_피벗!$A$139:$A$149</c:f>
              <c:strCache>
                <c:ptCount val="10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  <c:pt idx="8">
                  <c:v>대학회계직</c:v>
                </c:pt>
                <c:pt idx="9">
                  <c:v>대학회계계약직</c:v>
                </c:pt>
              </c:strCache>
            </c:strRef>
          </c:cat>
          <c:val>
            <c:numRef>
              <c:f>_피벗!$C$139:$C$149</c:f>
              <c:numCache>
                <c:formatCode>#,##0</c:formatCode>
                <c:ptCount val="10"/>
                <c:pt idx="0">
                  <c:v>7</c:v>
                </c:pt>
                <c:pt idx="1">
                  <c:v>24</c:v>
                </c:pt>
                <c:pt idx="2">
                  <c:v>118</c:v>
                </c:pt>
                <c:pt idx="3">
                  <c:v>86</c:v>
                </c:pt>
                <c:pt idx="4">
                  <c:v>50</c:v>
                </c:pt>
                <c:pt idx="5">
                  <c:v>31</c:v>
                </c:pt>
                <c:pt idx="6">
                  <c:v>3</c:v>
                </c:pt>
                <c:pt idx="7">
                  <c:v>3</c:v>
                </c:pt>
                <c:pt idx="8">
                  <c:v>35</c:v>
                </c:pt>
                <c:pt idx="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88-42EA-B9A7-EC878098A66A}"/>
            </c:ext>
          </c:extLst>
        </c:ser>
        <c:ser>
          <c:idx val="2"/>
          <c:order val="2"/>
          <c:tx>
            <c:strRef>
              <c:f>_피벗!$D$137:$D$138</c:f>
              <c:strCache>
                <c:ptCount val="1"/>
                <c:pt idx="0">
                  <c:v>당월(명부)</c:v>
                </c:pt>
              </c:strCache>
            </c:strRef>
          </c:tx>
          <c:spPr>
            <a:solidFill>
              <a:srgbClr val="E8710A"/>
            </a:solidFill>
          </c:spPr>
          <c:invertIfNegative val="0"/>
          <c:cat>
            <c:strRef>
              <c:f>_피벗!$A$139:$A$149</c:f>
              <c:strCache>
                <c:ptCount val="10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  <c:pt idx="8">
                  <c:v>대학회계직</c:v>
                </c:pt>
                <c:pt idx="9">
                  <c:v>대학회계계약직</c:v>
                </c:pt>
              </c:strCache>
            </c:strRef>
          </c:cat>
          <c:val>
            <c:numRef>
              <c:f>_피벗!$D$139:$D$149</c:f>
              <c:numCache>
                <c:formatCode>#,##0</c:formatCode>
                <c:ptCount val="10"/>
                <c:pt idx="0">
                  <c:v>11</c:v>
                </c:pt>
                <c:pt idx="1">
                  <c:v>25</c:v>
                </c:pt>
                <c:pt idx="2">
                  <c:v>110</c:v>
                </c:pt>
                <c:pt idx="3">
                  <c:v>70</c:v>
                </c:pt>
                <c:pt idx="4">
                  <c:v>50</c:v>
                </c:pt>
                <c:pt idx="5">
                  <c:v>28</c:v>
                </c:pt>
                <c:pt idx="6">
                  <c:v>1</c:v>
                </c:pt>
                <c:pt idx="7">
                  <c:v>2</c:v>
                </c:pt>
                <c:pt idx="8">
                  <c:v>35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88-42EA-B9A7-EC878098A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0490607"/>
        <c:axId val="1720488943"/>
      </c:barChart>
      <c:catAx>
        <c:axId val="172049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0488943"/>
        <c:crosses val="autoZero"/>
        <c:auto val="1"/>
        <c:lblAlgn val="ctr"/>
        <c:lblOffset val="100"/>
        <c:noMultiLvlLbl val="0"/>
      </c:catAx>
      <c:valAx>
        <c:axId val="1720488943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20490607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데모).xlsx]_피벗!ptStag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급수별 적체 구간 분포 </a:t>
            </a:r>
            <a:r>
              <a:rPr lang="en-US"/>
              <a:t>(</a:t>
            </a:r>
            <a:r>
              <a:rPr lang="ko-KR"/>
              <a:t>재직 공무원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DA7E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710A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3025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_피벗!$B$93:$B$94</c:f>
              <c:strCache>
                <c:ptCount val="1"/>
                <c:pt idx="0">
                  <c:v>5년 미만</c:v>
                </c:pt>
              </c:strCache>
            </c:strRef>
          </c:tx>
          <c:spPr>
            <a:solidFill>
              <a:srgbClr val="2DA7E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_피벗!$A$95:$A$103</c:f>
              <c:strCache>
                <c:ptCount val="8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</c:strCache>
            </c:strRef>
          </c:cat>
          <c:val>
            <c:numRef>
              <c:f>_피벗!$B$95:$B$103</c:f>
              <c:numCache>
                <c:formatCode>#,##0</c:formatCode>
                <c:ptCount val="8"/>
                <c:pt idx="0">
                  <c:v>4</c:v>
                </c:pt>
                <c:pt idx="1">
                  <c:v>9</c:v>
                </c:pt>
                <c:pt idx="2">
                  <c:v>58</c:v>
                </c:pt>
                <c:pt idx="3">
                  <c:v>45</c:v>
                </c:pt>
                <c:pt idx="4">
                  <c:v>30</c:v>
                </c:pt>
                <c:pt idx="5">
                  <c:v>15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A-4BA0-A0E1-C4D403206ED4}"/>
            </c:ext>
          </c:extLst>
        </c:ser>
        <c:ser>
          <c:idx val="1"/>
          <c:order val="1"/>
          <c:tx>
            <c:strRef>
              <c:f>_피벗!$C$93:$C$94</c:f>
              <c:strCache>
                <c:ptCount val="1"/>
                <c:pt idx="0">
                  <c:v>5~10년</c:v>
                </c:pt>
              </c:strCache>
            </c:strRef>
          </c:tx>
          <c:spPr>
            <a:solidFill>
              <a:srgbClr val="E8710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_피벗!$A$95:$A$103</c:f>
              <c:strCache>
                <c:ptCount val="8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</c:strCache>
            </c:strRef>
          </c:cat>
          <c:val>
            <c:numRef>
              <c:f>_피벗!$C$95:$C$103</c:f>
              <c:numCache>
                <c:formatCode>#,##0</c:formatCode>
                <c:ptCount val="8"/>
                <c:pt idx="0">
                  <c:v>2</c:v>
                </c:pt>
                <c:pt idx="1">
                  <c:v>9</c:v>
                </c:pt>
                <c:pt idx="2">
                  <c:v>27</c:v>
                </c:pt>
                <c:pt idx="3">
                  <c:v>16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4A-4BA0-A0E1-C4D403206ED4}"/>
            </c:ext>
          </c:extLst>
        </c:ser>
        <c:ser>
          <c:idx val="2"/>
          <c:order val="2"/>
          <c:tx>
            <c:strRef>
              <c:f>_피벗!$D$93:$D$94</c:f>
              <c:strCache>
                <c:ptCount val="1"/>
                <c:pt idx="0">
                  <c:v>10년 이상</c:v>
                </c:pt>
              </c:strCache>
            </c:strRef>
          </c:tx>
          <c:spPr>
            <a:solidFill>
              <a:srgbClr val="D9302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_피벗!$A$95:$A$103</c:f>
              <c:strCache>
                <c:ptCount val="8"/>
                <c:pt idx="0">
                  <c:v>4급</c:v>
                </c:pt>
                <c:pt idx="1">
                  <c:v>5급</c:v>
                </c:pt>
                <c:pt idx="2">
                  <c:v>6급</c:v>
                </c:pt>
                <c:pt idx="3">
                  <c:v>7급</c:v>
                </c:pt>
                <c:pt idx="4">
                  <c:v>8급</c:v>
                </c:pt>
                <c:pt idx="5">
                  <c:v>9급</c:v>
                </c:pt>
                <c:pt idx="6">
                  <c:v>연구사</c:v>
                </c:pt>
                <c:pt idx="7">
                  <c:v>전문경력관</c:v>
                </c:pt>
              </c:strCache>
            </c:strRef>
          </c:cat>
          <c:val>
            <c:numRef>
              <c:f>_피벗!$D$95:$D$103</c:f>
              <c:numCache>
                <c:formatCode>#,##0</c:formatCode>
                <c:ptCount val="8"/>
                <c:pt idx="0">
                  <c:v>4</c:v>
                </c:pt>
                <c:pt idx="1">
                  <c:v>5</c:v>
                </c:pt>
                <c:pt idx="2">
                  <c:v>19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4A-4BA0-A0E1-C4D403206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4506335"/>
        <c:axId val="1724504255"/>
      </c:barChart>
      <c:catAx>
        <c:axId val="172450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4504255"/>
        <c:crosses val="autoZero"/>
        <c:auto val="1"/>
        <c:lblAlgn val="ctr"/>
        <c:lblOffset val="100"/>
        <c:noMultiLvlLbl val="0"/>
      </c:catAx>
      <c:valAx>
        <c:axId val="1724504255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24506335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데모).xlsx]_피벗!ptRetire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정년 도래 예상 인원 </a:t>
            </a:r>
            <a:r>
              <a:rPr lang="en-US"/>
              <a:t>(</a:t>
            </a:r>
            <a:r>
              <a:rPr lang="ko-KR"/>
              <a:t>연도별 </a:t>
            </a:r>
            <a:r>
              <a:rPr lang="en-US"/>
              <a:t>· </a:t>
            </a:r>
            <a:r>
              <a:rPr lang="ko-KR"/>
              <a:t>공무원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_피벗!$B$108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_피벗!$A$109:$A$119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_피벗!$B$109:$B$119</c:f>
              <c:numCache>
                <c:formatCode>#,##0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7</c:v>
                </c:pt>
                <c:pt idx="3">
                  <c:v>2</c:v>
                </c:pt>
                <c:pt idx="4">
                  <c:v>11</c:v>
                </c:pt>
                <c:pt idx="5">
                  <c:v>12</c:v>
                </c:pt>
                <c:pt idx="6">
                  <c:v>9</c:v>
                </c:pt>
                <c:pt idx="7">
                  <c:v>7</c:v>
                </c:pt>
                <c:pt idx="8">
                  <c:v>12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4A-4692-AF64-7F6824810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4513407"/>
        <c:axId val="1724511743"/>
      </c:barChart>
      <c:catAx>
        <c:axId val="172451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4511743"/>
        <c:crosses val="autoZero"/>
        <c:auto val="1"/>
        <c:lblAlgn val="ctr"/>
        <c:lblOffset val="100"/>
        <c:noMultiLvlLbl val="0"/>
      </c:catAx>
      <c:valAx>
        <c:axId val="1724511743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24513407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[인사현황 대시보드(가상데이터 데모).xlsx]_피벗!ptTenure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/>
              <a:t>근속 구간 분포 </a:t>
            </a:r>
            <a:r>
              <a:rPr lang="en-US"/>
              <a:t>(</a:t>
            </a:r>
            <a:r>
              <a:rPr lang="ko-KR"/>
              <a:t>직군별</a:t>
            </a:r>
            <a:r>
              <a:rPr lang="en-US"/>
              <a:t>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1C4FA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DA7E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B3E8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3D4E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_피벗!$B$124:$B$125</c:f>
              <c:strCache>
                <c:ptCount val="1"/>
                <c:pt idx="0">
                  <c:v>공무원</c:v>
                </c:pt>
              </c:strCache>
            </c:strRef>
          </c:tx>
          <c:spPr>
            <a:solidFill>
              <a:srgbClr val="1C4FA1"/>
            </a:solidFill>
          </c:spPr>
          <c:invertIfNegative val="0"/>
          <c:cat>
            <c:strRef>
              <c:f>_피벗!$A$126:$A$132</c:f>
              <c:strCache>
                <c:ptCount val="6"/>
                <c:pt idx="0">
                  <c:v>5년 미만</c:v>
                </c:pt>
                <c:pt idx="1">
                  <c:v>5~10년</c:v>
                </c:pt>
                <c:pt idx="2">
                  <c:v>10~20년</c:v>
                </c:pt>
                <c:pt idx="3">
                  <c:v>20~30년</c:v>
                </c:pt>
                <c:pt idx="4">
                  <c:v>30년 이상</c:v>
                </c:pt>
                <c:pt idx="5">
                  <c:v>미상</c:v>
                </c:pt>
              </c:strCache>
            </c:strRef>
          </c:cat>
          <c:val>
            <c:numRef>
              <c:f>_피벗!$B$126:$B$132</c:f>
              <c:numCache>
                <c:formatCode>#,##0</c:formatCode>
                <c:ptCount val="6"/>
                <c:pt idx="0">
                  <c:v>38</c:v>
                </c:pt>
                <c:pt idx="1">
                  <c:v>54</c:v>
                </c:pt>
                <c:pt idx="2">
                  <c:v>90</c:v>
                </c:pt>
                <c:pt idx="3">
                  <c:v>71</c:v>
                </c:pt>
                <c:pt idx="4">
                  <c:v>17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F-42F0-ADCD-1D5D9D7A5FCC}"/>
            </c:ext>
          </c:extLst>
        </c:ser>
        <c:ser>
          <c:idx val="1"/>
          <c:order val="1"/>
          <c:tx>
            <c:strRef>
              <c:f>_피벗!$C$124:$C$125</c:f>
              <c:strCache>
                <c:ptCount val="1"/>
                <c:pt idx="0">
                  <c:v>기타(복무·인턴)</c:v>
                </c:pt>
              </c:strCache>
            </c:strRef>
          </c:tx>
          <c:spPr>
            <a:solidFill>
              <a:srgbClr val="2DA7E0"/>
            </a:solidFill>
          </c:spPr>
          <c:invertIfNegative val="0"/>
          <c:cat>
            <c:strRef>
              <c:f>_피벗!$A$126:$A$132</c:f>
              <c:strCache>
                <c:ptCount val="6"/>
                <c:pt idx="0">
                  <c:v>5년 미만</c:v>
                </c:pt>
                <c:pt idx="1">
                  <c:v>5~10년</c:v>
                </c:pt>
                <c:pt idx="2">
                  <c:v>10~20년</c:v>
                </c:pt>
                <c:pt idx="3">
                  <c:v>20~30년</c:v>
                </c:pt>
                <c:pt idx="4">
                  <c:v>30년 이상</c:v>
                </c:pt>
                <c:pt idx="5">
                  <c:v>미상</c:v>
                </c:pt>
              </c:strCache>
            </c:strRef>
          </c:cat>
          <c:val>
            <c:numRef>
              <c:f>_피벗!$C$126:$C$132</c:f>
              <c:numCache>
                <c:formatCode>#,##0</c:formatCode>
                <c:ptCount val="6"/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FF-42F0-ADCD-1D5D9D7A5FCC}"/>
            </c:ext>
          </c:extLst>
        </c:ser>
        <c:ser>
          <c:idx val="2"/>
          <c:order val="2"/>
          <c:tx>
            <c:strRef>
              <c:f>_피벗!$D$124:$D$125</c:f>
              <c:strCache>
                <c:ptCount val="1"/>
                <c:pt idx="0">
                  <c:v>대학회계계약직</c:v>
                </c:pt>
              </c:strCache>
            </c:strRef>
          </c:tx>
          <c:spPr>
            <a:solidFill>
              <a:srgbClr val="7FB3E8"/>
            </a:solidFill>
          </c:spPr>
          <c:invertIfNegative val="0"/>
          <c:cat>
            <c:strRef>
              <c:f>_피벗!$A$126:$A$132</c:f>
              <c:strCache>
                <c:ptCount val="6"/>
                <c:pt idx="0">
                  <c:v>5년 미만</c:v>
                </c:pt>
                <c:pt idx="1">
                  <c:v>5~10년</c:v>
                </c:pt>
                <c:pt idx="2">
                  <c:v>10~20년</c:v>
                </c:pt>
                <c:pt idx="3">
                  <c:v>20~30년</c:v>
                </c:pt>
                <c:pt idx="4">
                  <c:v>30년 이상</c:v>
                </c:pt>
                <c:pt idx="5">
                  <c:v>미상</c:v>
                </c:pt>
              </c:strCache>
            </c:strRef>
          </c:cat>
          <c:val>
            <c:numRef>
              <c:f>_피벗!$D$126:$D$132</c:f>
              <c:numCache>
                <c:formatCode>#,##0</c:formatCode>
                <c:ptCount val="6"/>
                <c:pt idx="0">
                  <c:v>17</c:v>
                </c:pt>
                <c:pt idx="1">
                  <c:v>38</c:v>
                </c:pt>
                <c:pt idx="2">
                  <c:v>30</c:v>
                </c:pt>
                <c:pt idx="3">
                  <c:v>24</c:v>
                </c:pt>
                <c:pt idx="4">
                  <c:v>1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FF-42F0-ADCD-1D5D9D7A5FCC}"/>
            </c:ext>
          </c:extLst>
        </c:ser>
        <c:ser>
          <c:idx val="3"/>
          <c:order val="3"/>
          <c:tx>
            <c:strRef>
              <c:f>_피벗!$E$124:$E$125</c:f>
              <c:strCache>
                <c:ptCount val="1"/>
                <c:pt idx="0">
                  <c:v>대학회계직</c:v>
                </c:pt>
              </c:strCache>
            </c:strRef>
          </c:tx>
          <c:spPr>
            <a:solidFill>
              <a:srgbClr val="C3D4EA"/>
            </a:solidFill>
          </c:spPr>
          <c:invertIfNegative val="0"/>
          <c:cat>
            <c:strRef>
              <c:f>_피벗!$A$126:$A$132</c:f>
              <c:strCache>
                <c:ptCount val="6"/>
                <c:pt idx="0">
                  <c:v>5년 미만</c:v>
                </c:pt>
                <c:pt idx="1">
                  <c:v>5~10년</c:v>
                </c:pt>
                <c:pt idx="2">
                  <c:v>10~20년</c:v>
                </c:pt>
                <c:pt idx="3">
                  <c:v>20~30년</c:v>
                </c:pt>
                <c:pt idx="4">
                  <c:v>30년 이상</c:v>
                </c:pt>
                <c:pt idx="5">
                  <c:v>미상</c:v>
                </c:pt>
              </c:strCache>
            </c:strRef>
          </c:cat>
          <c:val>
            <c:numRef>
              <c:f>_피벗!$E$126:$E$132</c:f>
              <c:numCache>
                <c:formatCode>#,##0</c:formatCode>
                <c:ptCount val="6"/>
                <c:pt idx="0">
                  <c:v>5</c:v>
                </c:pt>
                <c:pt idx="1">
                  <c:v>11</c:v>
                </c:pt>
                <c:pt idx="2">
                  <c:v>13</c:v>
                </c:pt>
                <c:pt idx="3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FF-42F0-ADCD-1D5D9D7A5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4508831"/>
        <c:axId val="1724506751"/>
      </c:barChart>
      <c:catAx>
        <c:axId val="172450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4506751"/>
        <c:crosses val="autoZero"/>
        <c:auto val="1"/>
        <c:lblAlgn val="ctr"/>
        <c:lblOffset val="100"/>
        <c:noMultiLvlLbl val="0"/>
      </c:catAx>
      <c:valAx>
        <c:axId val="172450675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2450883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C05A77D-3B0B-40F7-8E64-21F4DFEA3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15C8281-1157-4592-B222-19604AD8F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BA933C4-154C-4AB8-9791-2AEE741A1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31FCAD4-B7A5-4DB4-9235-92EA60014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17</xdr:col>
      <xdr:colOff>0</xdr:colOff>
      <xdr:row>64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BB4020C-8896-4FB2-8B80-680B86FBD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117475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직군">
              <a:extLst>
                <a:ext uri="{FF2B5EF4-FFF2-40B4-BE49-F238E27FC236}">
                  <a16:creationId xmlns:a16="http://schemas.microsoft.com/office/drawing/2014/main" id="{F16C2FEE-0CEA-45F4-97AA-B348A662A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직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1219200"/>
              <a:ext cx="14986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193675</xdr:colOff>
      <xdr:row>6</xdr:row>
      <xdr:rowOff>0</xdr:rowOff>
    </xdr:from>
    <xdr:to>
      <xdr:col>3</xdr:col>
      <xdr:colOff>854075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재직상태구분">
              <a:extLst>
                <a:ext uri="{FF2B5EF4-FFF2-40B4-BE49-F238E27FC236}">
                  <a16:creationId xmlns:a16="http://schemas.microsoft.com/office/drawing/2014/main" id="{DB7729A7-B37E-453F-843B-9FC4D2C07B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재직상태구분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6250" y="1219200"/>
              <a:ext cx="14986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930275</xdr:colOff>
      <xdr:row>6</xdr:row>
      <xdr:rowOff>0</xdr:rowOff>
    </xdr:from>
    <xdr:to>
      <xdr:col>5</xdr:col>
      <xdr:colOff>85725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성별">
              <a:extLst>
                <a:ext uri="{FF2B5EF4-FFF2-40B4-BE49-F238E27FC236}">
                  <a16:creationId xmlns:a16="http://schemas.microsoft.com/office/drawing/2014/main" id="{0A777761-8761-4281-99EF-1EE4EEC286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성별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1050" y="1219200"/>
              <a:ext cx="14986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161925</xdr:colOff>
      <xdr:row>6</xdr:row>
      <xdr:rowOff>0</xdr:rowOff>
    </xdr:from>
    <xdr:to>
      <xdr:col>6</xdr:col>
      <xdr:colOff>488950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연령대">
              <a:extLst>
                <a:ext uri="{FF2B5EF4-FFF2-40B4-BE49-F238E27FC236}">
                  <a16:creationId xmlns:a16="http://schemas.microsoft.com/office/drawing/2014/main" id="{D6EE8602-1B27-4367-B874-81933C2E57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연령대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1219200"/>
              <a:ext cx="14986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565150</xdr:colOff>
      <xdr:row>6</xdr:row>
      <xdr:rowOff>0</xdr:rowOff>
    </xdr:from>
    <xdr:to>
      <xdr:col>7</xdr:col>
      <xdr:colOff>892175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집계급수">
              <a:extLst>
                <a:ext uri="{FF2B5EF4-FFF2-40B4-BE49-F238E27FC236}">
                  <a16:creationId xmlns:a16="http://schemas.microsoft.com/office/drawing/2014/main" id="{77E70DC7-3E80-47D7-BC40-7003B58D56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집계급수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0650" y="1219200"/>
              <a:ext cx="14986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968375</xdr:colOff>
      <xdr:row>6</xdr:row>
      <xdr:rowOff>0</xdr:rowOff>
    </xdr:from>
    <xdr:to>
      <xdr:col>9</xdr:col>
      <xdr:colOff>123825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근속구간">
              <a:extLst>
                <a:ext uri="{FF2B5EF4-FFF2-40B4-BE49-F238E27FC236}">
                  <a16:creationId xmlns:a16="http://schemas.microsoft.com/office/drawing/2014/main" id="{65BA22CB-051D-42B6-8D51-C407692D08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근속구간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5450" y="1219200"/>
              <a:ext cx="14986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C8E15-89AF-4A26-B932-82F076E84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721B6A8-C095-4FF8-8ABA-F477A6095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E7378B3-B849-4DD2-904B-138960857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85C0A64-D506-4B9F-AFF5-E316D5AB8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19</xdr:col>
      <xdr:colOff>0</xdr:colOff>
      <xdr:row>41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487A772-CDDD-482C-840F-0DA4E29A6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19</xdr:col>
      <xdr:colOff>0</xdr:colOff>
      <xdr:row>59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A0D7C2E-23E4-4FF9-966D-87E612C34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72.445633217591" createdVersion="3" refreshedVersion="7" minRefreshableVersion="3" recordCount="30" xr:uid="{3BB0BC71-A817-456A-BA0E-2A1C3AF99765}">
  <cacheSource type="worksheet">
    <worksheetSource name="tblHistory"/>
  </cacheSource>
  <cacheFields count="7">
    <cacheField name="기준시점" numFmtId="0">
      <sharedItems count="3">
        <s v="2년 전(집계표)"/>
        <s v="1년 전(집계표)"/>
        <s v="당월(명부)"/>
      </sharedItems>
    </cacheField>
    <cacheField name="구분" numFmtId="0">
      <sharedItems count="10">
        <s v="4급"/>
        <s v="5급"/>
        <s v="6급"/>
        <s v="7급"/>
        <s v="8급"/>
        <s v="9급"/>
        <s v="연구사"/>
        <s v="전문경력관"/>
        <s v="대학회계직"/>
        <s v="대학회계계약직"/>
      </sharedItems>
    </cacheField>
    <cacheField name="재직" numFmtId="0">
      <sharedItems containsSemiMixedTypes="0" containsString="0" containsNumber="1" containsInteger="1" minValue="1" maxValue="110"/>
    </cacheField>
    <cacheField name="휴직" numFmtId="0">
      <sharedItems containsSemiMixedTypes="0" containsString="0" containsNumber="1" containsInteger="1" minValue="0" maxValue="11"/>
    </cacheField>
    <cacheField name="자료출처" numFmtId="0">
      <sharedItems/>
    </cacheField>
    <cacheField name="총계" numFmtId="0">
      <sharedItems containsSemiMixedTypes="0" containsString="0" containsNumber="1" containsInteger="1" minValue="1" maxValue="118"/>
    </cacheField>
    <cacheField name="휴직률" numFmtId="176">
      <sharedItems containsSemiMixedTypes="0" containsString="0" containsNumber="1" minValue="0" maxValue="0.33333333333333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72.445633217591" createdVersion="3" refreshedVersion="7" minRefreshableVersion="3" recordCount="135" xr:uid="{36EFD8F4-B8A1-4E46-8CCE-E42D8BAE6D8E}">
  <cacheSource type="worksheet">
    <worksheetSource name="tblLeave"/>
  </cacheSource>
  <cacheFields count="14">
    <cacheField name="교직원번호" numFmtId="0">
      <sharedItems containsSemiMixedTypes="0" containsString="0" containsNumber="1" containsInteger="1" minValue="900019" maxValue="900475"/>
    </cacheField>
    <cacheField name="성명" numFmtId="0">
      <sharedItems/>
    </cacheField>
    <cacheField name="재직상태구분" numFmtId="0">
      <sharedItems/>
    </cacheField>
    <cacheField name="순번" numFmtId="0">
      <sharedItems containsSemiMixedTypes="0" containsString="0" containsNumber="1" containsInteger="1" minValue="1" maxValue="4"/>
    </cacheField>
    <cacheField name="휴직구분" numFmtId="0">
      <sharedItems count="7">
        <s v="휴직복직"/>
        <s v="육아휴직"/>
        <s v="연수휴직"/>
        <s v="가족돌봄휴직"/>
        <s v="질병휴직(일반질병)"/>
        <s v="병역휴직"/>
        <s v="유학휴직"/>
      </sharedItems>
    </cacheField>
    <cacheField name="시작일" numFmtId="14">
      <sharedItems containsSemiMixedTypes="0" containsNonDate="0" containsDate="1" containsString="0" minDate="2022-08-10T00:00:00" maxDate="2027-03-27T00:00:00"/>
    </cacheField>
    <cacheField name="종료일" numFmtId="14">
      <sharedItems containsSemiMixedTypes="0" containsNonDate="0" containsDate="1" containsString="0" minDate="2026-10-04T00:00:00" maxDate="9999-12-31T00:00:00"/>
    </cacheField>
    <cacheField name="매칭키" numFmtId="0">
      <sharedItems/>
    </cacheField>
    <cacheField name="휴직기간일수" numFmtId="0">
      <sharedItems containsMixedTypes="1" containsNumber="1" containsInteger="1" minValue="-140" maxValue="797"/>
    </cacheField>
    <cacheField name="현재진행" numFmtId="0">
      <sharedItems count="2">
        <s v=""/>
        <s v="진행"/>
      </sharedItems>
    </cacheField>
    <cacheField name="복직예정월" numFmtId="0">
      <sharedItems/>
    </cacheField>
    <cacheField name="시작연도" numFmtId="0">
      <sharedItems containsMixedTypes="1" containsNumber="1" containsInteger="1" minValue="2025" maxValue="2027"/>
    </cacheField>
    <cacheField name="휴직기간구간" numFmtId="0">
      <sharedItems count="6">
        <s v=""/>
        <s v="1년 이하"/>
        <s v="2년 이하"/>
        <s v="2년 초과"/>
        <s v="6개월 이하"/>
        <s v="검토필요"/>
      </sharedItems>
    </cacheField>
    <cacheField name="검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72.445633217591" createdVersion="3" refreshedVersion="7" minRefreshableVersion="3" recordCount="480" xr:uid="{2C2F43ED-9CB3-451A-A263-DCBA578FE109}">
  <cacheSource type="worksheet">
    <worksheetSource name="tblRoster"/>
  </cacheSource>
  <cacheFields count="42">
    <cacheField name="교직원번호" numFmtId="0">
      <sharedItems containsSemiMixedTypes="0" containsString="0" containsNumber="1" containsInteger="1" minValue="900000" maxValue="900479"/>
    </cacheField>
    <cacheField name="성명" numFmtId="0">
      <sharedItems count="475">
        <s v="황예영"/>
        <s v="강마주"/>
        <s v="박서아"/>
        <s v="류유석"/>
        <s v="문지민"/>
        <s v="황재석"/>
        <s v="권우솔"/>
        <s v="배민온"/>
        <s v="백원빈"/>
        <s v="박유진"/>
        <s v="유해찬"/>
        <s v="임해우"/>
        <s v="박원수"/>
        <s v="유우영"/>
        <s v="정은진"/>
        <s v="심소연"/>
        <s v="홍은희"/>
        <s v="조태욱"/>
        <s v="조우빈"/>
        <s v="전유람"/>
        <s v="남유찬"/>
        <s v="정민민"/>
        <s v="안현욱"/>
        <s v="남유미"/>
        <s v="윤도민"/>
        <s v="양준윤"/>
        <s v="손해미"/>
        <s v="신라수"/>
        <s v="심원미"/>
        <s v="신상빈"/>
        <s v="백준욱"/>
        <s v="장서주"/>
        <s v="오예현"/>
        <s v="이원미"/>
        <s v="최우석"/>
        <s v="최나욱"/>
        <s v="백재진"/>
        <s v="노준찬"/>
        <s v="유원호"/>
        <s v="이은솔"/>
        <s v="정우별"/>
        <s v="허서진"/>
        <s v="황유빈"/>
        <s v="손상람"/>
        <s v="조상별"/>
        <s v="양지희"/>
        <s v="배소윤"/>
        <s v="백재빈"/>
        <s v="최원희"/>
        <s v="고준희"/>
        <s v="윤라우"/>
        <s v="윤가민"/>
        <s v="강하윤"/>
        <s v="유우별"/>
        <s v="허도민"/>
        <s v="김다결"/>
        <s v="서도정"/>
        <s v="문가민"/>
        <s v="김민온"/>
        <s v="정마우"/>
        <s v="황지주"/>
        <s v="오상정"/>
        <s v="임은미"/>
        <s v="문원찬"/>
        <s v="류상수"/>
        <s v="한지수"/>
        <s v="김수찬"/>
        <s v="오하람"/>
        <s v="심상민"/>
        <s v="안라별"/>
        <s v="장상경"/>
        <s v="남현희"/>
        <s v="홍건희"/>
        <s v="조현윤"/>
        <s v="송유빈"/>
        <s v="배건솔"/>
        <s v="문상영"/>
        <s v="고원미"/>
        <s v="홍수경"/>
        <s v="전태람"/>
        <s v="서다욱"/>
        <s v="심수호"/>
        <s v="신은연"/>
        <s v="강예정"/>
        <s v="허우현"/>
        <s v="노수연"/>
        <s v="임건주"/>
        <s v="김도찬"/>
        <s v="한다미"/>
        <s v="고상아"/>
        <s v="오민연"/>
        <s v="권현결"/>
        <s v="손예람"/>
        <s v="임재영"/>
        <s v="손나주"/>
        <s v="류윤진"/>
        <s v="유민석"/>
        <s v="윤은빈"/>
        <s v="류나온"/>
        <s v="최윤욱"/>
        <s v="오도민"/>
        <s v="배상경"/>
        <s v="최수찬"/>
        <s v="양준호"/>
        <s v="조현호"/>
        <s v="홍수아"/>
        <s v="황서결"/>
        <s v="한채수"/>
        <s v="허상주"/>
        <s v="강상민"/>
        <s v="홍우별"/>
        <s v="남태온"/>
        <s v="임민욱"/>
        <s v="최민빈"/>
        <s v="문예찬"/>
        <s v="장채민"/>
        <s v="윤준연"/>
        <s v="양유수"/>
        <s v="백민미"/>
        <s v="정윤민"/>
        <s v="배건경"/>
        <s v="남우미"/>
        <s v="유해경"/>
        <s v="송은빈"/>
        <s v="김윤윤"/>
        <s v="양우주"/>
        <s v="전우별"/>
        <s v="배수주"/>
        <s v="노유현"/>
        <s v="권예솔"/>
        <s v="류다윤"/>
        <s v="홍나진"/>
        <s v="배상욱"/>
        <s v="문지솔"/>
        <s v="이재민"/>
        <s v="강채우"/>
        <s v="고하결"/>
        <s v="임라현"/>
        <s v="배준욱"/>
        <s v="강예영"/>
        <s v="장도희"/>
        <s v="박하진"/>
        <s v="한나별"/>
        <s v="허현솔"/>
        <s v="유은우"/>
        <s v="심윤민"/>
        <s v="조서미"/>
        <s v="배현찬"/>
        <s v="노서연"/>
        <s v="정하람"/>
        <s v="문은수"/>
        <s v="황재미"/>
        <s v="백도미"/>
        <s v="홍하아"/>
        <s v="송준연"/>
        <s v="최재아"/>
        <s v="류서아"/>
        <s v="노가온"/>
        <s v="노유연"/>
        <s v="홍나영"/>
        <s v="윤라솔"/>
        <s v="백윤수"/>
        <s v="조수호"/>
        <s v="권서아"/>
        <s v="심우연"/>
        <s v="한다별"/>
        <s v="백상진"/>
        <s v="문마민"/>
        <s v="신태찬"/>
        <s v="권다석"/>
        <s v="조준람"/>
        <s v="신채수"/>
        <s v="허수주"/>
        <s v="김원호"/>
        <s v="오소솔"/>
        <s v="장마정"/>
        <s v="박윤희"/>
        <s v="배태희"/>
        <s v="권유주"/>
        <s v="남도우"/>
        <s v="배나현"/>
        <s v="장가미"/>
        <s v="신서연"/>
        <s v="정준솔"/>
        <s v="안채우"/>
        <s v="전수찬"/>
        <s v="임은솔"/>
        <s v="정하진"/>
        <s v="유하윤"/>
        <s v="김현영"/>
        <s v="한수민"/>
        <s v="장가현"/>
        <s v="심소빈"/>
        <s v="노도정"/>
        <s v="최상호"/>
        <s v="조태민"/>
        <s v="유수욱"/>
        <s v="한윤호"/>
        <s v="정민현"/>
        <s v="정원연"/>
        <s v="박도찬"/>
        <s v="홍건연"/>
        <s v="정나람"/>
        <s v="박상민"/>
        <s v="양원석"/>
        <s v="오마민"/>
        <s v="배라희"/>
        <s v="황하윤"/>
        <s v="정하빈"/>
        <s v="문상온"/>
        <s v="정지희"/>
        <s v="오재윤"/>
        <s v="전우정"/>
        <s v="문윤미"/>
        <s v="김마경"/>
        <s v="고수수"/>
        <s v="한은현"/>
        <s v="이태희"/>
        <s v="심은빈"/>
        <s v="심유영"/>
        <s v="권재윤"/>
        <s v="서원연"/>
        <s v="권원주"/>
        <s v="심상연"/>
        <s v="김가석"/>
        <s v="임준정"/>
        <s v="황상호"/>
        <s v="양마람"/>
        <s v="양가찬"/>
        <s v="양민석"/>
        <s v="류채온"/>
        <s v="서예수"/>
        <s v="심마솔"/>
        <s v="신채정"/>
        <s v="김가진"/>
        <s v="오태민"/>
        <s v="홍원연"/>
        <s v="임재미"/>
        <s v="정상별"/>
        <s v="심수빈"/>
        <s v="배상미"/>
        <s v="손라미"/>
        <s v="김서솔"/>
        <s v="허채석"/>
        <s v="강준온"/>
        <s v="노우결"/>
        <s v="최유진"/>
        <s v="최상윤"/>
        <s v="윤우경"/>
        <s v="권은수"/>
        <s v="윤수희"/>
        <s v="임하호"/>
        <s v="전채민"/>
        <s v="백해별"/>
        <s v="배재희"/>
        <s v="윤재찬"/>
        <s v="신해연"/>
        <s v="정유람"/>
        <s v="강재수"/>
        <s v="신건경"/>
        <s v="장우경"/>
        <s v="임하수"/>
        <s v="안마영"/>
        <s v="황유아"/>
        <s v="강서찬"/>
        <s v="강현아"/>
        <s v="송유우"/>
        <s v="신도영"/>
        <s v="전마현"/>
        <s v="전민온"/>
        <s v="유해솔"/>
        <s v="안나영"/>
        <s v="양윤석"/>
        <s v="이민희"/>
        <s v="양민호"/>
        <s v="황건진"/>
        <s v="장소빈"/>
        <s v="이하호"/>
        <s v="이채현"/>
        <s v="유채현"/>
        <s v="김우연"/>
        <s v="류도별"/>
        <s v="안하연"/>
        <s v="임지수"/>
        <s v="윤지아"/>
        <s v="서태영"/>
        <s v="문우수"/>
        <s v="한가욱"/>
        <s v="문예별"/>
        <s v="신수연"/>
        <s v="신수영"/>
        <s v="정재우"/>
        <s v="문소람"/>
        <s v="한가정"/>
        <s v="오태미"/>
        <s v="윤지빈"/>
        <s v="손다우"/>
        <s v="배태람"/>
        <s v="정마람"/>
        <s v="양서희"/>
        <s v="최건주"/>
        <s v="심소찬"/>
        <s v="류우영"/>
        <s v="심원진"/>
        <s v="홍은경"/>
        <s v="권예별"/>
        <s v="오원미"/>
        <s v="서준찬"/>
        <s v="홍상영"/>
        <s v="권지진"/>
        <s v="정라솔"/>
        <s v="권소우"/>
        <s v="정예우"/>
        <s v="류해찬"/>
        <s v="장해아"/>
        <s v="서마수"/>
        <s v="정유결"/>
        <s v="홍하우"/>
        <s v="정재람"/>
        <s v="홍태영"/>
        <s v="박라민"/>
        <s v="배하현"/>
        <s v="오상욱"/>
        <s v="홍우진"/>
        <s v="정채주"/>
        <s v="고건람"/>
        <s v="안해희"/>
        <s v="이민람"/>
        <s v="노가윤"/>
        <s v="이채수"/>
        <s v="임하별"/>
        <s v="노해빈"/>
        <s v="황유연"/>
        <s v="노해정"/>
        <s v="임서욱"/>
        <s v="오준정"/>
        <s v="손재주"/>
        <s v="노나진"/>
        <s v="권채아"/>
        <s v="손도솔"/>
        <s v="장소주"/>
        <s v="정태민"/>
        <s v="홍지온"/>
        <s v="윤건수"/>
        <s v="김윤영"/>
        <s v="임마솔"/>
        <s v="조하호"/>
        <s v="백유영"/>
        <s v="임채우"/>
        <s v="정태호"/>
        <s v="백재솔"/>
        <s v="황채온"/>
        <s v="유민욱"/>
        <s v="장우희"/>
        <s v="손원경"/>
        <s v="권지아"/>
        <s v="유준영"/>
        <s v="양라호"/>
        <s v="신가우"/>
        <s v="최가미"/>
        <s v="김원현"/>
        <s v="고수결"/>
        <s v="심마빈"/>
        <s v="최건수"/>
        <s v="고지경"/>
        <s v="정나별"/>
        <s v="신소우"/>
        <s v="홍라미"/>
        <s v="송채결"/>
        <s v="정건윤"/>
        <s v="조채연"/>
        <s v="신준욱"/>
        <s v="심원수"/>
        <s v="송해정"/>
        <s v="남마솔"/>
        <s v="전수별"/>
        <s v="양은석"/>
        <s v="백건현"/>
        <s v="신유민"/>
        <s v="남원결"/>
        <s v="배예현"/>
        <s v="김서영"/>
        <s v="박도온"/>
        <s v="정태빈"/>
        <s v="조태희"/>
        <s v="강도별"/>
        <s v="윤서욱"/>
        <s v="안수현"/>
        <s v="윤윤람"/>
        <s v="서서람"/>
        <s v="오서온"/>
        <s v="문하정"/>
        <s v="오채민"/>
        <s v="양라윤"/>
        <s v="유은수"/>
        <s v="황소미"/>
        <s v="유다우"/>
        <s v="양해진"/>
        <s v="문지현"/>
        <s v="심해아"/>
        <s v="남준욱"/>
        <s v="홍도정"/>
        <s v="임소주"/>
        <s v="서은미"/>
        <s v="유다경"/>
        <s v="권해민"/>
        <s v="강유미"/>
        <s v="김상연"/>
        <s v="김도민"/>
        <s v="강은온"/>
        <s v="허윤민"/>
        <s v="고은미"/>
        <s v="배재연"/>
        <s v="김지진"/>
        <s v="안나별"/>
        <s v="서도주"/>
        <s v="이태진"/>
        <s v="임라미"/>
        <s v="허은빈"/>
        <s v="김수현"/>
        <s v="송지솔"/>
        <s v="강건경"/>
        <s v="송마람"/>
        <s v="서재솔"/>
        <s v="허원온"/>
        <s v="허채솔"/>
        <s v="송상아"/>
        <s v="남현정"/>
        <s v="남우연"/>
        <s v="심상호"/>
        <s v="오준연"/>
        <s v="최상희"/>
        <s v="안서현"/>
        <s v="임유우"/>
        <s v="노나연"/>
        <s v="백민빈"/>
        <s v="정수별"/>
        <s v="권가빈"/>
        <s v="홍상아"/>
        <s v="남다경"/>
        <s v="백현온"/>
        <s v="문마욱"/>
        <s v="김원경"/>
        <s v="안지영"/>
        <s v="최서별"/>
        <s v="남가석"/>
        <s v="조라경"/>
        <s v="손예우"/>
        <s v="최태진"/>
        <s v="손태석"/>
        <s v="문우온"/>
        <s v="정라빈"/>
        <s v="박서연"/>
        <s v="문건욱"/>
        <s v="이수찬"/>
        <s v="신상윤"/>
        <s v="권준호"/>
        <s v="황가온"/>
        <s v="허소석"/>
        <s v="권예우"/>
        <s v="허라우"/>
        <s v="신태영"/>
        <s v="윤윤경"/>
        <s v="신마욱"/>
        <s v="임유별"/>
        <s v="전은현"/>
        <s v="배마미"/>
        <s v="심준온"/>
        <s v="류해윤"/>
        <s v="김도진"/>
        <s v="류지결"/>
        <s v="신민연"/>
        <s v="남소연"/>
        <s v="최준수"/>
        <s v="임태희"/>
      </sharedItems>
    </cacheField>
    <cacheField name="재직상태구분" numFmtId="0">
      <sharedItems count="2">
        <s v="재직"/>
        <s v="휴직"/>
      </sharedItems>
    </cacheField>
    <cacheField name="나이" numFmtId="0">
      <sharedItems containsSemiMixedTypes="0" containsString="0" containsNumber="1" containsInteger="1" minValue="20" maxValue="59"/>
    </cacheField>
    <cacheField name="성별" numFmtId="0">
      <sharedItems count="2">
        <s v="여자"/>
        <s v="남자"/>
      </sharedItems>
    </cacheField>
    <cacheField name="상위소속" numFmtId="0">
      <sharedItems count="16">
        <s v="공과대학"/>
        <s v="연구처"/>
        <s v="부속기관"/>
        <s v="학생처"/>
        <s v="도서관"/>
        <s v="사무국"/>
        <s v="경영대학"/>
        <s v="교무처"/>
        <s v="간호대학"/>
        <s v="인문대학"/>
        <s v="사범대학"/>
        <s v="입학처"/>
        <s v="기획처"/>
        <s v="대학원"/>
        <s v="자연과학대학"/>
        <s v="AX·정보화혁신본부"/>
      </sharedItems>
    </cacheField>
    <cacheField name="소속" numFmtId="0">
      <sharedItems count="15">
        <s v="학사과"/>
        <s v="연구진흥과"/>
        <s v="재무과"/>
        <s v="교육혁신실"/>
        <s v="산학협력단"/>
        <s v="학생과"/>
        <s v="혁신지원과"/>
        <s v="기획평가과"/>
        <s v="총무과"/>
        <s v="통합행정실"/>
        <s v="행정실"/>
        <s v="정보개발과"/>
        <s v="시설과"/>
        <s v="입학과"/>
        <s v="정보운영과"/>
      </sharedItems>
    </cacheField>
    <cacheField name="직급" numFmtId="0">
      <sharedItems/>
    </cacheField>
    <cacheField name="교직원상세구분" numFmtId="0">
      <sharedItems/>
    </cacheField>
    <cacheField name="공무원구분" numFmtId="0">
      <sharedItems/>
    </cacheField>
    <cacheField name="직위" numFmtId="0">
      <sharedItems containsBlank="1" count="12">
        <m/>
        <s v="간호대학 기획평가과장"/>
        <s v="경영대학 기획평가과장"/>
        <s v="대학원 학생과장"/>
        <s v="도서관 행정실장"/>
        <s v="자연과학대학 입학과장"/>
        <s v="사무국 재무과장"/>
        <s v="학생처 입학과장"/>
        <s v="사범대학 재무과장"/>
        <s v="도서관 총무과장"/>
        <s v="학생처 시설과장"/>
        <s v="공과대학 행정실장"/>
      </sharedItems>
    </cacheField>
    <cacheField name="정년보장여부" numFmtId="0">
      <sharedItems/>
    </cacheField>
    <cacheField name="외국인여부" numFmtId="0">
      <sharedItems/>
    </cacheField>
    <cacheField name="최초발령시작일자" numFmtId="14">
      <sharedItems containsSemiMixedTypes="0" containsNonDate="0" containsDate="1" containsString="0" minDate="1991-05-01T00:00:00" maxDate="2026-09-02T00:00:00"/>
    </cacheField>
    <cacheField name="본교발령시작일자" numFmtId="14">
      <sharedItems containsSemiMixedTypes="0" containsNonDate="0" containsDate="1" containsString="0" minDate="1991-05-01T00:00:00" maxDate="2026-12-02T00:00:00"/>
    </cacheField>
    <cacheField name="직급발령시작일자" numFmtId="14">
      <sharedItems containsSemiMixedTypes="0" containsNonDate="0" containsDate="1" containsString="0" minDate="2012-01-01T00:00:00" maxDate="2026-12-02T00:00:00"/>
    </cacheField>
    <cacheField name="소속발령시작일자" numFmtId="14">
      <sharedItems containsSemiMixedTypes="0" containsNonDate="0" containsDate="1" containsString="0" minDate="2012-01-01T00:00:00" maxDate="2026-12-02T00:00:00"/>
    </cacheField>
    <cacheField name="인사시스템근속년수" numFmtId="0">
      <sharedItems containsString="0" containsBlank="1" containsNumber="1" containsInteger="1" minValue="1" maxValue="37"/>
    </cacheField>
    <cacheField name="휴직정보(원문)" numFmtId="0">
      <sharedItems containsBlank="1"/>
    </cacheField>
    <cacheField name="급수" numFmtId="0">
      <sharedItems/>
    </cacheField>
    <cacheField name="집계급수" numFmtId="0">
      <sharedItems count="12">
        <s v="대학회계계약직"/>
        <s v="7급"/>
        <s v="전문경력관"/>
        <s v="6급"/>
        <s v="9급"/>
        <s v="4급"/>
        <s v="사회복무요원"/>
        <s v="5급"/>
        <s v="인턴"/>
        <s v="8급"/>
        <s v="대학회계직"/>
        <s v="연구사"/>
      </sharedItems>
    </cacheField>
    <cacheField name="급수순서" numFmtId="0">
      <sharedItems containsSemiMixedTypes="0" containsString="0" containsNumber="1" containsInteger="1" minValue="1" maxValue="13"/>
    </cacheField>
    <cacheField name="직군" numFmtId="0">
      <sharedItems count="4">
        <s v="대학회계계약직"/>
        <s v="공무원"/>
        <s v="기타(복무·인턴)"/>
        <s v="대학회계직"/>
      </sharedItems>
    </cacheField>
    <cacheField name="집계대상" numFmtId="0">
      <sharedItems count="2">
        <s v="포함"/>
        <s v="제외"/>
      </sharedItems>
    </cacheField>
    <cacheField name="인원플래그" numFmtId="0">
      <sharedItems containsSemiMixedTypes="0" containsString="0" containsNumber="1" containsInteger="1" minValue="1" maxValue="1"/>
    </cacheField>
    <cacheField name="휴직플래그" numFmtId="0">
      <sharedItems containsSemiMixedTypes="0" containsString="0" containsNumber="1" containsInteger="1" minValue="0" maxValue="1"/>
    </cacheField>
    <cacheField name="연령대" numFmtId="0">
      <sharedItems count="4">
        <s v="40대"/>
        <s v="30대"/>
        <s v="50대"/>
        <s v="20대 이하"/>
      </sharedItems>
    </cacheField>
    <cacheField name="본교발령경과년수" numFmtId="0">
      <sharedItems containsMixedTypes="1" containsNumber="1" containsInteger="1" minValue="0" maxValue="35"/>
    </cacheField>
    <cacheField name="최초발령경과년수" numFmtId="0">
      <sharedItems containsSemiMixedTypes="0" containsString="0" containsNumber="1" containsInteger="1" minValue="0" maxValue="35"/>
    </cacheField>
    <cacheField name="근속구간" numFmtId="0">
      <sharedItems count="6">
        <s v="20~30년"/>
        <s v="5~10년"/>
        <s v="10~20년"/>
        <s v="30년 이상"/>
        <s v="미상"/>
        <s v="5년 미만"/>
      </sharedItems>
    </cacheField>
    <cacheField name="현직급체류년수" numFmtId="0">
      <sharedItems containsSemiMixedTypes="0" containsString="0" containsNumber="1" minValue="0" maxValue="14.7"/>
    </cacheField>
    <cacheField name="적체구분" numFmtId="0">
      <sharedItems count="3">
        <s v="5년 미만"/>
        <s v="5~10년"/>
        <s v="10년 이상"/>
      </sharedItems>
    </cacheField>
    <cacheField name="정년도래연도" numFmtId="0">
      <sharedItems containsMixedTypes="1" containsNumber="1" containsInteger="1" minValue="2027" maxValue="2062" count="37">
        <s v=""/>
        <n v="2041"/>
        <n v="2033"/>
        <n v="2047"/>
        <n v="2035"/>
        <n v="2031"/>
        <n v="2040"/>
        <n v="2042"/>
        <n v="2043"/>
        <n v="2029"/>
        <n v="2060"/>
        <n v="2037"/>
        <n v="2030"/>
        <n v="2050"/>
        <n v="2036"/>
        <n v="2062"/>
        <n v="2045"/>
        <n v="2044"/>
        <n v="2058"/>
        <n v="2027"/>
        <n v="2059"/>
        <n v="2049"/>
        <n v="2054"/>
        <n v="2038"/>
        <n v="2034"/>
        <n v="2039"/>
        <n v="2061"/>
        <n v="2056"/>
        <n v="2032"/>
        <n v="2048"/>
        <n v="2053"/>
        <n v="2055"/>
        <n v="2046"/>
        <n v="2051"/>
        <n v="2028"/>
        <n v="2057"/>
        <n v="2052"/>
      </sharedItems>
    </cacheField>
    <cacheField name="보직자여부" numFmtId="0">
      <sharedItems count="2">
        <s v="일반"/>
        <s v="보직자"/>
      </sharedItems>
    </cacheField>
    <cacheField name="현재휴직시작일" numFmtId="14">
      <sharedItems containsDate="1" containsMixedTypes="1" minDate="2025-10-12T00:00:00" maxDate="2026-08-22T00:00:00"/>
    </cacheField>
    <cacheField name="휴직사유" numFmtId="0">
      <sharedItems count="7">
        <s v=""/>
        <s v="육아휴직"/>
        <s v="연수휴직"/>
        <s v="가족돌봄휴직"/>
        <s v="질병휴직(일반질병)"/>
        <s v="병역휴직"/>
        <s v="유학휴직"/>
      </sharedItems>
    </cacheField>
    <cacheField name="복직예정일" numFmtId="14">
      <sharedItems containsDate="1" containsMixedTypes="1" minDate="2026-10-04T00:00:00" maxDate="2028-05-19T00:00:00" count="32">
        <s v=""/>
        <d v="2027-05-22T00:00:00"/>
        <d v="2027-05-17T00:00:00"/>
        <d v="2027-08-19T00:00:00"/>
        <d v="2027-04-26T00:00:00"/>
        <d v="2026-11-29T00:00:00"/>
        <d v="2027-06-29T00:00:00"/>
        <d v="2027-01-06T00:00:00"/>
        <d v="2026-10-24T00:00:00"/>
        <d v="2027-12-31T00:00:00"/>
        <d v="2027-04-15T00:00:00"/>
        <d v="2027-02-21T00:00:00"/>
        <d v="2027-11-22T00:00:00"/>
        <d v="2027-10-17T00:00:00"/>
        <d v="2027-06-05T00:00:00"/>
        <d v="2028-02-09T00:00:00"/>
        <d v="2026-11-02T00:00:00"/>
        <d v="2028-05-18T00:00:00"/>
        <d v="2027-08-24T00:00:00"/>
        <d v="2027-01-22T00:00:00"/>
        <d v="2027-04-12T00:00:00"/>
        <d v="2027-07-23T00:00:00"/>
        <d v="2027-11-04T00:00:00"/>
        <d v="2026-12-04T00:00:00"/>
        <d v="2027-03-13T00:00:00"/>
        <d v="2026-12-13T00:00:00"/>
        <d v="2027-05-03T00:00:00"/>
        <d v="2027-01-20T00:00:00"/>
        <d v="2026-10-04T00:00:00"/>
        <d v="2026-10-20T00:00:00"/>
        <d v="2027-03-28T00:00:00"/>
        <d v="2027-10-30T00:00:00"/>
      </sharedItems>
    </cacheField>
    <cacheField name="복직예정월" numFmtId="0">
      <sharedItems count="17">
        <s v=""/>
        <s v="2027-05"/>
        <s v="2027-08"/>
        <s v="2027-04"/>
        <s v="2026-11"/>
        <s v="2027-06"/>
        <s v="2027-01"/>
        <s v="2026-10"/>
        <s v="2027-12"/>
        <s v="2027-02"/>
        <s v="2027-11"/>
        <s v="2027-10"/>
        <s v="2028-02"/>
        <s v="2028-05"/>
        <s v="2027-07"/>
        <s v="2026-12"/>
        <s v="2027-03"/>
      </sharedItems>
    </cacheField>
    <cacheField name="휴직잔여일수" numFmtId="0">
      <sharedItems containsMixedTypes="1" containsNumber="1" containsInteger="1" minValue="27" maxValue="619"/>
    </cacheField>
    <cacheField name="복직임박" numFmtId="0">
      <sharedItems count="3">
        <s v=""/>
        <s v="6개월이후"/>
        <s v="6개월내"/>
      </sharedItems>
    </cacheField>
    <cacheField name="데이터검토" numFmtId="0">
      <sharedItems/>
    </cacheField>
    <cacheField name="휴직률" numFmtId="0" formula="휴직플래그/인원플래그" databaseField="0"/>
  </cacheFields>
  <extLst>
    <ext xmlns:x14="http://schemas.microsoft.com/office/spreadsheetml/2009/9/main" uri="{725AE2AE-9491-48be-B2B4-4EB974FC3084}">
      <x14:pivotCacheDefinition pivotCacheId="239039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6"/>
    <n v="0"/>
    <s v="가상 집계표"/>
    <n v="6"/>
    <n v="0"/>
  </r>
  <r>
    <x v="0"/>
    <x v="1"/>
    <n v="22"/>
    <n v="1"/>
    <s v="가상 집계표"/>
    <n v="23"/>
    <n v="4.3478260869565216E-2"/>
  </r>
  <r>
    <x v="0"/>
    <x v="2"/>
    <n v="104"/>
    <n v="7"/>
    <s v="가상 집계표"/>
    <n v="111"/>
    <n v="6.3063063063063057E-2"/>
  </r>
  <r>
    <x v="0"/>
    <x v="3"/>
    <n v="72"/>
    <n v="9"/>
    <s v="가상 집계표"/>
    <n v="81"/>
    <n v="0.1111111111111111"/>
  </r>
  <r>
    <x v="0"/>
    <x v="4"/>
    <n v="44"/>
    <n v="3"/>
    <s v="가상 집계표"/>
    <n v="47"/>
    <n v="6.3829787234042548E-2"/>
  </r>
  <r>
    <x v="0"/>
    <x v="5"/>
    <n v="30"/>
    <n v="4"/>
    <s v="가상 집계표"/>
    <n v="34"/>
    <n v="0.11764705882352941"/>
  </r>
  <r>
    <x v="0"/>
    <x v="6"/>
    <n v="3"/>
    <n v="0"/>
    <s v="가상 집계표"/>
    <n v="3"/>
    <n v="0"/>
  </r>
  <r>
    <x v="0"/>
    <x v="7"/>
    <n v="3"/>
    <n v="0"/>
    <s v="가상 집계표"/>
    <n v="3"/>
    <n v="0"/>
  </r>
  <r>
    <x v="0"/>
    <x v="8"/>
    <n v="36"/>
    <n v="2"/>
    <s v="가상 집계표"/>
    <n v="38"/>
    <n v="5.2631578947368418E-2"/>
  </r>
  <r>
    <x v="0"/>
    <x v="9"/>
    <n v="96"/>
    <n v="6"/>
    <s v="가상 집계표"/>
    <n v="102"/>
    <n v="5.8823529411764705E-2"/>
  </r>
  <r>
    <x v="1"/>
    <x v="0"/>
    <n v="7"/>
    <n v="0"/>
    <s v="가상 집계표"/>
    <n v="7"/>
    <n v="0"/>
  </r>
  <r>
    <x v="1"/>
    <x v="1"/>
    <n v="24"/>
    <n v="0"/>
    <s v="가상 집계표"/>
    <n v="24"/>
    <n v="0"/>
  </r>
  <r>
    <x v="1"/>
    <x v="2"/>
    <n v="110"/>
    <n v="8"/>
    <s v="가상 집계표"/>
    <n v="118"/>
    <n v="6.7796610169491525E-2"/>
  </r>
  <r>
    <x v="1"/>
    <x v="3"/>
    <n v="75"/>
    <n v="11"/>
    <s v="가상 집계표"/>
    <n v="86"/>
    <n v="0.12790697674418605"/>
  </r>
  <r>
    <x v="1"/>
    <x v="4"/>
    <n v="46"/>
    <n v="4"/>
    <s v="가상 집계표"/>
    <n v="50"/>
    <n v="0.08"/>
  </r>
  <r>
    <x v="1"/>
    <x v="5"/>
    <n v="28"/>
    <n v="3"/>
    <s v="가상 집계표"/>
    <n v="31"/>
    <n v="9.6774193548387094E-2"/>
  </r>
  <r>
    <x v="1"/>
    <x v="6"/>
    <n v="2"/>
    <n v="1"/>
    <s v="가상 집계표"/>
    <n v="3"/>
    <n v="0.33333333333333331"/>
  </r>
  <r>
    <x v="1"/>
    <x v="7"/>
    <n v="3"/>
    <n v="0"/>
    <s v="가상 집계표"/>
    <n v="3"/>
    <n v="0"/>
  </r>
  <r>
    <x v="1"/>
    <x v="8"/>
    <n v="34"/>
    <n v="1"/>
    <s v="가상 집계표"/>
    <n v="35"/>
    <n v="2.8571428571428571E-2"/>
  </r>
  <r>
    <x v="1"/>
    <x v="9"/>
    <n v="102"/>
    <n v="7"/>
    <s v="가상 집계표"/>
    <n v="109"/>
    <n v="6.4220183486238536E-2"/>
  </r>
  <r>
    <x v="2"/>
    <x v="0"/>
    <n v="10"/>
    <n v="1"/>
    <s v="명부(자동계산)"/>
    <n v="11"/>
    <n v="9.0909090909090912E-2"/>
  </r>
  <r>
    <x v="2"/>
    <x v="1"/>
    <n v="23"/>
    <n v="2"/>
    <s v="명부(자동계산)"/>
    <n v="25"/>
    <n v="0.08"/>
  </r>
  <r>
    <x v="2"/>
    <x v="2"/>
    <n v="104"/>
    <n v="6"/>
    <s v="명부(자동계산)"/>
    <n v="110"/>
    <n v="5.4545454545454543E-2"/>
  </r>
  <r>
    <x v="2"/>
    <x v="3"/>
    <n v="64"/>
    <n v="6"/>
    <s v="명부(자동계산)"/>
    <n v="70"/>
    <n v="8.5714285714285715E-2"/>
  </r>
  <r>
    <x v="2"/>
    <x v="4"/>
    <n v="46"/>
    <n v="4"/>
    <s v="명부(자동계산)"/>
    <n v="50"/>
    <n v="0.08"/>
  </r>
  <r>
    <x v="2"/>
    <x v="5"/>
    <n v="26"/>
    <n v="2"/>
    <s v="명부(자동계산)"/>
    <n v="28"/>
    <n v="7.1428571428571425E-2"/>
  </r>
  <r>
    <x v="2"/>
    <x v="6"/>
    <n v="1"/>
    <n v="0"/>
    <s v="명부(자동계산)"/>
    <n v="1"/>
    <n v="0"/>
  </r>
  <r>
    <x v="2"/>
    <x v="7"/>
    <n v="2"/>
    <n v="0"/>
    <s v="명부(자동계산)"/>
    <n v="2"/>
    <n v="0"/>
  </r>
  <r>
    <x v="2"/>
    <x v="8"/>
    <n v="32"/>
    <n v="3"/>
    <s v="명부(자동계산)"/>
    <n v="35"/>
    <n v="8.5714285714285715E-2"/>
  </r>
  <r>
    <x v="2"/>
    <x v="9"/>
    <n v="108"/>
    <n v="10"/>
    <s v="명부(자동계산)"/>
    <n v="118"/>
    <n v="8.4745762711864403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900019"/>
    <s v="전유람"/>
    <s v="재직"/>
    <n v="1"/>
    <x v="0"/>
    <d v="2024-03-17T00:00:00"/>
    <d v="9999-12-31T00:00:00"/>
    <s v=""/>
    <s v=""/>
    <x v="0"/>
    <s v=""/>
    <s v=""/>
    <x v="0"/>
    <s v=""/>
  </r>
  <r>
    <n v="900022"/>
    <s v="안현욱"/>
    <s v="재직"/>
    <n v="1"/>
    <x v="0"/>
    <d v="2024-03-13T00:00:00"/>
    <d v="9999-12-31T00:00:00"/>
    <s v=""/>
    <s v=""/>
    <x v="0"/>
    <s v=""/>
    <s v=""/>
    <x v="0"/>
    <s v=""/>
  </r>
  <r>
    <n v="900026"/>
    <s v="손해미"/>
    <s v="재직"/>
    <n v="1"/>
    <x v="0"/>
    <d v="2024-03-14T00:00:00"/>
    <d v="9999-12-31T00:00:00"/>
    <s v=""/>
    <s v=""/>
    <x v="0"/>
    <s v=""/>
    <s v=""/>
    <x v="0"/>
    <s v=""/>
  </r>
  <r>
    <n v="900031"/>
    <s v="장서주"/>
    <s v="재직"/>
    <n v="1"/>
    <x v="0"/>
    <d v="2024-02-10T00:00:00"/>
    <d v="9999-12-31T00:00:00"/>
    <s v=""/>
    <s v=""/>
    <x v="0"/>
    <s v=""/>
    <s v=""/>
    <x v="0"/>
    <s v=""/>
  </r>
  <r>
    <n v="900037"/>
    <s v="노준찬"/>
    <s v="재직"/>
    <n v="1"/>
    <x v="0"/>
    <d v="2025-01-29T00:00:00"/>
    <d v="9999-12-31T00:00:00"/>
    <s v=""/>
    <s v=""/>
    <x v="0"/>
    <s v=""/>
    <s v=""/>
    <x v="0"/>
    <s v=""/>
  </r>
  <r>
    <n v="900049"/>
    <s v="고준희"/>
    <s v="재직"/>
    <n v="1"/>
    <x v="0"/>
    <d v="2023-05-11T00:00:00"/>
    <d v="9999-12-31T00:00:00"/>
    <s v=""/>
    <s v=""/>
    <x v="0"/>
    <s v=""/>
    <s v=""/>
    <x v="0"/>
    <s v=""/>
  </r>
  <r>
    <n v="900052"/>
    <s v="강하윤"/>
    <s v="휴직"/>
    <n v="1"/>
    <x v="0"/>
    <d v="2024-04-19T00:00:00"/>
    <d v="9999-12-31T00:00:00"/>
    <s v=""/>
    <s v=""/>
    <x v="0"/>
    <s v=""/>
    <s v=""/>
    <x v="0"/>
    <s v=""/>
  </r>
  <r>
    <n v="900052"/>
    <s v="강하윤"/>
    <s v="휴직"/>
    <n v="2"/>
    <x v="0"/>
    <d v="2025-06-14T00:00:00"/>
    <d v="9999-12-31T00:00:00"/>
    <s v=""/>
    <s v=""/>
    <x v="0"/>
    <s v=""/>
    <s v=""/>
    <x v="0"/>
    <s v=""/>
  </r>
  <r>
    <n v="900052"/>
    <s v="강하윤"/>
    <s v="휴직"/>
    <n v="3"/>
    <x v="1"/>
    <d v="2026-05-22T00:00:00"/>
    <d v="2027-05-22T00:00:00"/>
    <s v="900052|46164"/>
    <n v="365"/>
    <x v="1"/>
    <s v="2027-05"/>
    <n v="2026"/>
    <x v="1"/>
    <s v=""/>
  </r>
  <r>
    <n v="900054"/>
    <s v="허도민"/>
    <s v="휴직"/>
    <n v="1"/>
    <x v="0"/>
    <d v="2023-06-09T00:00:00"/>
    <d v="9999-12-31T00:00:00"/>
    <s v=""/>
    <s v=""/>
    <x v="0"/>
    <s v=""/>
    <s v=""/>
    <x v="0"/>
    <s v=""/>
  </r>
  <r>
    <n v="900054"/>
    <s v="허도민"/>
    <s v="휴직"/>
    <n v="2"/>
    <x v="1"/>
    <d v="2026-05-17T00:00:00"/>
    <d v="2027-05-17T00:00:00"/>
    <s v="900054|46159"/>
    <n v="365"/>
    <x v="1"/>
    <s v="2027-05"/>
    <n v="2026"/>
    <x v="1"/>
    <s v=""/>
  </r>
  <r>
    <n v="900056"/>
    <s v="서도정"/>
    <s v="재직"/>
    <n v="1"/>
    <x v="0"/>
    <d v="2024-08-24T00:00:00"/>
    <d v="9999-12-31T00:00:00"/>
    <s v=""/>
    <s v=""/>
    <x v="0"/>
    <s v=""/>
    <s v=""/>
    <x v="0"/>
    <s v=""/>
  </r>
  <r>
    <n v="900057"/>
    <s v="문가민"/>
    <s v="휴직"/>
    <n v="1"/>
    <x v="0"/>
    <d v="2024-05-12T00:00:00"/>
    <d v="9999-12-31T00:00:00"/>
    <s v=""/>
    <s v=""/>
    <x v="0"/>
    <s v=""/>
    <s v=""/>
    <x v="0"/>
    <s v=""/>
  </r>
  <r>
    <n v="900057"/>
    <s v="문가민"/>
    <s v="휴직"/>
    <n v="2"/>
    <x v="2"/>
    <d v="2026-08-19T00:00:00"/>
    <d v="2027-08-19T00:00:00"/>
    <s v="900057|46253"/>
    <n v="365"/>
    <x v="1"/>
    <s v="2027-08"/>
    <n v="2026"/>
    <x v="1"/>
    <s v=""/>
  </r>
  <r>
    <n v="900066"/>
    <s v="김수찬"/>
    <s v="재직"/>
    <n v="1"/>
    <x v="0"/>
    <d v="2025-03-26T00:00:00"/>
    <d v="9999-12-31T00:00:00"/>
    <s v=""/>
    <s v=""/>
    <x v="0"/>
    <s v=""/>
    <s v=""/>
    <x v="0"/>
    <s v=""/>
  </r>
  <r>
    <n v="900069"/>
    <s v="안라별"/>
    <s v="휴직"/>
    <n v="1"/>
    <x v="1"/>
    <d v="2026-04-26T00:00:00"/>
    <d v="2027-04-26T00:00:00"/>
    <s v="900069|46138"/>
    <n v="365"/>
    <x v="1"/>
    <s v="2027-04"/>
    <n v="2026"/>
    <x v="1"/>
    <s v=""/>
  </r>
  <r>
    <n v="900075"/>
    <s v="배건솔"/>
    <s v="재직"/>
    <n v="1"/>
    <x v="0"/>
    <d v="2023-09-30T00:00:00"/>
    <d v="9999-12-31T00:00:00"/>
    <s v=""/>
    <s v=""/>
    <x v="0"/>
    <s v=""/>
    <s v=""/>
    <x v="0"/>
    <s v=""/>
  </r>
  <r>
    <n v="900076"/>
    <s v="문상영"/>
    <s v="휴직"/>
    <n v="1"/>
    <x v="1"/>
    <d v="2025-11-29T00:00:00"/>
    <d v="2026-11-29T00:00:00"/>
    <s v="900076|45990"/>
    <n v="365"/>
    <x v="1"/>
    <s v="2026-11"/>
    <n v="2025"/>
    <x v="1"/>
    <s v=""/>
  </r>
  <r>
    <n v="900077"/>
    <s v="고원미"/>
    <s v="휴직"/>
    <n v="1"/>
    <x v="0"/>
    <d v="2024-02-14T00:00:00"/>
    <d v="9999-12-31T00:00:00"/>
    <s v=""/>
    <s v=""/>
    <x v="0"/>
    <s v=""/>
    <s v=""/>
    <x v="0"/>
    <s v=""/>
  </r>
  <r>
    <n v="900077"/>
    <s v="고원미"/>
    <s v="휴직"/>
    <n v="2"/>
    <x v="0"/>
    <d v="2023-04-15T00:00:00"/>
    <d v="9999-12-31T00:00:00"/>
    <s v=""/>
    <s v=""/>
    <x v="0"/>
    <s v=""/>
    <s v=""/>
    <x v="0"/>
    <s v=""/>
  </r>
  <r>
    <n v="900077"/>
    <s v="고원미"/>
    <s v="휴직"/>
    <n v="3"/>
    <x v="1"/>
    <d v="2025-12-29T00:00:00"/>
    <d v="2027-06-29T00:00:00"/>
    <s v="900077|46020"/>
    <n v="547"/>
    <x v="1"/>
    <s v="2027-06"/>
    <n v="2025"/>
    <x v="2"/>
    <s v=""/>
  </r>
  <r>
    <n v="900079"/>
    <s v="전태람"/>
    <s v="재직"/>
    <n v="1"/>
    <x v="0"/>
    <d v="2022-11-26T00:00:00"/>
    <d v="9999-12-31T00:00:00"/>
    <s v=""/>
    <s v=""/>
    <x v="0"/>
    <s v=""/>
    <s v=""/>
    <x v="0"/>
    <s v=""/>
  </r>
  <r>
    <n v="900089"/>
    <s v="고상아"/>
    <s v="재직"/>
    <n v="1"/>
    <x v="0"/>
    <d v="2022-12-22T00:00:00"/>
    <d v="9999-12-31T00:00:00"/>
    <s v=""/>
    <s v=""/>
    <x v="0"/>
    <s v=""/>
    <s v=""/>
    <x v="0"/>
    <s v=""/>
  </r>
  <r>
    <n v="900111"/>
    <s v="남태온"/>
    <s v="재직"/>
    <n v="1"/>
    <x v="0"/>
    <d v="2025-07-03T00:00:00"/>
    <d v="9999-12-31T00:00:00"/>
    <s v=""/>
    <s v=""/>
    <x v="0"/>
    <s v=""/>
    <s v=""/>
    <x v="0"/>
    <s v=""/>
  </r>
  <r>
    <n v="900121"/>
    <s v="남우미"/>
    <s v="휴직"/>
    <n v="1"/>
    <x v="0"/>
    <d v="2023-12-27T00:00:00"/>
    <d v="9999-12-31T00:00:00"/>
    <s v=""/>
    <s v=""/>
    <x v="0"/>
    <s v=""/>
    <s v=""/>
    <x v="0"/>
    <s v=""/>
  </r>
  <r>
    <n v="900121"/>
    <s v="남우미"/>
    <s v="휴직"/>
    <n v="2"/>
    <x v="0"/>
    <d v="2023-07-17T00:00:00"/>
    <d v="9999-12-31T00:00:00"/>
    <s v=""/>
    <s v=""/>
    <x v="0"/>
    <s v=""/>
    <s v=""/>
    <x v="0"/>
    <s v=""/>
  </r>
  <r>
    <n v="900121"/>
    <s v="남우미"/>
    <s v="휴직"/>
    <n v="3"/>
    <x v="0"/>
    <d v="2022-12-28T00:00:00"/>
    <d v="9999-12-31T00:00:00"/>
    <s v=""/>
    <s v=""/>
    <x v="0"/>
    <s v=""/>
    <s v=""/>
    <x v="0"/>
    <s v=""/>
  </r>
  <r>
    <n v="900121"/>
    <s v="남우미"/>
    <s v="휴직"/>
    <n v="4"/>
    <x v="1"/>
    <d v="2026-01-06T00:00:00"/>
    <d v="2027-01-06T00:00:00"/>
    <s v="900121|46028"/>
    <n v="365"/>
    <x v="1"/>
    <s v="2027-01"/>
    <n v="2026"/>
    <x v="1"/>
    <s v=""/>
  </r>
  <r>
    <n v="900132"/>
    <s v="배상욱"/>
    <s v="휴직"/>
    <n v="1"/>
    <x v="0"/>
    <d v="2023-08-31T00:00:00"/>
    <d v="9999-12-31T00:00:00"/>
    <s v=""/>
    <s v=""/>
    <x v="0"/>
    <s v=""/>
    <s v=""/>
    <x v="0"/>
    <s v=""/>
  </r>
  <r>
    <n v="900132"/>
    <s v="배상욱"/>
    <s v="휴직"/>
    <n v="2"/>
    <x v="0"/>
    <d v="2023-08-16T00:00:00"/>
    <d v="9999-12-31T00:00:00"/>
    <s v=""/>
    <s v=""/>
    <x v="0"/>
    <s v=""/>
    <s v=""/>
    <x v="0"/>
    <s v=""/>
  </r>
  <r>
    <n v="900132"/>
    <s v="배상욱"/>
    <s v="휴직"/>
    <n v="3"/>
    <x v="1"/>
    <d v="2025-10-24T00:00:00"/>
    <d v="2026-10-24T00:00:00"/>
    <s v="900132|45954"/>
    <n v="365"/>
    <x v="1"/>
    <s v="2026-10"/>
    <n v="2025"/>
    <x v="1"/>
    <s v=""/>
  </r>
  <r>
    <n v="900133"/>
    <s v="문지솔"/>
    <s v="휴직"/>
    <n v="1"/>
    <x v="0"/>
    <d v="2024-04-27T00:00:00"/>
    <d v="9999-12-31T00:00:00"/>
    <s v=""/>
    <s v=""/>
    <x v="0"/>
    <s v=""/>
    <s v=""/>
    <x v="0"/>
    <s v=""/>
  </r>
  <r>
    <n v="900133"/>
    <s v="문지솔"/>
    <s v="휴직"/>
    <n v="2"/>
    <x v="1"/>
    <d v="2026-01-06T00:00:00"/>
    <d v="2027-01-06T00:00:00"/>
    <s v="900133|46028"/>
    <n v="365"/>
    <x v="1"/>
    <s v="2027-01"/>
    <n v="2026"/>
    <x v="1"/>
    <s v=""/>
  </r>
  <r>
    <n v="900137"/>
    <s v="고하결"/>
    <s v="휴직"/>
    <n v="1"/>
    <x v="1"/>
    <d v="2025-10-25T00:00:00"/>
    <d v="2027-12-31T00:00:00"/>
    <s v="900137|45955"/>
    <n v="797"/>
    <x v="1"/>
    <s v="2027-12"/>
    <n v="2025"/>
    <x v="3"/>
    <s v=""/>
  </r>
  <r>
    <n v="900139"/>
    <s v="배준욱"/>
    <s v="재직"/>
    <n v="1"/>
    <x v="0"/>
    <d v="2023-03-08T00:00:00"/>
    <d v="9999-12-31T00:00:00"/>
    <s v=""/>
    <s v=""/>
    <x v="0"/>
    <s v=""/>
    <s v=""/>
    <x v="0"/>
    <s v=""/>
  </r>
  <r>
    <n v="900144"/>
    <s v="허현솔"/>
    <s v="휴직"/>
    <n v="1"/>
    <x v="1"/>
    <d v="2026-04-15T00:00:00"/>
    <d v="2027-04-15T00:00:00"/>
    <s v="900144|46127"/>
    <n v="365"/>
    <x v="1"/>
    <s v="2027-04"/>
    <n v="2026"/>
    <x v="1"/>
    <s v=""/>
  </r>
  <r>
    <n v="900145"/>
    <s v="유은우"/>
    <s v="휴직"/>
    <n v="1"/>
    <x v="0"/>
    <d v="2025-10-08T00:00:00"/>
    <d v="9999-12-31T00:00:00"/>
    <s v=""/>
    <s v=""/>
    <x v="0"/>
    <s v=""/>
    <s v=""/>
    <x v="0"/>
    <s v=""/>
  </r>
  <r>
    <n v="900145"/>
    <s v="유은우"/>
    <s v="휴직"/>
    <n v="2"/>
    <x v="0"/>
    <d v="2023-03-08T00:00:00"/>
    <d v="9999-12-31T00:00:00"/>
    <s v=""/>
    <s v=""/>
    <x v="0"/>
    <s v=""/>
    <s v=""/>
    <x v="0"/>
    <s v=""/>
  </r>
  <r>
    <n v="900145"/>
    <s v="유은우"/>
    <s v="휴직"/>
    <n v="3"/>
    <x v="3"/>
    <d v="2026-08-21T00:00:00"/>
    <d v="2027-02-21T00:00:00"/>
    <s v="900145|46255"/>
    <n v="184"/>
    <x v="1"/>
    <s v="2027-02"/>
    <n v="2026"/>
    <x v="1"/>
    <s v=""/>
  </r>
  <r>
    <n v="900147"/>
    <s v="조서미"/>
    <s v="재직"/>
    <n v="1"/>
    <x v="0"/>
    <d v="2025-07-13T00:00:00"/>
    <d v="9999-12-31T00:00:00"/>
    <s v=""/>
    <s v=""/>
    <x v="0"/>
    <s v=""/>
    <s v=""/>
    <x v="0"/>
    <s v=""/>
  </r>
  <r>
    <n v="900154"/>
    <s v="홍하아"/>
    <s v="휴직"/>
    <n v="1"/>
    <x v="0"/>
    <d v="2023-06-26T00:00:00"/>
    <d v="9999-12-31T00:00:00"/>
    <s v=""/>
    <s v=""/>
    <x v="0"/>
    <s v=""/>
    <s v=""/>
    <x v="0"/>
    <s v=""/>
  </r>
  <r>
    <n v="900154"/>
    <s v="홍하아"/>
    <s v="휴직"/>
    <n v="2"/>
    <x v="0"/>
    <d v="2025-02-25T00:00:00"/>
    <d v="9999-12-31T00:00:00"/>
    <s v=""/>
    <s v=""/>
    <x v="0"/>
    <s v=""/>
    <s v=""/>
    <x v="0"/>
    <s v=""/>
  </r>
  <r>
    <n v="900154"/>
    <s v="홍하아"/>
    <s v="휴직"/>
    <n v="3"/>
    <x v="0"/>
    <d v="2025-03-26T00:00:00"/>
    <d v="9999-12-31T00:00:00"/>
    <s v=""/>
    <s v=""/>
    <x v="0"/>
    <s v=""/>
    <s v=""/>
    <x v="0"/>
    <s v=""/>
  </r>
  <r>
    <n v="900154"/>
    <s v="홍하아"/>
    <s v="휴직"/>
    <n v="4"/>
    <x v="1"/>
    <d v="2026-05-22T00:00:00"/>
    <d v="2027-11-22T00:00:00"/>
    <s v="900154|46164"/>
    <n v="549"/>
    <x v="1"/>
    <s v="2027-11"/>
    <n v="2026"/>
    <x v="2"/>
    <s v=""/>
  </r>
  <r>
    <n v="900161"/>
    <s v="윤라솔"/>
    <s v="재직"/>
    <n v="1"/>
    <x v="0"/>
    <d v="2025-05-03T00:00:00"/>
    <d v="9999-12-31T00:00:00"/>
    <s v=""/>
    <s v=""/>
    <x v="0"/>
    <s v=""/>
    <s v=""/>
    <x v="0"/>
    <s v=""/>
  </r>
  <r>
    <n v="900163"/>
    <s v="조수호"/>
    <s v="재직"/>
    <n v="1"/>
    <x v="0"/>
    <d v="2024-04-16T00:00:00"/>
    <d v="9999-12-31T00:00:00"/>
    <s v=""/>
    <s v=""/>
    <x v="0"/>
    <s v=""/>
    <s v=""/>
    <x v="0"/>
    <s v=""/>
  </r>
  <r>
    <n v="900164"/>
    <s v="권서아"/>
    <s v="재직"/>
    <n v="1"/>
    <x v="0"/>
    <d v="2023-02-16T00:00:00"/>
    <d v="9999-12-31T00:00:00"/>
    <s v=""/>
    <s v=""/>
    <x v="0"/>
    <s v=""/>
    <s v=""/>
    <x v="0"/>
    <s v=""/>
  </r>
  <r>
    <n v="900167"/>
    <s v="백상진"/>
    <s v="휴직"/>
    <n v="1"/>
    <x v="0"/>
    <d v="2024-12-14T00:00:00"/>
    <d v="9999-12-31T00:00:00"/>
    <s v=""/>
    <s v=""/>
    <x v="0"/>
    <s v=""/>
    <s v=""/>
    <x v="0"/>
    <s v=""/>
  </r>
  <r>
    <n v="900167"/>
    <s v="백상진"/>
    <s v="휴직"/>
    <n v="2"/>
    <x v="0"/>
    <d v="2025-04-07T00:00:00"/>
    <d v="9999-12-31T00:00:00"/>
    <s v=""/>
    <s v=""/>
    <x v="0"/>
    <s v=""/>
    <s v=""/>
    <x v="0"/>
    <s v=""/>
  </r>
  <r>
    <n v="900167"/>
    <s v="백상진"/>
    <s v="휴직"/>
    <n v="3"/>
    <x v="4"/>
    <d v="2026-02-07T00:00:00"/>
    <d v="2027-10-17T00:00:00"/>
    <s v="900167|46060"/>
    <n v="617"/>
    <x v="1"/>
    <s v="2027-10"/>
    <n v="2026"/>
    <x v="2"/>
    <s v=""/>
  </r>
  <r>
    <n v="900173"/>
    <s v="허수주"/>
    <s v="재직"/>
    <n v="1"/>
    <x v="0"/>
    <d v="2024-09-15T00:00:00"/>
    <d v="9999-12-31T00:00:00"/>
    <s v=""/>
    <s v=""/>
    <x v="0"/>
    <s v=""/>
    <s v=""/>
    <x v="0"/>
    <s v=""/>
  </r>
  <r>
    <n v="900181"/>
    <s v="배나현"/>
    <s v="재직"/>
    <n v="1"/>
    <x v="0"/>
    <d v="2022-09-01T00:00:00"/>
    <d v="9999-12-31T00:00:00"/>
    <s v=""/>
    <s v=""/>
    <x v="0"/>
    <s v=""/>
    <s v=""/>
    <x v="0"/>
    <s v=""/>
  </r>
  <r>
    <n v="900195"/>
    <s v="최상호"/>
    <s v="휴직"/>
    <n v="1"/>
    <x v="0"/>
    <d v="2023-01-29T00:00:00"/>
    <d v="9999-12-31T00:00:00"/>
    <s v=""/>
    <s v=""/>
    <x v="0"/>
    <s v=""/>
    <s v=""/>
    <x v="0"/>
    <s v=""/>
  </r>
  <r>
    <n v="900195"/>
    <s v="최상호"/>
    <s v="휴직"/>
    <n v="2"/>
    <x v="0"/>
    <d v="2025-01-29T00:00:00"/>
    <d v="9999-12-31T00:00:00"/>
    <s v=""/>
    <s v=""/>
    <x v="0"/>
    <s v=""/>
    <s v=""/>
    <x v="0"/>
    <s v=""/>
  </r>
  <r>
    <n v="900195"/>
    <s v="최상호"/>
    <s v="휴직"/>
    <n v="3"/>
    <x v="1"/>
    <d v="2026-06-05T00:00:00"/>
    <d v="2027-06-05T00:00:00"/>
    <s v="900195|46178"/>
    <n v="365"/>
    <x v="1"/>
    <s v="2027-06"/>
    <n v="2026"/>
    <x v="1"/>
    <s v=""/>
  </r>
  <r>
    <n v="900200"/>
    <s v="정원연"/>
    <s v="재직"/>
    <n v="1"/>
    <x v="0"/>
    <d v="2024-02-27T00:00:00"/>
    <d v="9999-12-31T00:00:00"/>
    <s v=""/>
    <s v=""/>
    <x v="0"/>
    <s v=""/>
    <s v=""/>
    <x v="0"/>
    <s v=""/>
  </r>
  <r>
    <n v="900206"/>
    <s v="오마민"/>
    <s v="재직"/>
    <n v="1"/>
    <x v="0"/>
    <d v="2025-05-19T00:00:00"/>
    <d v="9999-12-31T00:00:00"/>
    <s v=""/>
    <s v=""/>
    <x v="0"/>
    <s v=""/>
    <s v=""/>
    <x v="0"/>
    <s v=""/>
  </r>
  <r>
    <n v="900208"/>
    <s v="황하윤"/>
    <s v="휴직"/>
    <n v="1"/>
    <x v="0"/>
    <d v="2025-12-22T00:00:00"/>
    <d v="9999-12-31T00:00:00"/>
    <s v=""/>
    <s v=""/>
    <x v="0"/>
    <s v=""/>
    <s v=""/>
    <x v="0"/>
    <s v=""/>
  </r>
  <r>
    <n v="900208"/>
    <s v="황하윤"/>
    <s v="휴직"/>
    <n v="2"/>
    <x v="5"/>
    <d v="2025-10-15T00:00:00"/>
    <d v="2027-04-15T00:00:00"/>
    <s v="900208|45945"/>
    <n v="547"/>
    <x v="1"/>
    <s v="2027-04"/>
    <n v="2025"/>
    <x v="2"/>
    <s v=""/>
  </r>
  <r>
    <n v="900209"/>
    <s v="정하빈"/>
    <s v="재직"/>
    <n v="1"/>
    <x v="0"/>
    <d v="2024-05-21T00:00:00"/>
    <d v="9999-12-31T00:00:00"/>
    <s v=""/>
    <s v=""/>
    <x v="0"/>
    <s v=""/>
    <s v=""/>
    <x v="0"/>
    <s v=""/>
  </r>
  <r>
    <n v="900213"/>
    <s v="전우정"/>
    <s v="재직"/>
    <n v="1"/>
    <x v="0"/>
    <d v="2023-05-17T00:00:00"/>
    <d v="9999-12-31T00:00:00"/>
    <s v=""/>
    <s v=""/>
    <x v="0"/>
    <s v=""/>
    <s v=""/>
    <x v="0"/>
    <s v=""/>
  </r>
  <r>
    <n v="900223"/>
    <s v="권원주"/>
    <s v="재직"/>
    <n v="1"/>
    <x v="0"/>
    <d v="2025-02-16T00:00:00"/>
    <d v="9999-12-31T00:00:00"/>
    <s v=""/>
    <s v=""/>
    <x v="0"/>
    <s v=""/>
    <s v=""/>
    <x v="0"/>
    <s v=""/>
  </r>
  <r>
    <n v="900227"/>
    <s v="황상호"/>
    <s v="휴직"/>
    <n v="1"/>
    <x v="0"/>
    <d v="2024-12-19T00:00:00"/>
    <d v="9999-12-31T00:00:00"/>
    <s v=""/>
    <s v=""/>
    <x v="0"/>
    <s v=""/>
    <s v=""/>
    <x v="0"/>
    <s v=""/>
  </r>
  <r>
    <n v="900227"/>
    <s v="황상호"/>
    <s v="휴직"/>
    <n v="2"/>
    <x v="1"/>
    <d v="2026-08-09T00:00:00"/>
    <d v="2028-02-09T00:00:00"/>
    <s v="900227|46243"/>
    <n v="549"/>
    <x v="1"/>
    <s v="2028-02"/>
    <n v="2026"/>
    <x v="2"/>
    <s v=""/>
  </r>
  <r>
    <n v="900230"/>
    <s v="양민석"/>
    <s v="재직"/>
    <n v="1"/>
    <x v="0"/>
    <d v="2025-01-28T00:00:00"/>
    <d v="9999-12-31T00:00:00"/>
    <s v=""/>
    <s v=""/>
    <x v="0"/>
    <s v=""/>
    <s v=""/>
    <x v="0"/>
    <s v=""/>
  </r>
  <r>
    <n v="900235"/>
    <s v="김가진"/>
    <s v="재직"/>
    <n v="1"/>
    <x v="0"/>
    <d v="2025-10-19T00:00:00"/>
    <d v="9999-12-31T00:00:00"/>
    <s v=""/>
    <s v=""/>
    <x v="0"/>
    <s v=""/>
    <s v=""/>
    <x v="0"/>
    <s v=""/>
  </r>
  <r>
    <n v="900244"/>
    <s v="김서솔"/>
    <s v="휴직"/>
    <n v="1"/>
    <x v="3"/>
    <d v="2025-11-02T00:00:00"/>
    <d v="2026-11-02T00:00:00"/>
    <s v="900244|45963"/>
    <n v="365"/>
    <x v="1"/>
    <s v="2026-11"/>
    <n v="2025"/>
    <x v="1"/>
    <s v=""/>
  </r>
  <r>
    <n v="900259"/>
    <s v="정유람"/>
    <s v="휴직"/>
    <n v="1"/>
    <x v="1"/>
    <d v="2026-05-18T00:00:00"/>
    <d v="2028-05-18T00:00:00"/>
    <s v="900259|46160"/>
    <n v="731"/>
    <x v="1"/>
    <s v="2028-05"/>
    <n v="2026"/>
    <x v="2"/>
    <s v=""/>
  </r>
  <r>
    <n v="900260"/>
    <s v="강재수"/>
    <s v="재직"/>
    <n v="1"/>
    <x v="0"/>
    <d v="2025-09-10T00:00:00"/>
    <d v="9999-12-31T00:00:00"/>
    <s v=""/>
    <s v=""/>
    <x v="0"/>
    <s v=""/>
    <s v=""/>
    <x v="0"/>
    <s v=""/>
  </r>
  <r>
    <n v="900262"/>
    <s v="장우경"/>
    <s v="휴직"/>
    <n v="1"/>
    <x v="0"/>
    <d v="2025-09-05T00:00:00"/>
    <d v="9999-12-31T00:00:00"/>
    <s v=""/>
    <s v=""/>
    <x v="0"/>
    <s v=""/>
    <s v=""/>
    <x v="0"/>
    <s v=""/>
  </r>
  <r>
    <n v="900262"/>
    <s v="장우경"/>
    <s v="휴직"/>
    <n v="2"/>
    <x v="0"/>
    <d v="2023-09-26T00:00:00"/>
    <d v="9999-12-31T00:00:00"/>
    <s v=""/>
    <s v=""/>
    <x v="0"/>
    <s v=""/>
    <s v=""/>
    <x v="0"/>
    <s v=""/>
  </r>
  <r>
    <n v="900262"/>
    <s v="장우경"/>
    <s v="휴직"/>
    <n v="3"/>
    <x v="0"/>
    <d v="2024-08-15T00:00:00"/>
    <d v="9999-12-31T00:00:00"/>
    <s v=""/>
    <s v=""/>
    <x v="0"/>
    <s v=""/>
    <s v=""/>
    <x v="0"/>
    <s v=""/>
  </r>
  <r>
    <n v="900262"/>
    <s v="장우경"/>
    <s v="휴직"/>
    <n v="4"/>
    <x v="1"/>
    <d v="2026-02-24T00:00:00"/>
    <d v="2027-08-24T00:00:00"/>
    <s v="900262|46077"/>
    <n v="546"/>
    <x v="1"/>
    <s v="2027-08"/>
    <n v="2026"/>
    <x v="2"/>
    <s v=""/>
  </r>
  <r>
    <n v="900267"/>
    <s v="강현아"/>
    <s v="재직"/>
    <n v="1"/>
    <x v="0"/>
    <d v="2025-08-04T00:00:00"/>
    <d v="9999-12-31T00:00:00"/>
    <s v=""/>
    <s v=""/>
    <x v="0"/>
    <s v=""/>
    <s v=""/>
    <x v="0"/>
    <s v=""/>
  </r>
  <r>
    <n v="900278"/>
    <s v="장소빈"/>
    <s v="재직"/>
    <n v="1"/>
    <x v="0"/>
    <d v="2025-07-24T00:00:00"/>
    <d v="9999-12-31T00:00:00"/>
    <s v=""/>
    <s v=""/>
    <x v="0"/>
    <s v=""/>
    <s v=""/>
    <x v="0"/>
    <s v=""/>
  </r>
  <r>
    <n v="900279"/>
    <s v="이하호"/>
    <s v="휴직"/>
    <n v="1"/>
    <x v="1"/>
    <d v="2026-06-08T00:00:00"/>
    <d v="2028-06-08T00:00:00"/>
    <s v="900279|46181"/>
    <n v="731"/>
    <x v="0"/>
    <s v="2028-06"/>
    <n v="2026"/>
    <x v="2"/>
    <s v=""/>
  </r>
  <r>
    <n v="900279"/>
    <s v="이하호"/>
    <s v="휴직"/>
    <n v="2"/>
    <x v="0"/>
    <d v="2026-07-22T00:00:00"/>
    <d v="9999-12-31T00:00:00"/>
    <s v=""/>
    <s v=""/>
    <x v="0"/>
    <s v=""/>
    <s v=""/>
    <x v="0"/>
    <s v=""/>
  </r>
  <r>
    <n v="900279"/>
    <s v="이하호"/>
    <s v="휴직"/>
    <n v="3"/>
    <x v="4"/>
    <d v="2026-07-22T00:00:00"/>
    <d v="2027-01-22T00:00:00"/>
    <s v="900279|46225"/>
    <n v="184"/>
    <x v="1"/>
    <s v="2027-01"/>
    <n v="2026"/>
    <x v="1"/>
    <s v=""/>
  </r>
  <r>
    <n v="900286"/>
    <s v="윤지아"/>
    <s v="재직"/>
    <n v="1"/>
    <x v="0"/>
    <d v="2022-08-10T00:00:00"/>
    <d v="9999-12-31T00:00:00"/>
    <s v=""/>
    <s v=""/>
    <x v="0"/>
    <s v=""/>
    <s v=""/>
    <x v="0"/>
    <s v=""/>
  </r>
  <r>
    <n v="900291"/>
    <s v="신수연"/>
    <s v="재직"/>
    <n v="1"/>
    <x v="0"/>
    <d v="2024-06-13T00:00:00"/>
    <d v="9999-12-31T00:00:00"/>
    <s v=""/>
    <s v=""/>
    <x v="0"/>
    <s v=""/>
    <s v=""/>
    <x v="0"/>
    <s v=""/>
  </r>
  <r>
    <n v="900304"/>
    <s v="류우영"/>
    <s v="재직"/>
    <n v="1"/>
    <x v="0"/>
    <d v="2022-09-05T00:00:00"/>
    <d v="9999-12-31T00:00:00"/>
    <s v=""/>
    <s v=""/>
    <x v="0"/>
    <s v=""/>
    <s v=""/>
    <x v="0"/>
    <s v=""/>
  </r>
  <r>
    <n v="900317"/>
    <s v="장해아"/>
    <s v="휴직"/>
    <n v="1"/>
    <x v="1"/>
    <d v="2025-10-12T00:00:00"/>
    <d v="2027-04-12T00:00:00"/>
    <s v="900317|45942"/>
    <n v="547"/>
    <x v="1"/>
    <s v="2027-04"/>
    <n v="2025"/>
    <x v="2"/>
    <s v=""/>
  </r>
  <r>
    <n v="900322"/>
    <s v="홍태영"/>
    <s v="휴직"/>
    <n v="1"/>
    <x v="0"/>
    <d v="2025-12-17T00:00:00"/>
    <d v="9999-12-31T00:00:00"/>
    <s v=""/>
    <s v=""/>
    <x v="0"/>
    <s v=""/>
    <s v=""/>
    <x v="0"/>
    <s v=""/>
  </r>
  <r>
    <n v="900322"/>
    <s v="홍태영"/>
    <s v="휴직"/>
    <n v="2"/>
    <x v="0"/>
    <d v="2026-01-09T00:00:00"/>
    <d v="9999-12-31T00:00:00"/>
    <s v=""/>
    <s v=""/>
    <x v="0"/>
    <s v=""/>
    <s v=""/>
    <x v="0"/>
    <s v=""/>
  </r>
  <r>
    <n v="900322"/>
    <s v="홍태영"/>
    <s v="휴직"/>
    <n v="3"/>
    <x v="4"/>
    <d v="2026-07-23T00:00:00"/>
    <d v="2027-07-23T00:00:00"/>
    <s v="900322|46226"/>
    <n v="365"/>
    <x v="1"/>
    <s v="2027-07"/>
    <n v="2026"/>
    <x v="1"/>
    <s v=""/>
  </r>
  <r>
    <n v="900325"/>
    <s v="오상욱"/>
    <s v="재직"/>
    <n v="1"/>
    <x v="0"/>
    <d v="2025-07-22T00:00:00"/>
    <d v="9999-12-31T00:00:00"/>
    <s v=""/>
    <s v=""/>
    <x v="0"/>
    <s v=""/>
    <s v=""/>
    <x v="0"/>
    <s v=""/>
  </r>
  <r>
    <n v="900338"/>
    <s v="오준정"/>
    <s v="휴직"/>
    <n v="1"/>
    <x v="0"/>
    <d v="2024-05-15T00:00:00"/>
    <d v="9999-12-31T00:00:00"/>
    <s v=""/>
    <s v=""/>
    <x v="0"/>
    <s v=""/>
    <s v=""/>
    <x v="0"/>
    <s v=""/>
  </r>
  <r>
    <n v="900338"/>
    <s v="오준정"/>
    <s v="휴직"/>
    <n v="2"/>
    <x v="0"/>
    <d v="2023-10-18T00:00:00"/>
    <d v="9999-12-31T00:00:00"/>
    <s v=""/>
    <s v=""/>
    <x v="0"/>
    <s v=""/>
    <s v=""/>
    <x v="0"/>
    <s v=""/>
  </r>
  <r>
    <n v="900338"/>
    <s v="오준정"/>
    <s v="휴직"/>
    <n v="3"/>
    <x v="0"/>
    <d v="2024-10-02T00:00:00"/>
    <d v="9999-12-31T00:00:00"/>
    <s v=""/>
    <s v=""/>
    <x v="0"/>
    <s v=""/>
    <s v=""/>
    <x v="0"/>
    <s v=""/>
  </r>
  <r>
    <n v="900338"/>
    <s v="오준정"/>
    <s v="휴직"/>
    <n v="4"/>
    <x v="1"/>
    <d v="2025-11-04T00:00:00"/>
    <d v="2027-11-04T00:00:00"/>
    <s v="900338|45965"/>
    <n v="730"/>
    <x v="1"/>
    <s v="2027-11"/>
    <n v="2025"/>
    <x v="2"/>
    <s v=""/>
  </r>
  <r>
    <n v="900345"/>
    <s v="정태민"/>
    <s v="재직"/>
    <n v="1"/>
    <x v="0"/>
    <d v="2022-11-21T00:00:00"/>
    <d v="9999-12-31T00:00:00"/>
    <s v=""/>
    <s v=""/>
    <x v="0"/>
    <s v=""/>
    <s v=""/>
    <x v="0"/>
    <s v=""/>
  </r>
  <r>
    <n v="900348"/>
    <s v="김윤영"/>
    <s v="재직"/>
    <n v="1"/>
    <x v="0"/>
    <d v="2023-07-24T00:00:00"/>
    <d v="9999-12-31T00:00:00"/>
    <s v=""/>
    <s v=""/>
    <x v="0"/>
    <s v=""/>
    <s v=""/>
    <x v="0"/>
    <s v=""/>
  </r>
  <r>
    <n v="900351"/>
    <s v="백유영"/>
    <s v="재직"/>
    <n v="1"/>
    <x v="0"/>
    <d v="2025-02-03T00:00:00"/>
    <d v="9999-12-31T00:00:00"/>
    <s v=""/>
    <s v=""/>
    <x v="0"/>
    <s v=""/>
    <s v=""/>
    <x v="0"/>
    <s v=""/>
  </r>
  <r>
    <n v="900355"/>
    <s v="황채온"/>
    <s v="재직"/>
    <n v="1"/>
    <x v="0"/>
    <d v="2023-02-04T00:00:00"/>
    <d v="9999-12-31T00:00:00"/>
    <s v=""/>
    <s v=""/>
    <x v="0"/>
    <s v=""/>
    <s v=""/>
    <x v="0"/>
    <s v=""/>
  </r>
  <r>
    <n v="900358"/>
    <s v="손원경"/>
    <s v="재직"/>
    <n v="1"/>
    <x v="0"/>
    <d v="2023-12-04T00:00:00"/>
    <d v="9999-12-31T00:00:00"/>
    <s v=""/>
    <s v=""/>
    <x v="0"/>
    <s v=""/>
    <s v=""/>
    <x v="0"/>
    <s v=""/>
  </r>
  <r>
    <n v="900359"/>
    <s v="권지아"/>
    <s v="휴직"/>
    <n v="1"/>
    <x v="1"/>
    <d v="2026-06-04T00:00:00"/>
    <d v="2026-12-04T00:00:00"/>
    <s v="900359|46177"/>
    <n v="183"/>
    <x v="1"/>
    <s v="2026-12"/>
    <n v="2026"/>
    <x v="4"/>
    <s v=""/>
  </r>
  <r>
    <n v="900359"/>
    <s v="권지아"/>
    <s v="휴직"/>
    <n v="2"/>
    <x v="1"/>
    <d v="2027-03-26T00:00:00"/>
    <d v="2026-11-06T00:00:00"/>
    <s v="900359|46472"/>
    <n v="-140"/>
    <x v="0"/>
    <s v="2026-11"/>
    <n v="2027"/>
    <x v="5"/>
    <s v="오류"/>
  </r>
  <r>
    <n v="900362"/>
    <s v="신가우"/>
    <s v="재직"/>
    <n v="1"/>
    <x v="0"/>
    <d v="2024-06-21T00:00:00"/>
    <d v="9999-12-31T00:00:00"/>
    <s v=""/>
    <s v=""/>
    <x v="0"/>
    <s v=""/>
    <s v=""/>
    <x v="0"/>
    <s v=""/>
  </r>
  <r>
    <n v="900363"/>
    <s v="최가미"/>
    <s v="휴직"/>
    <n v="1"/>
    <x v="0"/>
    <d v="2023-11-04T00:00:00"/>
    <d v="9999-12-31T00:00:00"/>
    <s v=""/>
    <s v=""/>
    <x v="0"/>
    <s v=""/>
    <s v=""/>
    <x v="0"/>
    <s v=""/>
  </r>
  <r>
    <n v="900363"/>
    <s v="최가미"/>
    <s v="휴직"/>
    <n v="2"/>
    <x v="0"/>
    <d v="2023-09-10T00:00:00"/>
    <d v="9999-12-31T00:00:00"/>
    <s v=""/>
    <s v=""/>
    <x v="0"/>
    <s v=""/>
    <s v=""/>
    <x v="0"/>
    <s v=""/>
  </r>
  <r>
    <n v="900363"/>
    <s v="최가미"/>
    <s v="휴직"/>
    <n v="3"/>
    <x v="2"/>
    <d v="2026-03-13T00:00:00"/>
    <d v="2027-03-13T00:00:00"/>
    <s v="900363|46094"/>
    <n v="365"/>
    <x v="1"/>
    <s v="2027-03"/>
    <n v="2026"/>
    <x v="1"/>
    <s v=""/>
  </r>
  <r>
    <n v="900364"/>
    <s v="김원현"/>
    <s v="재직"/>
    <n v="1"/>
    <x v="0"/>
    <d v="2025-05-14T00:00:00"/>
    <d v="9999-12-31T00:00:00"/>
    <s v=""/>
    <s v=""/>
    <x v="0"/>
    <s v=""/>
    <s v=""/>
    <x v="0"/>
    <s v=""/>
  </r>
  <r>
    <n v="900367"/>
    <s v="최건수"/>
    <s v="재직"/>
    <n v="1"/>
    <x v="0"/>
    <d v="2025-03-13T00:00:00"/>
    <d v="9999-12-31T00:00:00"/>
    <s v=""/>
    <s v=""/>
    <x v="0"/>
    <s v=""/>
    <s v=""/>
    <x v="0"/>
    <s v=""/>
  </r>
  <r>
    <n v="900372"/>
    <s v="송채결"/>
    <s v="재직"/>
    <n v="1"/>
    <x v="0"/>
    <d v="2023-01-10T00:00:00"/>
    <d v="9999-12-31T00:00:00"/>
    <s v=""/>
    <s v=""/>
    <x v="0"/>
    <s v=""/>
    <s v=""/>
    <x v="0"/>
    <s v=""/>
  </r>
  <r>
    <n v="900373"/>
    <s v="정건윤"/>
    <s v="휴직"/>
    <n v="1"/>
    <x v="0"/>
    <d v="2023-05-26T00:00:00"/>
    <d v="9999-12-31T00:00:00"/>
    <s v=""/>
    <s v=""/>
    <x v="0"/>
    <s v=""/>
    <s v=""/>
    <x v="0"/>
    <s v=""/>
  </r>
  <r>
    <n v="900373"/>
    <s v="정건윤"/>
    <s v="휴직"/>
    <n v="2"/>
    <x v="0"/>
    <d v="2024-11-13T00:00:00"/>
    <d v="9999-12-31T00:00:00"/>
    <s v=""/>
    <s v=""/>
    <x v="0"/>
    <s v=""/>
    <s v=""/>
    <x v="0"/>
    <s v=""/>
  </r>
  <r>
    <n v="900373"/>
    <s v="정건윤"/>
    <s v="휴직"/>
    <n v="3"/>
    <x v="1"/>
    <d v="2026-01-25T00:00:00"/>
    <d v="2026-12-13T00:00:00"/>
    <s v="900373|46047"/>
    <n v="322"/>
    <x v="1"/>
    <s v="2026-12"/>
    <n v="2026"/>
    <x v="1"/>
    <s v=""/>
  </r>
  <r>
    <n v="900374"/>
    <s v="조채연"/>
    <s v="휴직"/>
    <n v="1"/>
    <x v="4"/>
    <d v="2026-05-03T00:00:00"/>
    <d v="2027-05-03T00:00:00"/>
    <s v="900374|46145"/>
    <n v="365"/>
    <x v="1"/>
    <s v="2027-05"/>
    <n v="2026"/>
    <x v="1"/>
    <s v=""/>
  </r>
  <r>
    <n v="900377"/>
    <s v="송해정"/>
    <s v="재직"/>
    <n v="1"/>
    <x v="0"/>
    <d v="2025-02-03T00:00:00"/>
    <d v="9999-12-31T00:00:00"/>
    <s v=""/>
    <s v=""/>
    <x v="0"/>
    <s v=""/>
    <s v=""/>
    <x v="0"/>
    <s v=""/>
  </r>
  <r>
    <n v="900378"/>
    <s v="남마솔"/>
    <s v="재직"/>
    <n v="1"/>
    <x v="0"/>
    <d v="2024-10-16T00:00:00"/>
    <d v="9999-12-31T00:00:00"/>
    <s v=""/>
    <s v=""/>
    <x v="0"/>
    <s v=""/>
    <s v=""/>
    <x v="0"/>
    <s v=""/>
  </r>
  <r>
    <n v="900394"/>
    <s v="오서온"/>
    <s v="휴직"/>
    <n v="1"/>
    <x v="0"/>
    <d v="2023-08-26T00:00:00"/>
    <d v="9999-12-31T00:00:00"/>
    <s v=""/>
    <s v=""/>
    <x v="0"/>
    <s v=""/>
    <s v=""/>
    <x v="0"/>
    <s v=""/>
  </r>
  <r>
    <n v="900394"/>
    <s v="오서온"/>
    <s v="휴직"/>
    <n v="2"/>
    <x v="4"/>
    <d v="2026-01-20T00:00:00"/>
    <d v="2027-01-20T00:00:00"/>
    <s v="900394|46042"/>
    <n v="365"/>
    <x v="1"/>
    <s v="2027-01"/>
    <n v="2026"/>
    <x v="1"/>
    <s v=""/>
  </r>
  <r>
    <n v="900402"/>
    <s v="문지현"/>
    <s v="재직"/>
    <n v="1"/>
    <x v="0"/>
    <d v="2023-01-16T00:00:00"/>
    <d v="9999-12-31T00:00:00"/>
    <s v=""/>
    <s v=""/>
    <x v="0"/>
    <s v=""/>
    <s v=""/>
    <x v="0"/>
    <s v=""/>
  </r>
  <r>
    <n v="900403"/>
    <s v="심해아"/>
    <s v="재직"/>
    <n v="1"/>
    <x v="0"/>
    <d v="2024-04-18T00:00:00"/>
    <d v="9999-12-31T00:00:00"/>
    <s v=""/>
    <s v=""/>
    <x v="0"/>
    <s v=""/>
    <s v=""/>
    <x v="0"/>
    <s v=""/>
  </r>
  <r>
    <n v="900413"/>
    <s v="강은온"/>
    <s v="휴직"/>
    <n v="1"/>
    <x v="0"/>
    <d v="2025-06-29T00:00:00"/>
    <d v="9999-12-31T00:00:00"/>
    <s v=""/>
    <s v=""/>
    <x v="0"/>
    <s v=""/>
    <s v=""/>
    <x v="0"/>
    <s v=""/>
  </r>
  <r>
    <n v="900413"/>
    <s v="강은온"/>
    <s v="휴직"/>
    <n v="2"/>
    <x v="1"/>
    <d v="2026-04-04T00:00:00"/>
    <d v="2026-10-04T00:00:00"/>
    <s v="900413|46116"/>
    <n v="183"/>
    <x v="1"/>
    <s v="2026-10"/>
    <n v="2026"/>
    <x v="4"/>
    <s v=""/>
  </r>
  <r>
    <n v="900417"/>
    <s v="배재연"/>
    <s v="재직"/>
    <n v="1"/>
    <x v="0"/>
    <d v="2023-12-24T00:00:00"/>
    <d v="9999-12-31T00:00:00"/>
    <s v=""/>
    <s v=""/>
    <x v="0"/>
    <s v=""/>
    <s v=""/>
    <x v="0"/>
    <s v=""/>
  </r>
  <r>
    <n v="900426"/>
    <s v="강건경"/>
    <s v="휴직"/>
    <n v="1"/>
    <x v="0"/>
    <d v="2023-07-06T00:00:00"/>
    <d v="9999-12-31T00:00:00"/>
    <s v=""/>
    <s v=""/>
    <x v="0"/>
    <s v=""/>
    <s v=""/>
    <x v="0"/>
    <s v=""/>
  </r>
  <r>
    <n v="900426"/>
    <s v="강건경"/>
    <s v="휴직"/>
    <n v="2"/>
    <x v="0"/>
    <d v="2023-10-06T00:00:00"/>
    <d v="9999-12-31T00:00:00"/>
    <s v=""/>
    <s v=""/>
    <x v="0"/>
    <s v=""/>
    <s v=""/>
    <x v="0"/>
    <s v=""/>
  </r>
  <r>
    <n v="900426"/>
    <s v="강건경"/>
    <s v="휴직"/>
    <n v="3"/>
    <x v="6"/>
    <d v="2025-10-20T00:00:00"/>
    <d v="2026-10-20T00:00:00"/>
    <s v="900426|45950"/>
    <n v="365"/>
    <x v="1"/>
    <s v="2026-10"/>
    <n v="2025"/>
    <x v="1"/>
    <s v=""/>
  </r>
  <r>
    <n v="900430"/>
    <s v="허채솔"/>
    <s v="재직"/>
    <n v="1"/>
    <x v="0"/>
    <d v="2024-04-04T00:00:00"/>
    <d v="9999-12-31T00:00:00"/>
    <s v=""/>
    <s v=""/>
    <x v="0"/>
    <s v=""/>
    <s v=""/>
    <x v="0"/>
    <s v=""/>
  </r>
  <r>
    <n v="900441"/>
    <s v="정수별"/>
    <s v="재직"/>
    <n v="1"/>
    <x v="0"/>
    <d v="2024-02-02T00:00:00"/>
    <d v="9999-12-31T00:00:00"/>
    <s v=""/>
    <s v=""/>
    <x v="0"/>
    <s v=""/>
    <s v=""/>
    <x v="0"/>
    <s v=""/>
  </r>
  <r>
    <n v="900448"/>
    <s v="안지영"/>
    <s v="재직"/>
    <n v="1"/>
    <x v="0"/>
    <d v="2023-11-20T00:00:00"/>
    <d v="9999-12-31T00:00:00"/>
    <s v=""/>
    <s v=""/>
    <x v="0"/>
    <s v=""/>
    <s v=""/>
    <x v="0"/>
    <s v=""/>
  </r>
  <r>
    <n v="900450"/>
    <s v="남가석"/>
    <s v="재직"/>
    <n v="1"/>
    <x v="0"/>
    <d v="2025-08-24T00:00:00"/>
    <d v="9999-12-31T00:00:00"/>
    <s v=""/>
    <s v=""/>
    <x v="0"/>
    <s v=""/>
    <s v=""/>
    <x v="0"/>
    <s v=""/>
  </r>
  <r>
    <n v="900451"/>
    <s v="조라경"/>
    <s v="재직"/>
    <n v="1"/>
    <x v="0"/>
    <d v="2025-08-05T00:00:00"/>
    <d v="9999-12-31T00:00:00"/>
    <s v=""/>
    <s v=""/>
    <x v="0"/>
    <s v=""/>
    <s v=""/>
    <x v="0"/>
    <s v=""/>
  </r>
  <r>
    <n v="900459"/>
    <s v="이수찬"/>
    <s v="재직"/>
    <n v="1"/>
    <x v="0"/>
    <d v="2024-12-08T00:00:00"/>
    <d v="9999-12-31T00:00:00"/>
    <s v=""/>
    <s v=""/>
    <x v="0"/>
    <s v=""/>
    <s v=""/>
    <x v="0"/>
    <s v=""/>
  </r>
  <r>
    <n v="900462"/>
    <s v="황가온"/>
    <s v="재직"/>
    <n v="1"/>
    <x v="0"/>
    <d v="2024-04-09T00:00:00"/>
    <d v="9999-12-31T00:00:00"/>
    <s v=""/>
    <s v=""/>
    <x v="0"/>
    <s v=""/>
    <s v=""/>
    <x v="0"/>
    <s v=""/>
  </r>
  <r>
    <n v="900471"/>
    <s v="배마미"/>
    <s v="휴직"/>
    <n v="1"/>
    <x v="0"/>
    <d v="2025-11-12T00:00:00"/>
    <d v="9999-12-31T00:00:00"/>
    <s v=""/>
    <s v=""/>
    <x v="0"/>
    <s v=""/>
    <s v=""/>
    <x v="0"/>
    <s v=""/>
  </r>
  <r>
    <n v="900471"/>
    <s v="배마미"/>
    <s v="휴직"/>
    <n v="2"/>
    <x v="0"/>
    <d v="2023-11-16T00:00:00"/>
    <d v="9999-12-31T00:00:00"/>
    <s v=""/>
    <s v=""/>
    <x v="0"/>
    <s v=""/>
    <s v=""/>
    <x v="0"/>
    <s v=""/>
  </r>
  <r>
    <n v="900471"/>
    <s v="배마미"/>
    <s v="휴직"/>
    <n v="3"/>
    <x v="0"/>
    <d v="2025-10-05T00:00:00"/>
    <d v="9999-12-31T00:00:00"/>
    <s v=""/>
    <s v=""/>
    <x v="0"/>
    <s v=""/>
    <s v=""/>
    <x v="0"/>
    <s v=""/>
  </r>
  <r>
    <n v="900471"/>
    <s v="배마미"/>
    <s v="휴직"/>
    <n v="4"/>
    <x v="1"/>
    <d v="2026-03-28T00:00:00"/>
    <d v="2027-03-28T00:00:00"/>
    <s v="900471|46109"/>
    <n v="365"/>
    <x v="1"/>
    <s v="2027-03"/>
    <n v="2026"/>
    <x v="1"/>
    <s v=""/>
  </r>
  <r>
    <n v="900473"/>
    <s v="류해윤"/>
    <s v="휴직"/>
    <n v="1"/>
    <x v="0"/>
    <d v="2024-06-19T00:00:00"/>
    <d v="9999-12-31T00:00:00"/>
    <s v=""/>
    <s v=""/>
    <x v="0"/>
    <s v=""/>
    <s v=""/>
    <x v="0"/>
    <s v=""/>
  </r>
  <r>
    <n v="900473"/>
    <s v="류해윤"/>
    <s v="휴직"/>
    <n v="2"/>
    <x v="1"/>
    <d v="2026-05-29T00:00:00"/>
    <d v="2026-11-29T00:00:00"/>
    <s v="900473|46171"/>
    <n v="184"/>
    <x v="1"/>
    <s v="2026-11"/>
    <n v="2026"/>
    <x v="1"/>
    <s v=""/>
  </r>
  <r>
    <n v="900475"/>
    <s v="류지결"/>
    <s v="휴직"/>
    <n v="1"/>
    <x v="0"/>
    <d v="2023-08-20T00:00:00"/>
    <d v="9999-12-31T00:00:00"/>
    <s v=""/>
    <s v=""/>
    <x v="0"/>
    <s v=""/>
    <s v=""/>
    <x v="0"/>
    <s v=""/>
  </r>
  <r>
    <n v="900475"/>
    <s v="류지결"/>
    <s v="휴직"/>
    <n v="2"/>
    <x v="1"/>
    <d v="2025-10-30T00:00:00"/>
    <d v="2027-10-30T00:00:00"/>
    <s v="900475|45960"/>
    <n v="730"/>
    <x v="1"/>
    <s v="2027-10"/>
    <n v="2025"/>
    <x v="2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900000"/>
    <x v="0"/>
    <x v="0"/>
    <n v="46"/>
    <x v="0"/>
    <x v="0"/>
    <x v="0"/>
    <s v="입학전문직(입학사정관)"/>
    <s v="대학회계계약직"/>
    <s v="비공무원"/>
    <x v="0"/>
    <s v="Y"/>
    <s v="N"/>
    <d v="2003-08-01T00:00:00"/>
    <d v="2026-02-01T00:00:00"/>
    <d v="2026-02-01T00:00:00"/>
    <d v="2026-02-01T00:00:00"/>
    <n v="26"/>
    <m/>
    <s v="대학회계계약직"/>
    <x v="0"/>
    <n v="11"/>
    <x v="0"/>
    <x v="0"/>
    <n v="1"/>
    <n v="0"/>
    <x v="0"/>
    <n v="0"/>
    <n v="23"/>
    <x v="0"/>
    <n v="0.6"/>
    <x v="0"/>
    <x v="0"/>
    <x v="0"/>
    <s v=""/>
    <x v="0"/>
    <x v="0"/>
    <x v="0"/>
    <s v=""/>
    <x v="0"/>
    <s v=""/>
  </r>
  <r>
    <n v="900001"/>
    <x v="1"/>
    <x v="0"/>
    <n v="38"/>
    <x v="0"/>
    <x v="1"/>
    <x v="1"/>
    <s v="대학회계계약직(사서실무직)"/>
    <s v="대학회계계약직"/>
    <s v="비공무원"/>
    <x v="0"/>
    <s v="Y"/>
    <s v="N"/>
    <d v="2018-04-01T00:00:00"/>
    <d v="2018-04-01T00:00:00"/>
    <d v="2026-09-01T00:00:00"/>
    <d v="2026-09-01T00:00:00"/>
    <n v="8"/>
    <m/>
    <s v="대학회계계약직"/>
    <x v="0"/>
    <n v="11"/>
    <x v="0"/>
    <x v="0"/>
    <n v="1"/>
    <n v="0"/>
    <x v="1"/>
    <n v="8"/>
    <n v="8"/>
    <x v="1"/>
    <n v="0"/>
    <x v="0"/>
    <x v="0"/>
    <x v="0"/>
    <s v=""/>
    <x v="0"/>
    <x v="0"/>
    <x v="0"/>
    <s v=""/>
    <x v="0"/>
    <s v=""/>
  </r>
  <r>
    <n v="900002"/>
    <x v="2"/>
    <x v="0"/>
    <n v="45"/>
    <x v="0"/>
    <x v="2"/>
    <x v="2"/>
    <s v="시설주사보"/>
    <s v="일반직"/>
    <s v="공무원"/>
    <x v="0"/>
    <s v="Y"/>
    <s v="N"/>
    <d v="2003-07-01T00:00:00"/>
    <d v="2003-07-01T00:00:00"/>
    <d v="2020-03-01T00:00:00"/>
    <d v="2020-03-01T00:00:00"/>
    <n v="25"/>
    <m/>
    <s v="7급"/>
    <x v="1"/>
    <n v="5"/>
    <x v="1"/>
    <x v="0"/>
    <n v="1"/>
    <n v="0"/>
    <x v="0"/>
    <n v="23"/>
    <n v="23"/>
    <x v="0"/>
    <n v="6.5"/>
    <x v="1"/>
    <x v="1"/>
    <x v="0"/>
    <s v=""/>
    <x v="0"/>
    <x v="0"/>
    <x v="0"/>
    <s v=""/>
    <x v="0"/>
    <s v=""/>
  </r>
  <r>
    <n v="900003"/>
    <x v="3"/>
    <x v="0"/>
    <n v="32"/>
    <x v="0"/>
    <x v="3"/>
    <x v="2"/>
    <s v="대학회계계약직(사무실무직)"/>
    <s v="대학회계계약직"/>
    <s v="비공무원"/>
    <x v="0"/>
    <s v="Y"/>
    <s v="N"/>
    <d v="2018-05-01T00:00:00"/>
    <d v="2018-05-01T00:00:00"/>
    <d v="2025-10-01T00:00:00"/>
    <d v="2025-10-01T00:00:00"/>
    <n v="9"/>
    <m/>
    <s v="대학회계계약직"/>
    <x v="0"/>
    <n v="11"/>
    <x v="0"/>
    <x v="0"/>
    <n v="1"/>
    <n v="0"/>
    <x v="1"/>
    <n v="8"/>
    <n v="8"/>
    <x v="1"/>
    <n v="0.9"/>
    <x v="0"/>
    <x v="0"/>
    <x v="0"/>
    <s v=""/>
    <x v="0"/>
    <x v="0"/>
    <x v="0"/>
    <s v=""/>
    <x v="0"/>
    <s v=""/>
  </r>
  <r>
    <n v="900004"/>
    <x v="4"/>
    <x v="0"/>
    <n v="53"/>
    <x v="1"/>
    <x v="2"/>
    <x v="3"/>
    <s v="전문경력관 나군(노무담당)"/>
    <s v="일반직"/>
    <s v="공무원"/>
    <x v="0"/>
    <s v="N"/>
    <s v="N"/>
    <d v="2003-08-01T00:00:00"/>
    <d v="2003-08-01T00:00:00"/>
    <d v="2022-05-01T00:00:00"/>
    <d v="2022-05-01T00:00:00"/>
    <n v="25"/>
    <m/>
    <s v="전문경력관"/>
    <x v="2"/>
    <n v="9"/>
    <x v="1"/>
    <x v="0"/>
    <n v="1"/>
    <n v="0"/>
    <x v="2"/>
    <n v="23"/>
    <n v="23"/>
    <x v="0"/>
    <n v="4.4000000000000004"/>
    <x v="0"/>
    <x v="2"/>
    <x v="0"/>
    <s v=""/>
    <x v="0"/>
    <x v="0"/>
    <x v="0"/>
    <s v=""/>
    <x v="0"/>
    <s v=""/>
  </r>
  <r>
    <n v="900005"/>
    <x v="5"/>
    <x v="0"/>
    <n v="39"/>
    <x v="1"/>
    <x v="4"/>
    <x v="4"/>
    <s v="시설주사"/>
    <s v="일반직"/>
    <s v="공무원"/>
    <x v="0"/>
    <s v="Y"/>
    <s v="N"/>
    <d v="2010-06-01T00:00:00"/>
    <d v="2026-08-01T00:00:00"/>
    <d v="2026-08-01T00:00:00"/>
    <d v="2026-08-01T00:00:00"/>
    <n v="19"/>
    <m/>
    <s v="6급"/>
    <x v="3"/>
    <n v="4"/>
    <x v="1"/>
    <x v="0"/>
    <n v="1"/>
    <n v="0"/>
    <x v="1"/>
    <n v="0"/>
    <n v="16"/>
    <x v="2"/>
    <n v="0.1"/>
    <x v="0"/>
    <x v="3"/>
    <x v="0"/>
    <s v=""/>
    <x v="0"/>
    <x v="0"/>
    <x v="0"/>
    <s v=""/>
    <x v="0"/>
    <s v=""/>
  </r>
  <r>
    <n v="900006"/>
    <x v="6"/>
    <x v="0"/>
    <n v="51"/>
    <x v="0"/>
    <x v="5"/>
    <x v="5"/>
    <s v="시설주사"/>
    <s v="일반직"/>
    <s v="공무원"/>
    <x v="0"/>
    <s v="Y"/>
    <s v="N"/>
    <d v="2006-07-01T00:00:00"/>
    <d v="2006-07-01T00:00:00"/>
    <d v="2014-11-01T00:00:00"/>
    <d v="2014-11-01T00:00:00"/>
    <n v="22"/>
    <m/>
    <s v="6급"/>
    <x v="3"/>
    <n v="4"/>
    <x v="1"/>
    <x v="0"/>
    <n v="1"/>
    <n v="0"/>
    <x v="2"/>
    <n v="20"/>
    <n v="20"/>
    <x v="0"/>
    <n v="11.9"/>
    <x v="2"/>
    <x v="4"/>
    <x v="0"/>
    <s v=""/>
    <x v="0"/>
    <x v="0"/>
    <x v="0"/>
    <s v=""/>
    <x v="0"/>
    <s v=""/>
  </r>
  <r>
    <n v="900007"/>
    <x v="7"/>
    <x v="0"/>
    <n v="45"/>
    <x v="0"/>
    <x v="3"/>
    <x v="4"/>
    <s v="대학회계계약직(사무실무직)"/>
    <s v="대학회계계약직"/>
    <s v="비공무원"/>
    <x v="0"/>
    <s v="Y"/>
    <s v="N"/>
    <d v="2020-11-01T00:00:00"/>
    <d v="2020-11-01T00:00:00"/>
    <d v="2023-02-01T00:00:00"/>
    <d v="2023-02-01T00:00:00"/>
    <n v="8"/>
    <m/>
    <s v="대학회계계약직"/>
    <x v="0"/>
    <n v="11"/>
    <x v="0"/>
    <x v="0"/>
    <n v="1"/>
    <n v="0"/>
    <x v="0"/>
    <n v="5"/>
    <n v="5"/>
    <x v="1"/>
    <n v="3.6"/>
    <x v="0"/>
    <x v="0"/>
    <x v="0"/>
    <s v=""/>
    <x v="0"/>
    <x v="0"/>
    <x v="0"/>
    <s v=""/>
    <x v="0"/>
    <s v=""/>
  </r>
  <r>
    <n v="900008"/>
    <x v="8"/>
    <x v="0"/>
    <n v="55"/>
    <x v="1"/>
    <x v="6"/>
    <x v="2"/>
    <s v="행정주사"/>
    <s v="일반직"/>
    <s v="공무원"/>
    <x v="0"/>
    <s v="Y"/>
    <s v="N"/>
    <d v="1999-03-01T00:00:00"/>
    <d v="1999-03-01T00:00:00"/>
    <d v="2017-11-01T00:00:00"/>
    <d v="2017-11-01T00:00:00"/>
    <n v="30"/>
    <m/>
    <s v="6급"/>
    <x v="3"/>
    <n v="4"/>
    <x v="1"/>
    <x v="0"/>
    <n v="1"/>
    <n v="0"/>
    <x v="2"/>
    <n v="27"/>
    <n v="27"/>
    <x v="3"/>
    <n v="8.9"/>
    <x v="1"/>
    <x v="5"/>
    <x v="0"/>
    <s v=""/>
    <x v="0"/>
    <x v="0"/>
    <x v="0"/>
    <s v=""/>
    <x v="0"/>
    <s v=""/>
  </r>
  <r>
    <n v="900009"/>
    <x v="9"/>
    <x v="0"/>
    <n v="46"/>
    <x v="0"/>
    <x v="1"/>
    <x v="1"/>
    <s v="공업주사"/>
    <s v="일반직"/>
    <s v="공무원"/>
    <x v="0"/>
    <s v="Y"/>
    <s v="N"/>
    <d v="2009-02-01T00:00:00"/>
    <d v="2009-02-01T00:00:00"/>
    <d v="2023-03-01T00:00:00"/>
    <d v="2023-03-01T00:00:00"/>
    <n v="20"/>
    <m/>
    <s v="6급"/>
    <x v="3"/>
    <n v="4"/>
    <x v="1"/>
    <x v="0"/>
    <n v="1"/>
    <n v="0"/>
    <x v="0"/>
    <n v="17"/>
    <n v="17"/>
    <x v="0"/>
    <n v="3.5"/>
    <x v="0"/>
    <x v="6"/>
    <x v="0"/>
    <s v=""/>
    <x v="0"/>
    <x v="0"/>
    <x v="0"/>
    <s v=""/>
    <x v="0"/>
    <s v=""/>
  </r>
  <r>
    <n v="900010"/>
    <x v="10"/>
    <x v="0"/>
    <n v="44"/>
    <x v="0"/>
    <x v="1"/>
    <x v="2"/>
    <s v="행정주사"/>
    <s v="일반직"/>
    <s v="공무원"/>
    <x v="0"/>
    <s v="Y"/>
    <s v="N"/>
    <d v="2022-03-01T00:00:00"/>
    <d v="2022-03-01T00:00:00"/>
    <d v="2022-03-01T00:00:00"/>
    <d v="2022-03-01T00:00:00"/>
    <n v="5"/>
    <m/>
    <s v="6급"/>
    <x v="3"/>
    <n v="4"/>
    <x v="1"/>
    <x v="0"/>
    <n v="1"/>
    <n v="0"/>
    <x v="0"/>
    <n v="4"/>
    <n v="4"/>
    <x v="1"/>
    <n v="4.5"/>
    <x v="0"/>
    <x v="7"/>
    <x v="0"/>
    <s v=""/>
    <x v="0"/>
    <x v="0"/>
    <x v="0"/>
    <s v=""/>
    <x v="0"/>
    <s v=""/>
  </r>
  <r>
    <n v="900011"/>
    <x v="11"/>
    <x v="0"/>
    <n v="24"/>
    <x v="0"/>
    <x v="7"/>
    <x v="6"/>
    <s v="대학회계계약직(사서실무직)"/>
    <s v="대학회계계약직"/>
    <s v="비공무원"/>
    <x v="0"/>
    <s v="N"/>
    <s v="N"/>
    <d v="2024-01-01T00:00:00"/>
    <d v="2024-01-01T00:00:00"/>
    <d v="2025-04-01T00:00:00"/>
    <d v="2025-04-01T00:00:00"/>
    <m/>
    <m/>
    <s v="대학회계계약직"/>
    <x v="0"/>
    <n v="11"/>
    <x v="0"/>
    <x v="0"/>
    <n v="1"/>
    <n v="0"/>
    <x v="3"/>
    <n v="2"/>
    <n v="2"/>
    <x v="4"/>
    <n v="1.4"/>
    <x v="0"/>
    <x v="0"/>
    <x v="0"/>
    <s v=""/>
    <x v="0"/>
    <x v="0"/>
    <x v="0"/>
    <s v=""/>
    <x v="0"/>
    <s v=""/>
  </r>
  <r>
    <n v="900012"/>
    <x v="12"/>
    <x v="0"/>
    <n v="45"/>
    <x v="0"/>
    <x v="8"/>
    <x v="0"/>
    <s v="대학회계계약직(사무실무직)"/>
    <s v="대학회계계약직"/>
    <s v="비공무원"/>
    <x v="0"/>
    <s v="Y"/>
    <s v="N"/>
    <d v="2008-05-01T00:00:00"/>
    <d v="2008-05-01T00:00:00"/>
    <d v="2016-03-01T00:00:00"/>
    <d v="2016-03-01T00:00:00"/>
    <n v="18"/>
    <m/>
    <s v="대학회계계약직"/>
    <x v="0"/>
    <n v="11"/>
    <x v="0"/>
    <x v="0"/>
    <n v="1"/>
    <n v="0"/>
    <x v="0"/>
    <n v="18"/>
    <n v="18"/>
    <x v="2"/>
    <n v="10.5"/>
    <x v="2"/>
    <x v="0"/>
    <x v="0"/>
    <s v=""/>
    <x v="0"/>
    <x v="0"/>
    <x v="0"/>
    <s v=""/>
    <x v="0"/>
    <s v=""/>
  </r>
  <r>
    <n v="900013"/>
    <x v="13"/>
    <x v="0"/>
    <n v="53"/>
    <x v="1"/>
    <x v="6"/>
    <x v="7"/>
    <s v="대학회계계약직(사무실무직)"/>
    <s v="대학회계계약직"/>
    <s v="비공무원"/>
    <x v="0"/>
    <s v="Y"/>
    <s v="N"/>
    <d v="1998-07-01T00:00:00"/>
    <d v="1998-07-01T00:00:00"/>
    <d v="2014-11-01T00:00:00"/>
    <d v="2014-11-01T00:00:00"/>
    <n v="29"/>
    <m/>
    <s v="대학회계계약직"/>
    <x v="0"/>
    <n v="11"/>
    <x v="0"/>
    <x v="0"/>
    <n v="1"/>
    <n v="0"/>
    <x v="2"/>
    <n v="28"/>
    <n v="28"/>
    <x v="0"/>
    <n v="11.9"/>
    <x v="2"/>
    <x v="0"/>
    <x v="0"/>
    <s v=""/>
    <x v="0"/>
    <x v="0"/>
    <x v="0"/>
    <s v=""/>
    <x v="0"/>
    <s v=""/>
  </r>
  <r>
    <n v="900014"/>
    <x v="14"/>
    <x v="0"/>
    <n v="43"/>
    <x v="0"/>
    <x v="5"/>
    <x v="4"/>
    <s v="행정서기보"/>
    <s v="일반직"/>
    <s v="공무원"/>
    <x v="0"/>
    <s v="Y"/>
    <s v="N"/>
    <d v="2020-05-01T00:00:00"/>
    <d v="2020-05-01T00:00:00"/>
    <d v="2020-05-01T00:00:00"/>
    <d v="2020-05-01T00:00:00"/>
    <n v="9"/>
    <m/>
    <s v="9급"/>
    <x v="4"/>
    <n v="7"/>
    <x v="1"/>
    <x v="0"/>
    <n v="1"/>
    <n v="0"/>
    <x v="0"/>
    <n v="6"/>
    <n v="6"/>
    <x v="1"/>
    <n v="6.4"/>
    <x v="1"/>
    <x v="8"/>
    <x v="0"/>
    <s v=""/>
    <x v="0"/>
    <x v="0"/>
    <x v="0"/>
    <s v=""/>
    <x v="0"/>
    <s v=""/>
  </r>
  <r>
    <n v="900015"/>
    <x v="15"/>
    <x v="0"/>
    <n v="57"/>
    <x v="0"/>
    <x v="1"/>
    <x v="5"/>
    <s v="과학기술서기관"/>
    <s v="일반직"/>
    <s v="공무원"/>
    <x v="0"/>
    <s v="N"/>
    <s v="N"/>
    <d v="2001-02-01T00:00:00"/>
    <d v="2001-02-01T00:00:00"/>
    <d v="2012-02-01T00:00:00"/>
    <d v="2012-02-01T00:00:00"/>
    <n v="26"/>
    <m/>
    <s v="4급"/>
    <x v="5"/>
    <n v="1"/>
    <x v="1"/>
    <x v="0"/>
    <n v="1"/>
    <n v="0"/>
    <x v="2"/>
    <n v="25"/>
    <n v="25"/>
    <x v="0"/>
    <n v="14.6"/>
    <x v="2"/>
    <x v="9"/>
    <x v="0"/>
    <s v=""/>
    <x v="0"/>
    <x v="0"/>
    <x v="0"/>
    <s v=""/>
    <x v="0"/>
    <s v=""/>
  </r>
  <r>
    <n v="900016"/>
    <x v="16"/>
    <x v="0"/>
    <n v="26"/>
    <x v="0"/>
    <x v="9"/>
    <x v="0"/>
    <s v="행정주사보"/>
    <s v="일반직"/>
    <s v="공무원"/>
    <x v="0"/>
    <s v="N"/>
    <s v="N"/>
    <d v="2023-04-01T00:00:00"/>
    <d v="2023-04-01T00:00:00"/>
    <d v="2023-04-01T00:00:00"/>
    <d v="2023-04-01T00:00:00"/>
    <n v="4"/>
    <m/>
    <s v="7급"/>
    <x v="1"/>
    <n v="5"/>
    <x v="1"/>
    <x v="0"/>
    <n v="1"/>
    <n v="0"/>
    <x v="3"/>
    <n v="3"/>
    <n v="3"/>
    <x v="5"/>
    <n v="3.4"/>
    <x v="0"/>
    <x v="10"/>
    <x v="0"/>
    <s v=""/>
    <x v="0"/>
    <x v="0"/>
    <x v="0"/>
    <s v=""/>
    <x v="0"/>
    <s v=""/>
  </r>
  <r>
    <n v="900017"/>
    <x v="17"/>
    <x v="0"/>
    <n v="24"/>
    <x v="0"/>
    <x v="3"/>
    <x v="8"/>
    <s v="대학회계계약직(사무실무직)"/>
    <s v="대학회계계약직"/>
    <s v="비공무원"/>
    <x v="0"/>
    <s v="Y"/>
    <s v="N"/>
    <d v="2025-08-01T00:00:00"/>
    <d v="2025-08-01T00:00:00"/>
    <d v="2026-02-01T00:00:00"/>
    <d v="2026-02-01T00:00:00"/>
    <n v="1"/>
    <m/>
    <s v="대학회계계약직"/>
    <x v="0"/>
    <n v="11"/>
    <x v="0"/>
    <x v="0"/>
    <n v="1"/>
    <n v="0"/>
    <x v="3"/>
    <n v="1"/>
    <n v="1"/>
    <x v="5"/>
    <n v="0.6"/>
    <x v="0"/>
    <x v="0"/>
    <x v="0"/>
    <s v=""/>
    <x v="0"/>
    <x v="0"/>
    <x v="0"/>
    <s v=""/>
    <x v="0"/>
    <s v=""/>
  </r>
  <r>
    <n v="900018"/>
    <x v="18"/>
    <x v="0"/>
    <n v="25"/>
    <x v="1"/>
    <x v="10"/>
    <x v="9"/>
    <s v="사회복무요원"/>
    <s v="사회복무요원"/>
    <s v="비공무원"/>
    <x v="0"/>
    <s v="Y"/>
    <s v="N"/>
    <d v="2024-11-01T00:00:00"/>
    <d v="2024-11-01T00:00:00"/>
    <d v="2026-05-01T00:00:00"/>
    <d v="2026-05-01T00:00:00"/>
    <m/>
    <m/>
    <s v="사회복무요원"/>
    <x v="6"/>
    <n v="12"/>
    <x v="2"/>
    <x v="1"/>
    <n v="1"/>
    <n v="0"/>
    <x v="3"/>
    <n v="1"/>
    <n v="1"/>
    <x v="4"/>
    <n v="0.4"/>
    <x v="0"/>
    <x v="0"/>
    <x v="0"/>
    <s v=""/>
    <x v="0"/>
    <x v="0"/>
    <x v="0"/>
    <s v=""/>
    <x v="0"/>
    <s v=""/>
  </r>
  <r>
    <n v="900019"/>
    <x v="19"/>
    <x v="0"/>
    <n v="53"/>
    <x v="0"/>
    <x v="5"/>
    <x v="2"/>
    <s v="대학회계계약직(사무실무직)"/>
    <s v="대학회계계약직"/>
    <s v="비공무원"/>
    <x v="0"/>
    <s v="Y"/>
    <s v="N"/>
    <d v="2014-01-01T00:00:00"/>
    <d v="2014-01-01T00:00:00"/>
    <d v="2014-01-01T00:00:00"/>
    <d v="2014-01-01T00:00:00"/>
    <n v="12"/>
    <s v="휴직복직[20240317~99991231]"/>
    <s v="대학회계계약직"/>
    <x v="0"/>
    <n v="11"/>
    <x v="0"/>
    <x v="0"/>
    <n v="1"/>
    <n v="0"/>
    <x v="2"/>
    <n v="12"/>
    <n v="12"/>
    <x v="2"/>
    <n v="12.7"/>
    <x v="2"/>
    <x v="0"/>
    <x v="0"/>
    <s v=""/>
    <x v="0"/>
    <x v="0"/>
    <x v="0"/>
    <s v=""/>
    <x v="0"/>
    <s v=""/>
  </r>
  <r>
    <n v="900020"/>
    <x v="20"/>
    <x v="0"/>
    <n v="49"/>
    <x v="0"/>
    <x v="11"/>
    <x v="4"/>
    <s v="행정주사"/>
    <s v="일반직"/>
    <s v="공무원"/>
    <x v="0"/>
    <s v="Y"/>
    <s v="N"/>
    <d v="2002-12-01T00:00:00"/>
    <d v="2002-12-01T00:00:00"/>
    <d v="2025-04-01T00:00:00"/>
    <d v="2025-04-01T00:00:00"/>
    <n v="27"/>
    <m/>
    <s v="6급"/>
    <x v="3"/>
    <n v="4"/>
    <x v="1"/>
    <x v="0"/>
    <n v="1"/>
    <n v="0"/>
    <x v="0"/>
    <n v="23"/>
    <n v="23"/>
    <x v="0"/>
    <n v="1.4"/>
    <x v="0"/>
    <x v="11"/>
    <x v="0"/>
    <s v=""/>
    <x v="0"/>
    <x v="0"/>
    <x v="0"/>
    <s v=""/>
    <x v="0"/>
    <s v=""/>
  </r>
  <r>
    <n v="900021"/>
    <x v="21"/>
    <x v="0"/>
    <n v="46"/>
    <x v="1"/>
    <x v="8"/>
    <x v="9"/>
    <s v="사서사무관"/>
    <s v="일반직"/>
    <s v="공무원"/>
    <x v="1"/>
    <s v="Y"/>
    <s v="N"/>
    <d v="2002-12-01T00:00:00"/>
    <d v="2023-08-01T00:00:00"/>
    <d v="2023-08-01T00:00:00"/>
    <d v="2023-08-01T00:00:00"/>
    <n v="24"/>
    <m/>
    <s v="5급"/>
    <x v="7"/>
    <n v="3"/>
    <x v="1"/>
    <x v="0"/>
    <n v="1"/>
    <n v="0"/>
    <x v="0"/>
    <n v="3"/>
    <n v="23"/>
    <x v="0"/>
    <n v="3.1"/>
    <x v="0"/>
    <x v="6"/>
    <x v="1"/>
    <s v=""/>
    <x v="0"/>
    <x v="0"/>
    <x v="0"/>
    <s v=""/>
    <x v="0"/>
    <s v=""/>
  </r>
  <r>
    <n v="900022"/>
    <x v="22"/>
    <x v="0"/>
    <n v="56"/>
    <x v="0"/>
    <x v="1"/>
    <x v="0"/>
    <s v="서기관"/>
    <s v="일반직"/>
    <s v="공무원"/>
    <x v="0"/>
    <s v="Y"/>
    <s v="N"/>
    <d v="1996-10-01T00:00:00"/>
    <d v="1996-10-01T00:00:00"/>
    <d v="2017-11-01T00:00:00"/>
    <d v="2017-11-01T00:00:00"/>
    <n v="33"/>
    <s v="휴직복직[20240313~99991231]"/>
    <s v="4급"/>
    <x v="5"/>
    <n v="1"/>
    <x v="1"/>
    <x v="0"/>
    <n v="1"/>
    <n v="0"/>
    <x v="2"/>
    <n v="29"/>
    <n v="29"/>
    <x v="3"/>
    <n v="8.9"/>
    <x v="1"/>
    <x v="12"/>
    <x v="0"/>
    <s v=""/>
    <x v="0"/>
    <x v="0"/>
    <x v="0"/>
    <s v=""/>
    <x v="0"/>
    <s v=""/>
  </r>
  <r>
    <n v="900023"/>
    <x v="23"/>
    <x v="0"/>
    <n v="53"/>
    <x v="1"/>
    <x v="6"/>
    <x v="8"/>
    <s v="행정주사"/>
    <s v="일반직"/>
    <s v="공무원"/>
    <x v="0"/>
    <s v="Y"/>
    <s v="N"/>
    <d v="2012-07-01T00:00:00"/>
    <d v="2026-07-01T00:00:00"/>
    <d v="2026-07-01T00:00:00"/>
    <d v="2026-07-01T00:00:00"/>
    <m/>
    <m/>
    <s v="6급"/>
    <x v="3"/>
    <n v="4"/>
    <x v="1"/>
    <x v="0"/>
    <n v="1"/>
    <n v="0"/>
    <x v="2"/>
    <n v="0"/>
    <n v="14"/>
    <x v="4"/>
    <n v="0.2"/>
    <x v="0"/>
    <x v="2"/>
    <x v="0"/>
    <s v=""/>
    <x v="0"/>
    <x v="0"/>
    <x v="0"/>
    <s v=""/>
    <x v="0"/>
    <s v=""/>
  </r>
  <r>
    <n v="900024"/>
    <x v="24"/>
    <x v="0"/>
    <n v="36"/>
    <x v="1"/>
    <x v="3"/>
    <x v="10"/>
    <s v="사서주사보"/>
    <s v="일반직"/>
    <s v="공무원"/>
    <x v="0"/>
    <s v="N"/>
    <s v="N"/>
    <d v="2025-05-01T00:00:00"/>
    <d v="2025-05-01T00:00:00"/>
    <d v="2025-05-01T00:00:00"/>
    <d v="2025-05-01T00:00:00"/>
    <n v="3"/>
    <m/>
    <s v="7급"/>
    <x v="1"/>
    <n v="5"/>
    <x v="1"/>
    <x v="0"/>
    <n v="1"/>
    <n v="0"/>
    <x v="1"/>
    <n v="1"/>
    <n v="1"/>
    <x v="5"/>
    <n v="1.4"/>
    <x v="0"/>
    <x v="13"/>
    <x v="0"/>
    <s v=""/>
    <x v="0"/>
    <x v="0"/>
    <x v="0"/>
    <s v=""/>
    <x v="0"/>
    <s v=""/>
  </r>
  <r>
    <n v="900025"/>
    <x v="25"/>
    <x v="0"/>
    <n v="57"/>
    <x v="0"/>
    <x v="6"/>
    <x v="0"/>
    <s v="행정사무관"/>
    <s v="일반직"/>
    <s v="공무원"/>
    <x v="2"/>
    <s v="Y"/>
    <s v="N"/>
    <d v="1992-05-01T00:00:00"/>
    <d v="1992-05-01T00:00:00"/>
    <d v="2026-06-01T00:00:00"/>
    <d v="2026-06-01T00:00:00"/>
    <n v="35"/>
    <m/>
    <s v="5급"/>
    <x v="7"/>
    <n v="3"/>
    <x v="1"/>
    <x v="0"/>
    <n v="1"/>
    <n v="0"/>
    <x v="2"/>
    <n v="34"/>
    <n v="34"/>
    <x v="3"/>
    <n v="0.3"/>
    <x v="0"/>
    <x v="9"/>
    <x v="1"/>
    <s v=""/>
    <x v="0"/>
    <x v="0"/>
    <x v="0"/>
    <s v=""/>
    <x v="0"/>
    <s v=""/>
  </r>
  <r>
    <n v="900026"/>
    <x v="26"/>
    <x v="0"/>
    <n v="50"/>
    <x v="0"/>
    <x v="6"/>
    <x v="11"/>
    <s v="시설주사"/>
    <s v="일반직"/>
    <s v="공무원"/>
    <x v="0"/>
    <s v="N"/>
    <s v="N"/>
    <d v="1999-03-01T00:00:00"/>
    <d v="1999-03-01T00:00:00"/>
    <d v="2020-04-01T00:00:00"/>
    <d v="2020-04-01T00:00:00"/>
    <n v="27"/>
    <s v="휴직복직[20240314~99991231]"/>
    <s v="6급"/>
    <x v="3"/>
    <n v="4"/>
    <x v="1"/>
    <x v="0"/>
    <n v="1"/>
    <n v="0"/>
    <x v="2"/>
    <n v="27"/>
    <n v="27"/>
    <x v="0"/>
    <n v="6.4"/>
    <x v="1"/>
    <x v="14"/>
    <x v="0"/>
    <s v=""/>
    <x v="0"/>
    <x v="0"/>
    <x v="0"/>
    <s v=""/>
    <x v="0"/>
    <s v=""/>
  </r>
  <r>
    <n v="900027"/>
    <x v="27"/>
    <x v="0"/>
    <n v="24"/>
    <x v="1"/>
    <x v="10"/>
    <x v="10"/>
    <s v="행정서기보시보"/>
    <s v="일반직"/>
    <s v="공무원"/>
    <x v="0"/>
    <s v="N"/>
    <s v="N"/>
    <d v="2024-11-01T00:00:00"/>
    <d v="2024-11-01T00:00:00"/>
    <d v="2026-11-01T00:00:00"/>
    <d v="2026-11-01T00:00:00"/>
    <n v="4"/>
    <m/>
    <s v="9급"/>
    <x v="4"/>
    <n v="7"/>
    <x v="1"/>
    <x v="0"/>
    <n v="1"/>
    <n v="0"/>
    <x v="3"/>
    <n v="1"/>
    <n v="1"/>
    <x v="5"/>
    <n v="0.2"/>
    <x v="0"/>
    <x v="15"/>
    <x v="0"/>
    <s v=""/>
    <x v="0"/>
    <x v="0"/>
    <x v="0"/>
    <s v=""/>
    <x v="0"/>
    <s v=""/>
  </r>
  <r>
    <n v="900028"/>
    <x v="28"/>
    <x v="0"/>
    <n v="41"/>
    <x v="0"/>
    <x v="7"/>
    <x v="12"/>
    <s v="행정서기보"/>
    <s v="일반직"/>
    <s v="공무원"/>
    <x v="0"/>
    <s v="Y"/>
    <s v="N"/>
    <d v="2013-02-01T00:00:00"/>
    <d v="2013-02-01T00:00:00"/>
    <d v="2022-12-01T00:00:00"/>
    <d v="2022-12-01T00:00:00"/>
    <m/>
    <m/>
    <s v="9급"/>
    <x v="4"/>
    <n v="7"/>
    <x v="1"/>
    <x v="0"/>
    <n v="1"/>
    <n v="0"/>
    <x v="0"/>
    <n v="13"/>
    <n v="13"/>
    <x v="4"/>
    <n v="3.8"/>
    <x v="0"/>
    <x v="16"/>
    <x v="0"/>
    <s v=""/>
    <x v="0"/>
    <x v="0"/>
    <x v="0"/>
    <s v=""/>
    <x v="0"/>
    <s v=""/>
  </r>
  <r>
    <n v="900029"/>
    <x v="29"/>
    <x v="0"/>
    <n v="49"/>
    <x v="1"/>
    <x v="5"/>
    <x v="7"/>
    <s v="사서주사"/>
    <s v="일반직"/>
    <s v="공무원"/>
    <x v="0"/>
    <s v="N"/>
    <s v="N"/>
    <d v="2020-10-01T00:00:00"/>
    <d v="2020-10-01T00:00:00"/>
    <d v="2020-10-01T00:00:00"/>
    <d v="2020-10-01T00:00:00"/>
    <n v="6"/>
    <m/>
    <s v="6급"/>
    <x v="3"/>
    <n v="4"/>
    <x v="1"/>
    <x v="0"/>
    <n v="1"/>
    <n v="0"/>
    <x v="0"/>
    <n v="5"/>
    <n v="5"/>
    <x v="1"/>
    <n v="5.9"/>
    <x v="1"/>
    <x v="11"/>
    <x v="0"/>
    <s v=""/>
    <x v="0"/>
    <x v="0"/>
    <x v="0"/>
    <s v=""/>
    <x v="0"/>
    <s v=""/>
  </r>
  <r>
    <n v="900030"/>
    <x v="30"/>
    <x v="0"/>
    <n v="50"/>
    <x v="0"/>
    <x v="0"/>
    <x v="5"/>
    <s v="행정주사보"/>
    <s v="일반직"/>
    <s v="공무원"/>
    <x v="0"/>
    <s v="N"/>
    <s v="N"/>
    <d v="2012-09-01T00:00:00"/>
    <d v="2021-06-01T00:00:00"/>
    <d v="2021-06-01T00:00:00"/>
    <d v="2021-06-01T00:00:00"/>
    <n v="16"/>
    <m/>
    <s v="7급"/>
    <x v="1"/>
    <n v="5"/>
    <x v="1"/>
    <x v="0"/>
    <n v="1"/>
    <n v="0"/>
    <x v="2"/>
    <n v="5"/>
    <n v="14"/>
    <x v="2"/>
    <n v="5.3"/>
    <x v="1"/>
    <x v="14"/>
    <x v="0"/>
    <s v=""/>
    <x v="0"/>
    <x v="0"/>
    <x v="0"/>
    <s v=""/>
    <x v="0"/>
    <s v=""/>
  </r>
  <r>
    <n v="900031"/>
    <x v="31"/>
    <x v="0"/>
    <n v="24"/>
    <x v="1"/>
    <x v="1"/>
    <x v="13"/>
    <s v="행정인턴"/>
    <s v="인턴(수습)"/>
    <s v="비공무원"/>
    <x v="0"/>
    <s v="Y"/>
    <s v="N"/>
    <d v="2025-09-01T00:00:00"/>
    <d v="2025-09-01T00:00:00"/>
    <d v="2026-02-01T00:00:00"/>
    <d v="2026-02-01T00:00:00"/>
    <m/>
    <s v="휴직복직[20240210~99991231]"/>
    <s v="인턴"/>
    <x v="8"/>
    <n v="13"/>
    <x v="2"/>
    <x v="1"/>
    <n v="1"/>
    <n v="0"/>
    <x v="3"/>
    <n v="1"/>
    <n v="1"/>
    <x v="4"/>
    <n v="0.6"/>
    <x v="0"/>
    <x v="0"/>
    <x v="0"/>
    <s v=""/>
    <x v="0"/>
    <x v="0"/>
    <x v="0"/>
    <s v=""/>
    <x v="0"/>
    <s v=""/>
  </r>
  <r>
    <n v="900032"/>
    <x v="32"/>
    <x v="0"/>
    <n v="42"/>
    <x v="1"/>
    <x v="12"/>
    <x v="1"/>
    <s v="사서주사"/>
    <s v="일반직"/>
    <s v="공무원"/>
    <x v="0"/>
    <s v="N"/>
    <s v="N"/>
    <d v="2014-03-01T00:00:00"/>
    <d v="2014-03-01T00:00:00"/>
    <d v="2022-08-01T00:00:00"/>
    <d v="2022-08-01T00:00:00"/>
    <n v="15"/>
    <m/>
    <s v="6급"/>
    <x v="3"/>
    <n v="4"/>
    <x v="1"/>
    <x v="0"/>
    <n v="1"/>
    <n v="0"/>
    <x v="0"/>
    <n v="12"/>
    <n v="12"/>
    <x v="2"/>
    <n v="4.0999999999999996"/>
    <x v="0"/>
    <x v="17"/>
    <x v="0"/>
    <s v=""/>
    <x v="0"/>
    <x v="0"/>
    <x v="0"/>
    <s v=""/>
    <x v="0"/>
    <s v=""/>
  </r>
  <r>
    <n v="900033"/>
    <x v="33"/>
    <x v="0"/>
    <n v="51"/>
    <x v="0"/>
    <x v="9"/>
    <x v="12"/>
    <s v="행정사무관"/>
    <s v="일반직"/>
    <s v="공무원"/>
    <x v="0"/>
    <s v="Y"/>
    <s v="N"/>
    <d v="1998-12-01T00:00:00"/>
    <d v="1998-12-01T00:00:00"/>
    <d v="2014-03-01T00:00:00"/>
    <d v="2014-03-01T00:00:00"/>
    <n v="28"/>
    <m/>
    <s v="5급"/>
    <x v="7"/>
    <n v="3"/>
    <x v="1"/>
    <x v="0"/>
    <n v="1"/>
    <n v="0"/>
    <x v="2"/>
    <n v="27"/>
    <n v="27"/>
    <x v="0"/>
    <n v="12.5"/>
    <x v="2"/>
    <x v="4"/>
    <x v="0"/>
    <s v=""/>
    <x v="0"/>
    <x v="0"/>
    <x v="0"/>
    <s v=""/>
    <x v="0"/>
    <s v=""/>
  </r>
  <r>
    <n v="900034"/>
    <x v="34"/>
    <x v="0"/>
    <n v="42"/>
    <x v="1"/>
    <x v="5"/>
    <x v="13"/>
    <s v="사서서기"/>
    <s v="일반직"/>
    <s v="공무원"/>
    <x v="0"/>
    <s v="N"/>
    <s v="N"/>
    <d v="2009-05-01T00:00:00"/>
    <d v="2022-08-01T00:00:00"/>
    <d v="2022-08-01T00:00:00"/>
    <d v="2022-08-01T00:00:00"/>
    <n v="19"/>
    <m/>
    <s v="8급"/>
    <x v="9"/>
    <n v="6"/>
    <x v="1"/>
    <x v="0"/>
    <n v="1"/>
    <n v="0"/>
    <x v="0"/>
    <n v="4"/>
    <n v="17"/>
    <x v="2"/>
    <n v="4.0999999999999996"/>
    <x v="0"/>
    <x v="17"/>
    <x v="0"/>
    <s v=""/>
    <x v="0"/>
    <x v="0"/>
    <x v="0"/>
    <s v=""/>
    <x v="0"/>
    <s v=""/>
  </r>
  <r>
    <n v="900035"/>
    <x v="35"/>
    <x v="0"/>
    <n v="44"/>
    <x v="0"/>
    <x v="5"/>
    <x v="5"/>
    <s v="행정주사"/>
    <s v="일반직"/>
    <s v="공무원"/>
    <x v="0"/>
    <s v="Y"/>
    <s v="N"/>
    <d v="2015-07-01T00:00:00"/>
    <d v="2015-07-01T00:00:00"/>
    <d v="2021-05-01T00:00:00"/>
    <d v="2021-05-01T00:00:00"/>
    <n v="14"/>
    <m/>
    <s v="6급"/>
    <x v="3"/>
    <n v="4"/>
    <x v="1"/>
    <x v="0"/>
    <n v="1"/>
    <n v="0"/>
    <x v="0"/>
    <n v="11"/>
    <n v="11"/>
    <x v="2"/>
    <n v="5.4"/>
    <x v="1"/>
    <x v="7"/>
    <x v="0"/>
    <s v=""/>
    <x v="0"/>
    <x v="0"/>
    <x v="0"/>
    <s v=""/>
    <x v="0"/>
    <s v=""/>
  </r>
  <r>
    <n v="900036"/>
    <x v="36"/>
    <x v="0"/>
    <n v="28"/>
    <x v="0"/>
    <x v="0"/>
    <x v="14"/>
    <s v="행정서기"/>
    <s v="일반직"/>
    <s v="공무원"/>
    <x v="0"/>
    <s v="Y"/>
    <s v="N"/>
    <d v="2021-10-01T00:00:00"/>
    <d v="2021-10-01T00:00:00"/>
    <d v="2021-10-01T00:00:00"/>
    <d v="2021-10-01T00:00:00"/>
    <n v="5"/>
    <m/>
    <s v="8급"/>
    <x v="9"/>
    <n v="6"/>
    <x v="1"/>
    <x v="0"/>
    <n v="1"/>
    <n v="0"/>
    <x v="3"/>
    <n v="4"/>
    <n v="4"/>
    <x v="1"/>
    <n v="4.9000000000000004"/>
    <x v="0"/>
    <x v="18"/>
    <x v="0"/>
    <s v=""/>
    <x v="0"/>
    <x v="0"/>
    <x v="0"/>
    <s v=""/>
    <x v="0"/>
    <s v=""/>
  </r>
  <r>
    <n v="900037"/>
    <x v="37"/>
    <x v="0"/>
    <n v="38"/>
    <x v="0"/>
    <x v="4"/>
    <x v="4"/>
    <s v="대학회계계약직(사무실무직)"/>
    <s v="대학회계계약직"/>
    <s v="비공무원"/>
    <x v="0"/>
    <s v="Y"/>
    <s v="N"/>
    <d v="2020-02-01T00:00:00"/>
    <d v="2020-02-01T00:00:00"/>
    <d v="2023-06-01T00:00:00"/>
    <d v="2023-06-01T00:00:00"/>
    <n v="8"/>
    <s v="휴직복직[20250129~99991231]"/>
    <s v="대학회계계약직"/>
    <x v="0"/>
    <n v="11"/>
    <x v="0"/>
    <x v="0"/>
    <n v="1"/>
    <n v="0"/>
    <x v="1"/>
    <n v="6"/>
    <n v="6"/>
    <x v="1"/>
    <n v="3.3"/>
    <x v="0"/>
    <x v="0"/>
    <x v="0"/>
    <s v=""/>
    <x v="0"/>
    <x v="0"/>
    <x v="0"/>
    <s v=""/>
    <x v="0"/>
    <s v=""/>
  </r>
  <r>
    <n v="900038"/>
    <x v="38"/>
    <x v="0"/>
    <n v="26"/>
    <x v="0"/>
    <x v="2"/>
    <x v="3"/>
    <s v="사회복무요원"/>
    <s v="사회복무요원"/>
    <s v="비공무원"/>
    <x v="0"/>
    <s v="Y"/>
    <s v="N"/>
    <d v="2022-03-01T00:00:00"/>
    <d v="2026-11-01T00:00:00"/>
    <d v="2026-11-01T00:00:00"/>
    <d v="2026-11-01T00:00:00"/>
    <m/>
    <m/>
    <s v="사회복무요원"/>
    <x v="6"/>
    <n v="12"/>
    <x v="2"/>
    <x v="1"/>
    <n v="1"/>
    <n v="0"/>
    <x v="3"/>
    <e v="#NUM!"/>
    <n v="4"/>
    <x v="4"/>
    <n v="0.2"/>
    <x v="0"/>
    <x v="0"/>
    <x v="0"/>
    <s v=""/>
    <x v="0"/>
    <x v="0"/>
    <x v="0"/>
    <s v=""/>
    <x v="0"/>
    <s v=""/>
  </r>
  <r>
    <n v="900039"/>
    <x v="39"/>
    <x v="0"/>
    <n v="44"/>
    <x v="0"/>
    <x v="5"/>
    <x v="5"/>
    <s v="대학회계계약직(사무실무직)"/>
    <s v="대학회계계약직"/>
    <s v="비공무원"/>
    <x v="0"/>
    <s v="N"/>
    <s v="N"/>
    <d v="2004-08-01T00:00:00"/>
    <d v="2004-08-01T00:00:00"/>
    <d v="2024-07-01T00:00:00"/>
    <d v="2024-07-01T00:00:00"/>
    <n v="23"/>
    <m/>
    <s v="대학회계계약직"/>
    <x v="0"/>
    <n v="11"/>
    <x v="0"/>
    <x v="0"/>
    <n v="1"/>
    <n v="0"/>
    <x v="0"/>
    <n v="22"/>
    <n v="22"/>
    <x v="0"/>
    <n v="2.2000000000000002"/>
    <x v="0"/>
    <x v="0"/>
    <x v="0"/>
    <s v=""/>
    <x v="0"/>
    <x v="0"/>
    <x v="0"/>
    <s v=""/>
    <x v="0"/>
    <s v=""/>
  </r>
  <r>
    <n v="900040"/>
    <x v="40"/>
    <x v="0"/>
    <n v="41"/>
    <x v="1"/>
    <x v="7"/>
    <x v="11"/>
    <s v="사서주사"/>
    <s v="일반직"/>
    <s v="공무원"/>
    <x v="0"/>
    <s v="Y"/>
    <s v="N"/>
    <d v="2021-04-01T00:00:00"/>
    <d v="2024-10-01T00:00:00"/>
    <d v="2024-10-01T00:00:00"/>
    <d v="2024-10-01T00:00:00"/>
    <n v="8"/>
    <m/>
    <s v="6급"/>
    <x v="3"/>
    <n v="4"/>
    <x v="1"/>
    <x v="0"/>
    <n v="1"/>
    <n v="0"/>
    <x v="0"/>
    <n v="1"/>
    <n v="5"/>
    <x v="1"/>
    <n v="1.9"/>
    <x v="0"/>
    <x v="16"/>
    <x v="0"/>
    <s v=""/>
    <x v="0"/>
    <x v="0"/>
    <x v="0"/>
    <s v=""/>
    <x v="0"/>
    <s v=""/>
  </r>
  <r>
    <n v="900041"/>
    <x v="41"/>
    <x v="0"/>
    <n v="59"/>
    <x v="1"/>
    <x v="10"/>
    <x v="4"/>
    <s v="서기관"/>
    <s v="일반직"/>
    <s v="공무원"/>
    <x v="0"/>
    <s v="Y"/>
    <s v="N"/>
    <d v="2004-04-01T00:00:00"/>
    <d v="2004-04-01T00:00:00"/>
    <d v="2025-07-01T00:00:00"/>
    <d v="2025-07-01T00:00:00"/>
    <n v="25"/>
    <m/>
    <s v="4급"/>
    <x v="5"/>
    <n v="1"/>
    <x v="1"/>
    <x v="0"/>
    <n v="1"/>
    <n v="0"/>
    <x v="2"/>
    <n v="22"/>
    <n v="22"/>
    <x v="0"/>
    <n v="1.2"/>
    <x v="0"/>
    <x v="19"/>
    <x v="0"/>
    <s v=""/>
    <x v="0"/>
    <x v="0"/>
    <x v="0"/>
    <s v=""/>
    <x v="0"/>
    <s v=""/>
  </r>
  <r>
    <n v="900042"/>
    <x v="42"/>
    <x v="0"/>
    <n v="46"/>
    <x v="1"/>
    <x v="4"/>
    <x v="9"/>
    <s v="전산주사"/>
    <s v="일반직"/>
    <s v="공무원"/>
    <x v="0"/>
    <s v="Y"/>
    <s v="N"/>
    <d v="2014-04-01T00:00:00"/>
    <d v="2021-05-01T00:00:00"/>
    <d v="2021-05-01T00:00:00"/>
    <d v="2021-05-01T00:00:00"/>
    <n v="13"/>
    <m/>
    <s v="6급"/>
    <x v="3"/>
    <n v="4"/>
    <x v="1"/>
    <x v="0"/>
    <n v="1"/>
    <n v="0"/>
    <x v="0"/>
    <n v="5"/>
    <n v="12"/>
    <x v="2"/>
    <n v="5.4"/>
    <x v="1"/>
    <x v="6"/>
    <x v="0"/>
    <s v=""/>
    <x v="0"/>
    <x v="0"/>
    <x v="0"/>
    <s v=""/>
    <x v="0"/>
    <s v=""/>
  </r>
  <r>
    <n v="900043"/>
    <x v="43"/>
    <x v="0"/>
    <n v="27"/>
    <x v="1"/>
    <x v="10"/>
    <x v="10"/>
    <s v="행정주사보"/>
    <s v="일반직"/>
    <s v="공무원"/>
    <x v="0"/>
    <s v="Y"/>
    <s v="N"/>
    <d v="2024-12-01T00:00:00"/>
    <d v="2026-04-01T00:00:00"/>
    <d v="2026-04-01T00:00:00"/>
    <d v="2026-04-01T00:00:00"/>
    <n v="5"/>
    <m/>
    <s v="7급"/>
    <x v="1"/>
    <n v="5"/>
    <x v="1"/>
    <x v="0"/>
    <n v="1"/>
    <n v="0"/>
    <x v="3"/>
    <n v="0"/>
    <n v="1"/>
    <x v="1"/>
    <n v="0.4"/>
    <x v="0"/>
    <x v="20"/>
    <x v="0"/>
    <s v=""/>
    <x v="0"/>
    <x v="0"/>
    <x v="0"/>
    <s v=""/>
    <x v="0"/>
    <s v=""/>
  </r>
  <r>
    <n v="900044"/>
    <x v="44"/>
    <x v="0"/>
    <n v="37"/>
    <x v="0"/>
    <x v="3"/>
    <x v="0"/>
    <s v="공업서기"/>
    <s v="일반직"/>
    <s v="공무원"/>
    <x v="0"/>
    <s v="Y"/>
    <s v="N"/>
    <d v="2022-10-01T00:00:00"/>
    <d v="2022-10-01T00:00:00"/>
    <d v="2022-10-01T00:00:00"/>
    <d v="2022-10-01T00:00:00"/>
    <n v="7"/>
    <m/>
    <s v="8급"/>
    <x v="9"/>
    <n v="6"/>
    <x v="1"/>
    <x v="0"/>
    <n v="1"/>
    <n v="0"/>
    <x v="1"/>
    <n v="3"/>
    <n v="3"/>
    <x v="1"/>
    <n v="3.9"/>
    <x v="0"/>
    <x v="21"/>
    <x v="0"/>
    <s v=""/>
    <x v="0"/>
    <x v="0"/>
    <x v="0"/>
    <s v=""/>
    <x v="0"/>
    <s v=""/>
  </r>
  <r>
    <n v="900045"/>
    <x v="45"/>
    <x v="0"/>
    <n v="32"/>
    <x v="1"/>
    <x v="12"/>
    <x v="4"/>
    <s v="행정주사보"/>
    <s v="일반직"/>
    <s v="공무원"/>
    <x v="0"/>
    <s v="Y"/>
    <s v="N"/>
    <d v="2021-07-01T00:00:00"/>
    <d v="2021-07-01T00:00:00"/>
    <d v="2021-07-01T00:00:00"/>
    <d v="2021-07-01T00:00:00"/>
    <n v="5"/>
    <m/>
    <s v="7급"/>
    <x v="1"/>
    <n v="5"/>
    <x v="1"/>
    <x v="0"/>
    <n v="1"/>
    <n v="0"/>
    <x v="1"/>
    <n v="5"/>
    <n v="5"/>
    <x v="1"/>
    <n v="5.2"/>
    <x v="1"/>
    <x v="22"/>
    <x v="0"/>
    <s v=""/>
    <x v="0"/>
    <x v="0"/>
    <x v="0"/>
    <s v=""/>
    <x v="0"/>
    <s v=""/>
  </r>
  <r>
    <n v="900046"/>
    <x v="46"/>
    <x v="0"/>
    <n v="28"/>
    <x v="0"/>
    <x v="13"/>
    <x v="12"/>
    <s v="행정주사보"/>
    <s v="일반직"/>
    <s v="공무원"/>
    <x v="0"/>
    <s v="Y"/>
    <s v="N"/>
    <d v="2025-12-01T00:00:00"/>
    <d v="2022-10-01T00:00:00"/>
    <d v="2022-10-01T00:00:00"/>
    <d v="2022-10-01T00:00:00"/>
    <n v="4"/>
    <m/>
    <s v="7급"/>
    <x v="1"/>
    <n v="5"/>
    <x v="1"/>
    <x v="0"/>
    <n v="1"/>
    <n v="0"/>
    <x v="3"/>
    <n v="3"/>
    <n v="0"/>
    <x v="5"/>
    <n v="3.9"/>
    <x v="0"/>
    <x v="18"/>
    <x v="0"/>
    <s v=""/>
    <x v="0"/>
    <x v="0"/>
    <x v="0"/>
    <s v=""/>
    <x v="0"/>
    <s v=""/>
  </r>
  <r>
    <n v="900047"/>
    <x v="47"/>
    <x v="0"/>
    <n v="31"/>
    <x v="1"/>
    <x v="0"/>
    <x v="12"/>
    <s v="대학회계직7급(사무원)"/>
    <s v="대학회계직"/>
    <s v="비공무원"/>
    <x v="0"/>
    <s v="Y"/>
    <s v="N"/>
    <d v="2018-02-01T00:00:00"/>
    <d v="2025-02-01T00:00:00"/>
    <d v="2025-02-01T00:00:00"/>
    <d v="2025-02-01T00:00:00"/>
    <n v="11"/>
    <m/>
    <s v="대학회계직"/>
    <x v="10"/>
    <n v="10"/>
    <x v="3"/>
    <x v="0"/>
    <n v="1"/>
    <n v="0"/>
    <x v="1"/>
    <n v="1"/>
    <n v="8"/>
    <x v="2"/>
    <n v="1.6"/>
    <x v="0"/>
    <x v="0"/>
    <x v="0"/>
    <s v=""/>
    <x v="0"/>
    <x v="0"/>
    <x v="0"/>
    <s v=""/>
    <x v="0"/>
    <s v=""/>
  </r>
  <r>
    <n v="900048"/>
    <x v="48"/>
    <x v="0"/>
    <n v="23"/>
    <x v="1"/>
    <x v="8"/>
    <x v="12"/>
    <s v="행정인턴"/>
    <s v="인턴(수습)"/>
    <s v="비공무원"/>
    <x v="0"/>
    <s v="Y"/>
    <s v="N"/>
    <d v="2026-02-01T00:00:00"/>
    <d v="2026-02-01T00:00:00"/>
    <d v="2026-02-01T00:00:00"/>
    <d v="2026-02-01T00:00:00"/>
    <m/>
    <m/>
    <s v="인턴"/>
    <x v="8"/>
    <n v="13"/>
    <x v="2"/>
    <x v="1"/>
    <n v="1"/>
    <n v="0"/>
    <x v="3"/>
    <n v="0"/>
    <n v="0"/>
    <x v="4"/>
    <n v="0.6"/>
    <x v="0"/>
    <x v="0"/>
    <x v="0"/>
    <s v=""/>
    <x v="0"/>
    <x v="0"/>
    <x v="0"/>
    <s v=""/>
    <x v="0"/>
    <s v=""/>
  </r>
  <r>
    <n v="900049"/>
    <x v="49"/>
    <x v="0"/>
    <n v="48"/>
    <x v="0"/>
    <x v="5"/>
    <x v="2"/>
    <s v="행정서기"/>
    <s v="일반직"/>
    <s v="공무원"/>
    <x v="0"/>
    <s v="Y"/>
    <s v="N"/>
    <d v="2004-11-01T00:00:00"/>
    <d v="2004-11-01T00:00:00"/>
    <d v="2022-12-01T00:00:00"/>
    <d v="2022-12-01T00:00:00"/>
    <n v="24"/>
    <s v="휴직복직[20230511~99991231]"/>
    <s v="8급"/>
    <x v="9"/>
    <n v="6"/>
    <x v="1"/>
    <x v="0"/>
    <n v="1"/>
    <n v="0"/>
    <x v="0"/>
    <n v="21"/>
    <n v="21"/>
    <x v="0"/>
    <n v="3.8"/>
    <x v="0"/>
    <x v="23"/>
    <x v="0"/>
    <s v=""/>
    <x v="0"/>
    <x v="0"/>
    <x v="0"/>
    <s v=""/>
    <x v="0"/>
    <s v=""/>
  </r>
  <r>
    <n v="900050"/>
    <x v="50"/>
    <x v="0"/>
    <n v="48"/>
    <x v="1"/>
    <x v="13"/>
    <x v="2"/>
    <s v="공업사무관"/>
    <s v="일반직"/>
    <s v="공무원"/>
    <x v="3"/>
    <s v="Y"/>
    <s v="N"/>
    <d v="2023-06-01T00:00:00"/>
    <d v="2023-06-01T00:00:00"/>
    <d v="2025-04-01T00:00:00"/>
    <d v="2025-04-01T00:00:00"/>
    <n v="3"/>
    <m/>
    <s v="5급"/>
    <x v="7"/>
    <n v="3"/>
    <x v="1"/>
    <x v="0"/>
    <n v="1"/>
    <n v="0"/>
    <x v="0"/>
    <n v="3"/>
    <n v="3"/>
    <x v="5"/>
    <n v="1.4"/>
    <x v="0"/>
    <x v="23"/>
    <x v="1"/>
    <s v=""/>
    <x v="0"/>
    <x v="0"/>
    <x v="0"/>
    <s v=""/>
    <x v="0"/>
    <s v=""/>
  </r>
  <r>
    <n v="900051"/>
    <x v="51"/>
    <x v="0"/>
    <n v="48"/>
    <x v="0"/>
    <x v="13"/>
    <x v="8"/>
    <s v="대학회계계약직(사무실무직)"/>
    <s v="대학회계계약직"/>
    <s v="비공무원"/>
    <x v="0"/>
    <s v="N"/>
    <s v="N"/>
    <d v="2016-01-01T00:00:00"/>
    <d v="2016-01-01T00:00:00"/>
    <d v="2026-02-01T00:00:00"/>
    <d v="2026-02-01T00:00:00"/>
    <n v="12"/>
    <m/>
    <s v="대학회계계약직"/>
    <x v="0"/>
    <n v="11"/>
    <x v="0"/>
    <x v="0"/>
    <n v="1"/>
    <n v="0"/>
    <x v="0"/>
    <n v="10"/>
    <n v="10"/>
    <x v="2"/>
    <n v="0.6"/>
    <x v="0"/>
    <x v="0"/>
    <x v="0"/>
    <s v=""/>
    <x v="0"/>
    <x v="0"/>
    <x v="0"/>
    <s v=""/>
    <x v="0"/>
    <s v=""/>
  </r>
  <r>
    <n v="900052"/>
    <x v="52"/>
    <x v="1"/>
    <n v="41"/>
    <x v="0"/>
    <x v="14"/>
    <x v="12"/>
    <s v="사서서기"/>
    <s v="일반직"/>
    <s v="공무원"/>
    <x v="0"/>
    <s v="Y"/>
    <s v="N"/>
    <d v="2022-11-01T00:00:00"/>
    <d v="2022-11-01T00:00:00"/>
    <d v="2026-01-01T00:00:00"/>
    <d v="2026-01-01T00:00:00"/>
    <n v="5"/>
    <s v="휴직복직[20240419~99991231], 휴직복직[20250614~99991231], 육아휴직[20260522~20270522]"/>
    <s v="8급"/>
    <x v="9"/>
    <n v="6"/>
    <x v="1"/>
    <x v="0"/>
    <n v="1"/>
    <n v="1"/>
    <x v="0"/>
    <n v="3"/>
    <n v="3"/>
    <x v="1"/>
    <n v="0.7"/>
    <x v="0"/>
    <x v="16"/>
    <x v="0"/>
    <d v="2026-05-22T00:00:00"/>
    <x v="1"/>
    <x v="1"/>
    <x v="1"/>
    <n v="257"/>
    <x v="1"/>
    <s v=""/>
  </r>
  <r>
    <n v="900053"/>
    <x v="53"/>
    <x v="0"/>
    <n v="26"/>
    <x v="0"/>
    <x v="7"/>
    <x v="8"/>
    <s v="대학회계직7급(사무원)"/>
    <s v="대학회계직"/>
    <s v="비공무원"/>
    <x v="0"/>
    <s v="Y"/>
    <s v="N"/>
    <d v="2025-04-01T00:00:00"/>
    <d v="2025-06-01T00:00:00"/>
    <d v="2025-06-01T00:00:00"/>
    <d v="2025-06-01T00:00:00"/>
    <n v="1"/>
    <m/>
    <s v="대학회계직"/>
    <x v="10"/>
    <n v="10"/>
    <x v="3"/>
    <x v="0"/>
    <n v="1"/>
    <n v="0"/>
    <x v="3"/>
    <n v="1"/>
    <n v="1"/>
    <x v="5"/>
    <n v="1.3"/>
    <x v="0"/>
    <x v="0"/>
    <x v="0"/>
    <s v=""/>
    <x v="0"/>
    <x v="0"/>
    <x v="0"/>
    <s v=""/>
    <x v="0"/>
    <s v=""/>
  </r>
  <r>
    <n v="900054"/>
    <x v="54"/>
    <x v="1"/>
    <n v="52"/>
    <x v="0"/>
    <x v="12"/>
    <x v="13"/>
    <s v="행정주사"/>
    <s v="일반직"/>
    <s v="공무원"/>
    <x v="0"/>
    <s v="Y"/>
    <s v="N"/>
    <d v="2013-10-01T00:00:00"/>
    <d v="2025-01-01T00:00:00"/>
    <d v="2025-01-01T00:00:00"/>
    <d v="2025-01-01T00:00:00"/>
    <m/>
    <s v="휴직복직[20230609~99991231], 육아휴직[20260517~20270517]"/>
    <s v="6급"/>
    <x v="3"/>
    <n v="4"/>
    <x v="1"/>
    <x v="0"/>
    <n v="1"/>
    <n v="1"/>
    <x v="2"/>
    <n v="1"/>
    <n v="12"/>
    <x v="4"/>
    <n v="1.7"/>
    <x v="0"/>
    <x v="24"/>
    <x v="0"/>
    <d v="2026-05-17T00:00:00"/>
    <x v="1"/>
    <x v="2"/>
    <x v="1"/>
    <n v="252"/>
    <x v="1"/>
    <s v=""/>
  </r>
  <r>
    <n v="900055"/>
    <x v="55"/>
    <x v="0"/>
    <n v="45"/>
    <x v="0"/>
    <x v="4"/>
    <x v="12"/>
    <s v="행정주사"/>
    <s v="일반직"/>
    <s v="공무원"/>
    <x v="0"/>
    <s v="Y"/>
    <s v="N"/>
    <d v="2024-05-01T00:00:00"/>
    <d v="2024-05-01T00:00:00"/>
    <d v="2024-05-01T00:00:00"/>
    <d v="2024-05-01T00:00:00"/>
    <n v="4"/>
    <m/>
    <s v="6급"/>
    <x v="3"/>
    <n v="4"/>
    <x v="1"/>
    <x v="0"/>
    <n v="1"/>
    <n v="0"/>
    <x v="0"/>
    <n v="2"/>
    <n v="2"/>
    <x v="5"/>
    <n v="2.4"/>
    <x v="0"/>
    <x v="1"/>
    <x v="0"/>
    <s v=""/>
    <x v="0"/>
    <x v="0"/>
    <x v="0"/>
    <s v=""/>
    <x v="0"/>
    <s v=""/>
  </r>
  <r>
    <n v="900056"/>
    <x v="56"/>
    <x v="0"/>
    <n v="51"/>
    <x v="1"/>
    <x v="3"/>
    <x v="14"/>
    <s v="행정주사"/>
    <s v="일반직"/>
    <s v="공무원"/>
    <x v="0"/>
    <s v="N"/>
    <s v="N"/>
    <d v="2013-01-01T00:00:00"/>
    <d v="2013-01-01T00:00:00"/>
    <d v="2013-05-01T00:00:00"/>
    <d v="2013-05-01T00:00:00"/>
    <n v="13"/>
    <s v="휴직복직[20240824~99991231]"/>
    <s v="6급"/>
    <x v="3"/>
    <n v="4"/>
    <x v="1"/>
    <x v="0"/>
    <n v="1"/>
    <n v="0"/>
    <x v="2"/>
    <n v="13"/>
    <n v="13"/>
    <x v="2"/>
    <n v="13.4"/>
    <x v="2"/>
    <x v="4"/>
    <x v="0"/>
    <s v=""/>
    <x v="0"/>
    <x v="0"/>
    <x v="0"/>
    <s v=""/>
    <x v="0"/>
    <s v=""/>
  </r>
  <r>
    <n v="900057"/>
    <x v="57"/>
    <x v="1"/>
    <n v="43"/>
    <x v="1"/>
    <x v="5"/>
    <x v="1"/>
    <s v="대학회계계약직(기술실무직)"/>
    <s v="대학회계계약직"/>
    <s v="비공무원"/>
    <x v="0"/>
    <s v="N"/>
    <s v="N"/>
    <d v="2023-03-01T00:00:00"/>
    <d v="2023-03-01T00:00:00"/>
    <d v="2025-03-01T00:00:00"/>
    <d v="2025-03-01T00:00:00"/>
    <n v="5"/>
    <s v="휴직복직[20240512~99991231], 연수휴직[20260819~20270819]"/>
    <s v="대학회계계약직"/>
    <x v="0"/>
    <n v="11"/>
    <x v="0"/>
    <x v="0"/>
    <n v="1"/>
    <n v="1"/>
    <x v="0"/>
    <n v="3"/>
    <n v="3"/>
    <x v="1"/>
    <n v="1.5"/>
    <x v="0"/>
    <x v="0"/>
    <x v="0"/>
    <d v="2026-08-19T00:00:00"/>
    <x v="2"/>
    <x v="3"/>
    <x v="2"/>
    <n v="346"/>
    <x v="1"/>
    <s v=""/>
  </r>
  <r>
    <n v="900058"/>
    <x v="58"/>
    <x v="0"/>
    <n v="36"/>
    <x v="1"/>
    <x v="5"/>
    <x v="3"/>
    <s v="행정주사보"/>
    <s v="일반직"/>
    <s v="공무원"/>
    <x v="0"/>
    <s v="Y"/>
    <s v="N"/>
    <d v="2020-02-01T00:00:00"/>
    <d v="2020-02-01T00:00:00"/>
    <d v="2024-05-01T00:00:00"/>
    <d v="2024-05-01T00:00:00"/>
    <n v="6"/>
    <m/>
    <s v="7급"/>
    <x v="1"/>
    <n v="5"/>
    <x v="1"/>
    <x v="0"/>
    <n v="1"/>
    <n v="0"/>
    <x v="1"/>
    <n v="6"/>
    <n v="6"/>
    <x v="1"/>
    <n v="2.4"/>
    <x v="0"/>
    <x v="13"/>
    <x v="0"/>
    <s v=""/>
    <x v="0"/>
    <x v="0"/>
    <x v="0"/>
    <s v=""/>
    <x v="0"/>
    <s v=""/>
  </r>
  <r>
    <n v="900059"/>
    <x v="59"/>
    <x v="0"/>
    <n v="51"/>
    <x v="0"/>
    <x v="0"/>
    <x v="2"/>
    <s v="행정사무관"/>
    <s v="일반직"/>
    <s v="공무원"/>
    <x v="0"/>
    <s v="Y"/>
    <s v="N"/>
    <d v="2000-05-01T00:00:00"/>
    <d v="2000-05-01T00:00:00"/>
    <d v="2020-06-01T00:00:00"/>
    <d v="2020-06-01T00:00:00"/>
    <n v="28"/>
    <m/>
    <s v="5급"/>
    <x v="7"/>
    <n v="3"/>
    <x v="1"/>
    <x v="0"/>
    <n v="1"/>
    <n v="0"/>
    <x v="2"/>
    <n v="26"/>
    <n v="26"/>
    <x v="0"/>
    <n v="6.3"/>
    <x v="1"/>
    <x v="4"/>
    <x v="0"/>
    <s v=""/>
    <x v="0"/>
    <x v="0"/>
    <x v="0"/>
    <s v=""/>
    <x v="0"/>
    <s v=""/>
  </r>
  <r>
    <n v="900060"/>
    <x v="60"/>
    <x v="0"/>
    <n v="50"/>
    <x v="1"/>
    <x v="0"/>
    <x v="6"/>
    <s v="행정사무관"/>
    <s v="일반직"/>
    <s v="공무원"/>
    <x v="0"/>
    <s v="Y"/>
    <s v="N"/>
    <d v="2020-04-01T00:00:00"/>
    <d v="2020-04-01T00:00:00"/>
    <d v="2020-04-01T00:00:00"/>
    <d v="2020-04-01T00:00:00"/>
    <n v="6"/>
    <m/>
    <s v="5급"/>
    <x v="7"/>
    <n v="3"/>
    <x v="1"/>
    <x v="0"/>
    <n v="1"/>
    <n v="0"/>
    <x v="2"/>
    <n v="6"/>
    <n v="6"/>
    <x v="1"/>
    <n v="6.4"/>
    <x v="1"/>
    <x v="14"/>
    <x v="0"/>
    <s v=""/>
    <x v="0"/>
    <x v="0"/>
    <x v="0"/>
    <s v=""/>
    <x v="0"/>
    <s v=""/>
  </r>
  <r>
    <n v="900061"/>
    <x v="61"/>
    <x v="0"/>
    <n v="36"/>
    <x v="1"/>
    <x v="10"/>
    <x v="3"/>
    <s v="행정주사"/>
    <s v="일반직"/>
    <s v="공무원"/>
    <x v="0"/>
    <s v="Y"/>
    <s v="N"/>
    <d v="2014-03-01T00:00:00"/>
    <d v="2025-01-01T00:00:00"/>
    <d v="2025-01-01T00:00:00"/>
    <d v="2025-01-01T00:00:00"/>
    <m/>
    <m/>
    <s v="6급"/>
    <x v="3"/>
    <n v="4"/>
    <x v="1"/>
    <x v="0"/>
    <n v="1"/>
    <n v="0"/>
    <x v="1"/>
    <n v="1"/>
    <n v="12"/>
    <x v="4"/>
    <n v="1.7"/>
    <x v="0"/>
    <x v="13"/>
    <x v="0"/>
    <s v=""/>
    <x v="0"/>
    <x v="0"/>
    <x v="0"/>
    <s v=""/>
    <x v="0"/>
    <s v=""/>
  </r>
  <r>
    <n v="900062"/>
    <x v="62"/>
    <x v="0"/>
    <n v="24"/>
    <x v="0"/>
    <x v="5"/>
    <x v="8"/>
    <s v="행정인턴"/>
    <s v="인턴(수습)"/>
    <s v="비공무원"/>
    <x v="0"/>
    <s v="Y"/>
    <s v="N"/>
    <d v="2024-05-01T00:00:00"/>
    <d v="2023-06-01T00:00:00"/>
    <d v="2023-06-01T00:00:00"/>
    <d v="2023-06-01T00:00:00"/>
    <m/>
    <m/>
    <s v="인턴"/>
    <x v="8"/>
    <n v="13"/>
    <x v="2"/>
    <x v="1"/>
    <n v="1"/>
    <n v="0"/>
    <x v="3"/>
    <n v="3"/>
    <n v="2"/>
    <x v="4"/>
    <n v="3.3"/>
    <x v="0"/>
    <x v="0"/>
    <x v="0"/>
    <s v=""/>
    <x v="0"/>
    <x v="0"/>
    <x v="0"/>
    <s v=""/>
    <x v="0"/>
    <s v=""/>
  </r>
  <r>
    <n v="900063"/>
    <x v="63"/>
    <x v="0"/>
    <n v="28"/>
    <x v="1"/>
    <x v="1"/>
    <x v="5"/>
    <s v="대학회계직6급(사무원)"/>
    <s v="대학회계직"/>
    <s v="비공무원"/>
    <x v="0"/>
    <s v="N"/>
    <s v="N"/>
    <d v="2020-06-01T00:00:00"/>
    <d v="2020-06-01T00:00:00"/>
    <d v="2020-06-01T00:00:00"/>
    <d v="2020-06-01T00:00:00"/>
    <n v="9"/>
    <m/>
    <s v="대학회계직"/>
    <x v="10"/>
    <n v="10"/>
    <x v="3"/>
    <x v="0"/>
    <n v="1"/>
    <n v="0"/>
    <x v="3"/>
    <n v="6"/>
    <n v="6"/>
    <x v="1"/>
    <n v="6.3"/>
    <x v="1"/>
    <x v="0"/>
    <x v="0"/>
    <s v=""/>
    <x v="0"/>
    <x v="0"/>
    <x v="0"/>
    <s v=""/>
    <x v="0"/>
    <s v=""/>
  </r>
  <r>
    <n v="900064"/>
    <x v="64"/>
    <x v="0"/>
    <n v="47"/>
    <x v="0"/>
    <x v="13"/>
    <x v="12"/>
    <s v="사서주사"/>
    <s v="일반직"/>
    <s v="공무원"/>
    <x v="0"/>
    <s v="N"/>
    <s v="N"/>
    <d v="2007-03-01T00:00:00"/>
    <d v="2007-03-01T00:00:00"/>
    <d v="2022-03-01T00:00:00"/>
    <d v="2022-03-01T00:00:00"/>
    <n v="19"/>
    <m/>
    <s v="6급"/>
    <x v="3"/>
    <n v="4"/>
    <x v="1"/>
    <x v="0"/>
    <n v="1"/>
    <n v="0"/>
    <x v="0"/>
    <n v="19"/>
    <n v="19"/>
    <x v="2"/>
    <n v="4.5"/>
    <x v="0"/>
    <x v="25"/>
    <x v="0"/>
    <s v=""/>
    <x v="0"/>
    <x v="0"/>
    <x v="0"/>
    <s v=""/>
    <x v="0"/>
    <s v=""/>
  </r>
  <r>
    <n v="900065"/>
    <x v="65"/>
    <x v="0"/>
    <n v="26"/>
    <x v="0"/>
    <x v="11"/>
    <x v="13"/>
    <s v="대학회계계약직(사무실무직)"/>
    <s v="대학회계계약직"/>
    <s v="비공무원"/>
    <x v="0"/>
    <s v="N"/>
    <s v="N"/>
    <d v="2024-03-01T00:00:00"/>
    <d v="2024-03-01T00:00:00"/>
    <d v="2024-03-01T00:00:00"/>
    <d v="2024-03-01T00:00:00"/>
    <n v="5"/>
    <m/>
    <s v="대학회계계약직"/>
    <x v="0"/>
    <n v="11"/>
    <x v="0"/>
    <x v="0"/>
    <n v="1"/>
    <n v="0"/>
    <x v="3"/>
    <n v="2"/>
    <n v="2"/>
    <x v="1"/>
    <n v="2.5"/>
    <x v="0"/>
    <x v="0"/>
    <x v="0"/>
    <s v=""/>
    <x v="0"/>
    <x v="0"/>
    <x v="0"/>
    <s v=""/>
    <x v="0"/>
    <s v=""/>
  </r>
  <r>
    <n v="900066"/>
    <x v="66"/>
    <x v="0"/>
    <n v="28"/>
    <x v="0"/>
    <x v="12"/>
    <x v="4"/>
    <s v="행정주사보"/>
    <s v="일반직"/>
    <s v="공무원"/>
    <x v="0"/>
    <s v="Y"/>
    <s v="N"/>
    <d v="2021-05-01T00:00:00"/>
    <d v="2021-05-01T00:00:00"/>
    <d v="2023-08-01T00:00:00"/>
    <d v="2023-08-01T00:00:00"/>
    <n v="5"/>
    <s v="휴직복직[20250326~99991231]"/>
    <s v="7급"/>
    <x v="1"/>
    <n v="5"/>
    <x v="1"/>
    <x v="0"/>
    <n v="1"/>
    <n v="0"/>
    <x v="3"/>
    <n v="5"/>
    <n v="5"/>
    <x v="1"/>
    <n v="3.1"/>
    <x v="0"/>
    <x v="18"/>
    <x v="0"/>
    <s v=""/>
    <x v="0"/>
    <x v="0"/>
    <x v="0"/>
    <s v=""/>
    <x v="0"/>
    <s v=""/>
  </r>
  <r>
    <n v="900067"/>
    <x v="67"/>
    <x v="0"/>
    <n v="25"/>
    <x v="0"/>
    <x v="14"/>
    <x v="5"/>
    <s v="공업서기"/>
    <s v="일반직"/>
    <s v="공무원"/>
    <x v="0"/>
    <s v="Y"/>
    <s v="N"/>
    <d v="2025-04-01T00:00:00"/>
    <d v="2025-04-01T00:00:00"/>
    <d v="2025-04-01T00:00:00"/>
    <d v="2025-04-01T00:00:00"/>
    <m/>
    <m/>
    <s v="8급"/>
    <x v="9"/>
    <n v="6"/>
    <x v="1"/>
    <x v="0"/>
    <n v="1"/>
    <n v="0"/>
    <x v="3"/>
    <n v="1"/>
    <n v="1"/>
    <x v="4"/>
    <n v="1.4"/>
    <x v="0"/>
    <x v="26"/>
    <x v="0"/>
    <s v=""/>
    <x v="0"/>
    <x v="0"/>
    <x v="0"/>
    <s v=""/>
    <x v="0"/>
    <s v=""/>
  </r>
  <r>
    <n v="900068"/>
    <x v="68"/>
    <x v="0"/>
    <n v="32"/>
    <x v="1"/>
    <x v="5"/>
    <x v="3"/>
    <s v="행정주사보"/>
    <s v="일반직"/>
    <s v="공무원"/>
    <x v="0"/>
    <s v="Y"/>
    <s v="N"/>
    <d v="2024-07-01T00:00:00"/>
    <d v="2024-07-01T00:00:00"/>
    <d v="2024-07-01T00:00:00"/>
    <d v="2024-07-01T00:00:00"/>
    <n v="2"/>
    <m/>
    <s v="7급"/>
    <x v="1"/>
    <n v="5"/>
    <x v="1"/>
    <x v="0"/>
    <n v="1"/>
    <n v="0"/>
    <x v="1"/>
    <n v="2"/>
    <n v="2"/>
    <x v="5"/>
    <n v="2.2000000000000002"/>
    <x v="0"/>
    <x v="22"/>
    <x v="0"/>
    <s v=""/>
    <x v="0"/>
    <x v="0"/>
    <x v="0"/>
    <s v=""/>
    <x v="0"/>
    <s v=""/>
  </r>
  <r>
    <n v="900069"/>
    <x v="69"/>
    <x v="1"/>
    <n v="27"/>
    <x v="0"/>
    <x v="15"/>
    <x v="11"/>
    <s v="입학전문직(입학사정관)"/>
    <s v="대학회계계약직"/>
    <s v="비공무원"/>
    <x v="0"/>
    <s v="N"/>
    <s v="N"/>
    <d v="2024-06-01T00:00:00"/>
    <d v="2025-10-01T00:00:00"/>
    <d v="2025-10-01T00:00:00"/>
    <d v="2025-10-01T00:00:00"/>
    <n v="5"/>
    <s v="육아휴직[20260426~20270426]"/>
    <s v="대학회계계약직"/>
    <x v="0"/>
    <n v="11"/>
    <x v="0"/>
    <x v="0"/>
    <n v="1"/>
    <n v="1"/>
    <x v="3"/>
    <n v="0"/>
    <n v="2"/>
    <x v="1"/>
    <n v="0.9"/>
    <x v="0"/>
    <x v="0"/>
    <x v="0"/>
    <d v="2026-04-26T00:00:00"/>
    <x v="1"/>
    <x v="4"/>
    <x v="3"/>
    <n v="231"/>
    <x v="1"/>
    <s v=""/>
  </r>
  <r>
    <n v="900070"/>
    <x v="70"/>
    <x v="0"/>
    <n v="59"/>
    <x v="0"/>
    <x v="7"/>
    <x v="1"/>
    <s v="행정주사"/>
    <s v="일반직"/>
    <s v="공무원"/>
    <x v="0"/>
    <s v="Y"/>
    <s v="N"/>
    <d v="2004-11-01T00:00:00"/>
    <d v="2004-11-01T00:00:00"/>
    <d v="2024-04-01T00:00:00"/>
    <d v="2024-04-01T00:00:00"/>
    <n v="23"/>
    <m/>
    <s v="6급"/>
    <x v="3"/>
    <n v="4"/>
    <x v="1"/>
    <x v="0"/>
    <n v="1"/>
    <n v="0"/>
    <x v="2"/>
    <n v="21"/>
    <n v="21"/>
    <x v="0"/>
    <n v="2.4"/>
    <x v="0"/>
    <x v="19"/>
    <x v="0"/>
    <s v=""/>
    <x v="0"/>
    <x v="0"/>
    <x v="0"/>
    <s v=""/>
    <x v="0"/>
    <s v=""/>
  </r>
  <r>
    <n v="900071"/>
    <x v="71"/>
    <x v="0"/>
    <n v="28"/>
    <x v="0"/>
    <x v="8"/>
    <x v="5"/>
    <s v="행정주사보"/>
    <s v="일반직"/>
    <s v="공무원"/>
    <x v="0"/>
    <s v="N"/>
    <s v="N"/>
    <d v="2023-06-01T00:00:00"/>
    <d v="2022-03-01T00:00:00"/>
    <d v="2022-12-01T00:00:00"/>
    <d v="2022-12-01T00:00:00"/>
    <n v="4"/>
    <m/>
    <s v="7급"/>
    <x v="1"/>
    <n v="5"/>
    <x v="1"/>
    <x v="0"/>
    <n v="1"/>
    <n v="0"/>
    <x v="3"/>
    <n v="4"/>
    <n v="3"/>
    <x v="5"/>
    <n v="3.8"/>
    <x v="0"/>
    <x v="18"/>
    <x v="0"/>
    <s v=""/>
    <x v="0"/>
    <x v="0"/>
    <x v="0"/>
    <s v=""/>
    <x v="0"/>
    <s v=""/>
  </r>
  <r>
    <n v="900072"/>
    <x v="72"/>
    <x v="0"/>
    <n v="30"/>
    <x v="1"/>
    <x v="11"/>
    <x v="7"/>
    <s v="행정서기보시보"/>
    <s v="일반직"/>
    <s v="공무원"/>
    <x v="0"/>
    <s v="Y"/>
    <s v="N"/>
    <d v="2020-02-01T00:00:00"/>
    <d v="2022-05-01T00:00:00"/>
    <d v="2025-04-01T00:00:00"/>
    <d v="2025-04-01T00:00:00"/>
    <n v="9"/>
    <m/>
    <s v="9급"/>
    <x v="4"/>
    <n v="7"/>
    <x v="1"/>
    <x v="0"/>
    <n v="1"/>
    <n v="0"/>
    <x v="1"/>
    <n v="4"/>
    <n v="6"/>
    <x v="1"/>
    <n v="1.4"/>
    <x v="0"/>
    <x v="27"/>
    <x v="0"/>
    <s v=""/>
    <x v="0"/>
    <x v="0"/>
    <x v="0"/>
    <s v=""/>
    <x v="0"/>
    <s v=""/>
  </r>
  <r>
    <n v="900073"/>
    <x v="73"/>
    <x v="0"/>
    <n v="45"/>
    <x v="0"/>
    <x v="9"/>
    <x v="1"/>
    <s v="전산주사"/>
    <s v="일반직"/>
    <s v="공무원"/>
    <x v="0"/>
    <s v="Y"/>
    <s v="N"/>
    <d v="2016-02-01T00:00:00"/>
    <d v="2016-02-01T00:00:00"/>
    <d v="2026-12-01T00:00:00"/>
    <d v="2026-12-01T00:00:00"/>
    <n v="11"/>
    <m/>
    <s v="6급"/>
    <x v="3"/>
    <n v="4"/>
    <x v="1"/>
    <x v="0"/>
    <n v="1"/>
    <n v="0"/>
    <x v="0"/>
    <n v="10"/>
    <n v="10"/>
    <x v="2"/>
    <n v="0.2"/>
    <x v="0"/>
    <x v="1"/>
    <x v="0"/>
    <s v=""/>
    <x v="0"/>
    <x v="0"/>
    <x v="0"/>
    <s v=""/>
    <x v="0"/>
    <s v=""/>
  </r>
  <r>
    <n v="900074"/>
    <x v="74"/>
    <x v="0"/>
    <n v="47"/>
    <x v="0"/>
    <x v="12"/>
    <x v="5"/>
    <s v="행정주사보"/>
    <s v="일반직"/>
    <s v="공무원"/>
    <x v="0"/>
    <s v="N"/>
    <s v="N"/>
    <d v="2018-01-01T00:00:00"/>
    <d v="2018-01-01T00:00:00"/>
    <d v="2023-02-01T00:00:00"/>
    <d v="2023-02-01T00:00:00"/>
    <n v="9"/>
    <m/>
    <s v="7급"/>
    <x v="1"/>
    <n v="5"/>
    <x v="1"/>
    <x v="0"/>
    <n v="1"/>
    <n v="0"/>
    <x v="0"/>
    <n v="8"/>
    <n v="8"/>
    <x v="1"/>
    <n v="3.6"/>
    <x v="0"/>
    <x v="25"/>
    <x v="0"/>
    <s v=""/>
    <x v="0"/>
    <x v="0"/>
    <x v="0"/>
    <s v=""/>
    <x v="0"/>
    <s v=""/>
  </r>
  <r>
    <n v="900075"/>
    <x v="75"/>
    <x v="0"/>
    <n v="35"/>
    <x v="0"/>
    <x v="13"/>
    <x v="3"/>
    <s v="대학회계계약직(기술실무직)"/>
    <s v="대학회계계약직"/>
    <s v="비공무원"/>
    <x v="0"/>
    <s v="N"/>
    <s v="N"/>
    <d v="2024-10-01T00:00:00"/>
    <d v="2024-10-01T00:00:00"/>
    <d v="2024-10-01T00:00:00"/>
    <d v="2024-10-01T00:00:00"/>
    <n v="5"/>
    <s v="휴직복직[20230930~99991231]"/>
    <s v="대학회계계약직"/>
    <x v="0"/>
    <n v="11"/>
    <x v="0"/>
    <x v="0"/>
    <n v="1"/>
    <n v="0"/>
    <x v="1"/>
    <n v="1"/>
    <n v="1"/>
    <x v="1"/>
    <n v="1.9"/>
    <x v="0"/>
    <x v="0"/>
    <x v="0"/>
    <s v=""/>
    <x v="0"/>
    <x v="0"/>
    <x v="0"/>
    <s v=""/>
    <x v="0"/>
    <s v=""/>
  </r>
  <r>
    <n v="900076"/>
    <x v="76"/>
    <x v="1"/>
    <n v="54"/>
    <x v="0"/>
    <x v="13"/>
    <x v="6"/>
    <s v="전산주사"/>
    <s v="일반직"/>
    <s v="공무원"/>
    <x v="0"/>
    <s v="N"/>
    <s v="N"/>
    <d v="2001-01-01T00:00:00"/>
    <d v="2001-01-01T00:00:00"/>
    <d v="2012-12-01T00:00:00"/>
    <d v="2012-12-01T00:00:00"/>
    <n v="26"/>
    <s v="육아휴직[20251129~20261129]"/>
    <s v="6급"/>
    <x v="3"/>
    <n v="4"/>
    <x v="1"/>
    <x v="0"/>
    <n v="1"/>
    <n v="1"/>
    <x v="2"/>
    <n v="25"/>
    <n v="25"/>
    <x v="0"/>
    <n v="13.8"/>
    <x v="2"/>
    <x v="28"/>
    <x v="0"/>
    <d v="2025-11-29T00:00:00"/>
    <x v="1"/>
    <x v="5"/>
    <x v="4"/>
    <n v="83"/>
    <x v="2"/>
    <s v=""/>
  </r>
  <r>
    <n v="900077"/>
    <x v="77"/>
    <x v="1"/>
    <n v="42"/>
    <x v="0"/>
    <x v="12"/>
    <x v="7"/>
    <s v="전산주사보"/>
    <s v="일반직"/>
    <s v="공무원"/>
    <x v="0"/>
    <s v="N"/>
    <s v="N"/>
    <d v="2014-10-01T00:00:00"/>
    <d v="2014-10-01T00:00:00"/>
    <d v="2026-05-01T00:00:00"/>
    <d v="2026-05-01T00:00:00"/>
    <n v="13"/>
    <s v="휴직복직[20240214~99991231], 휴직복직[20230415~99991231], 육아휴직[20251229~20270629]"/>
    <s v="7급"/>
    <x v="1"/>
    <n v="5"/>
    <x v="1"/>
    <x v="0"/>
    <n v="1"/>
    <n v="1"/>
    <x v="0"/>
    <n v="11"/>
    <n v="11"/>
    <x v="2"/>
    <n v="0.4"/>
    <x v="0"/>
    <x v="17"/>
    <x v="0"/>
    <d v="2025-12-29T00:00:00"/>
    <x v="1"/>
    <x v="6"/>
    <x v="5"/>
    <n v="295"/>
    <x v="1"/>
    <s v=""/>
  </r>
  <r>
    <n v="900078"/>
    <x v="78"/>
    <x v="0"/>
    <n v="47"/>
    <x v="1"/>
    <x v="5"/>
    <x v="3"/>
    <s v="과학기술서기관"/>
    <s v="일반직"/>
    <s v="공무원"/>
    <x v="0"/>
    <s v="Y"/>
    <s v="N"/>
    <d v="2009-02-01T00:00:00"/>
    <d v="2009-02-01T00:00:00"/>
    <d v="2012-08-01T00:00:00"/>
    <d v="2012-08-01T00:00:00"/>
    <n v="20"/>
    <m/>
    <s v="4급"/>
    <x v="5"/>
    <n v="1"/>
    <x v="1"/>
    <x v="0"/>
    <n v="1"/>
    <n v="0"/>
    <x v="0"/>
    <n v="17"/>
    <n v="17"/>
    <x v="0"/>
    <n v="14.1"/>
    <x v="2"/>
    <x v="25"/>
    <x v="0"/>
    <s v=""/>
    <x v="0"/>
    <x v="0"/>
    <x v="0"/>
    <s v=""/>
    <x v="0"/>
    <s v=""/>
  </r>
  <r>
    <n v="900079"/>
    <x v="79"/>
    <x v="0"/>
    <n v="45"/>
    <x v="1"/>
    <x v="10"/>
    <x v="0"/>
    <s v="행정주사보"/>
    <s v="일반직"/>
    <s v="공무원"/>
    <x v="0"/>
    <s v="N"/>
    <s v="N"/>
    <d v="2022-01-01T00:00:00"/>
    <d v="2022-01-01T00:00:00"/>
    <d v="2022-01-01T00:00:00"/>
    <d v="2022-01-01T00:00:00"/>
    <n v="7"/>
    <s v="휴직복직[20221126~99991231]"/>
    <s v="7급"/>
    <x v="1"/>
    <n v="5"/>
    <x v="1"/>
    <x v="0"/>
    <n v="1"/>
    <n v="0"/>
    <x v="0"/>
    <n v="4"/>
    <n v="4"/>
    <x v="1"/>
    <n v="4.7"/>
    <x v="0"/>
    <x v="1"/>
    <x v="0"/>
    <s v=""/>
    <x v="0"/>
    <x v="0"/>
    <x v="0"/>
    <s v=""/>
    <x v="0"/>
    <s v=""/>
  </r>
  <r>
    <n v="900080"/>
    <x v="80"/>
    <x v="0"/>
    <n v="47"/>
    <x v="1"/>
    <x v="2"/>
    <x v="9"/>
    <s v="행정서기보"/>
    <s v="일반직"/>
    <s v="공무원"/>
    <x v="0"/>
    <s v="Y"/>
    <s v="N"/>
    <d v="2017-08-01T00:00:00"/>
    <d v="2017-08-01T00:00:00"/>
    <d v="2017-08-01T00:00:00"/>
    <d v="2017-08-01T00:00:00"/>
    <n v="10"/>
    <m/>
    <s v="9급"/>
    <x v="4"/>
    <n v="7"/>
    <x v="1"/>
    <x v="0"/>
    <n v="1"/>
    <n v="0"/>
    <x v="0"/>
    <n v="9"/>
    <n v="9"/>
    <x v="2"/>
    <n v="9.1"/>
    <x v="1"/>
    <x v="25"/>
    <x v="0"/>
    <s v=""/>
    <x v="0"/>
    <x v="0"/>
    <x v="0"/>
    <s v=""/>
    <x v="0"/>
    <s v=""/>
  </r>
  <r>
    <n v="900081"/>
    <x v="81"/>
    <x v="0"/>
    <n v="45"/>
    <x v="0"/>
    <x v="2"/>
    <x v="1"/>
    <s v="행정주사"/>
    <s v="일반직"/>
    <s v="공무원"/>
    <x v="0"/>
    <s v="Y"/>
    <s v="N"/>
    <d v="2021-06-01T00:00:00"/>
    <d v="2021-06-01T00:00:00"/>
    <d v="2021-06-01T00:00:00"/>
    <d v="2021-06-01T00:00:00"/>
    <m/>
    <m/>
    <s v="6급"/>
    <x v="3"/>
    <n v="4"/>
    <x v="1"/>
    <x v="0"/>
    <n v="1"/>
    <n v="0"/>
    <x v="0"/>
    <n v="5"/>
    <n v="5"/>
    <x v="4"/>
    <n v="5.3"/>
    <x v="1"/>
    <x v="1"/>
    <x v="0"/>
    <s v=""/>
    <x v="0"/>
    <x v="0"/>
    <x v="0"/>
    <s v=""/>
    <x v="0"/>
    <s v=""/>
  </r>
  <r>
    <n v="900082"/>
    <x v="82"/>
    <x v="0"/>
    <n v="30"/>
    <x v="1"/>
    <x v="4"/>
    <x v="6"/>
    <s v="행정주사보"/>
    <s v="일반직"/>
    <s v="공무원"/>
    <x v="0"/>
    <s v="Y"/>
    <s v="N"/>
    <d v="2024-02-01T00:00:00"/>
    <d v="2024-02-01T00:00:00"/>
    <d v="2024-02-01T00:00:00"/>
    <d v="2024-02-01T00:00:00"/>
    <n v="4"/>
    <m/>
    <s v="7급"/>
    <x v="1"/>
    <n v="5"/>
    <x v="1"/>
    <x v="0"/>
    <n v="1"/>
    <n v="0"/>
    <x v="1"/>
    <n v="2"/>
    <n v="2"/>
    <x v="5"/>
    <n v="2.6"/>
    <x v="0"/>
    <x v="27"/>
    <x v="0"/>
    <s v=""/>
    <x v="0"/>
    <x v="0"/>
    <x v="0"/>
    <s v=""/>
    <x v="0"/>
    <s v=""/>
  </r>
  <r>
    <n v="900083"/>
    <x v="83"/>
    <x v="0"/>
    <n v="38"/>
    <x v="1"/>
    <x v="0"/>
    <x v="4"/>
    <s v="기록연구사"/>
    <s v="연구직"/>
    <s v="공무원"/>
    <x v="0"/>
    <s v="Y"/>
    <s v="N"/>
    <d v="2023-03-01T00:00:00"/>
    <d v="2024-04-01T00:00:00"/>
    <d v="2024-04-01T00:00:00"/>
    <d v="2024-04-01T00:00:00"/>
    <n v="4"/>
    <m/>
    <s v="연구사"/>
    <x v="11"/>
    <n v="8"/>
    <x v="1"/>
    <x v="0"/>
    <n v="1"/>
    <n v="0"/>
    <x v="1"/>
    <n v="2"/>
    <n v="3"/>
    <x v="5"/>
    <n v="2.4"/>
    <x v="0"/>
    <x v="29"/>
    <x v="0"/>
    <s v=""/>
    <x v="0"/>
    <x v="0"/>
    <x v="0"/>
    <s v=""/>
    <x v="0"/>
    <s v=""/>
  </r>
  <r>
    <n v="900084"/>
    <x v="84"/>
    <x v="0"/>
    <n v="46"/>
    <x v="1"/>
    <x v="4"/>
    <x v="13"/>
    <s v="시설주사"/>
    <s v="일반직"/>
    <s v="공무원"/>
    <x v="0"/>
    <s v="Y"/>
    <s v="N"/>
    <d v="2013-11-01T00:00:00"/>
    <d v="2026-07-01T00:00:00"/>
    <d v="2026-07-01T00:00:00"/>
    <d v="2026-07-01T00:00:00"/>
    <n v="16"/>
    <m/>
    <s v="6급"/>
    <x v="3"/>
    <n v="4"/>
    <x v="1"/>
    <x v="0"/>
    <n v="1"/>
    <n v="0"/>
    <x v="0"/>
    <n v="0"/>
    <n v="12"/>
    <x v="2"/>
    <n v="0.2"/>
    <x v="0"/>
    <x v="6"/>
    <x v="0"/>
    <s v=""/>
    <x v="0"/>
    <x v="0"/>
    <x v="0"/>
    <s v=""/>
    <x v="0"/>
    <s v=""/>
  </r>
  <r>
    <n v="900085"/>
    <x v="85"/>
    <x v="0"/>
    <n v="28"/>
    <x v="0"/>
    <x v="4"/>
    <x v="8"/>
    <s v="전산주사보"/>
    <s v="일반직"/>
    <s v="공무원"/>
    <x v="0"/>
    <s v="N"/>
    <s v="N"/>
    <d v="2021-05-01T00:00:00"/>
    <d v="2025-02-01T00:00:00"/>
    <d v="2025-02-01T00:00:00"/>
    <d v="2025-02-01T00:00:00"/>
    <n v="7"/>
    <m/>
    <s v="7급"/>
    <x v="1"/>
    <n v="5"/>
    <x v="1"/>
    <x v="0"/>
    <n v="1"/>
    <n v="0"/>
    <x v="3"/>
    <n v="1"/>
    <n v="5"/>
    <x v="1"/>
    <n v="1.6"/>
    <x v="0"/>
    <x v="18"/>
    <x v="0"/>
    <s v=""/>
    <x v="0"/>
    <x v="0"/>
    <x v="0"/>
    <s v=""/>
    <x v="0"/>
    <s v=""/>
  </r>
  <r>
    <n v="900086"/>
    <x v="86"/>
    <x v="0"/>
    <n v="33"/>
    <x v="0"/>
    <x v="3"/>
    <x v="14"/>
    <s v="사서서기"/>
    <s v="일반직"/>
    <s v="공무원"/>
    <x v="0"/>
    <s v="N"/>
    <s v="N"/>
    <d v="2019-08-01T00:00:00"/>
    <d v="2019-08-01T00:00:00"/>
    <d v="2022-05-01T00:00:00"/>
    <d v="2022-05-01T00:00:00"/>
    <n v="9"/>
    <m/>
    <s v="8급"/>
    <x v="9"/>
    <n v="6"/>
    <x v="1"/>
    <x v="0"/>
    <n v="1"/>
    <n v="0"/>
    <x v="1"/>
    <n v="7"/>
    <n v="7"/>
    <x v="1"/>
    <n v="4.4000000000000004"/>
    <x v="0"/>
    <x v="30"/>
    <x v="0"/>
    <s v=""/>
    <x v="0"/>
    <x v="0"/>
    <x v="0"/>
    <s v=""/>
    <x v="0"/>
    <s v=""/>
  </r>
  <r>
    <n v="900087"/>
    <x v="87"/>
    <x v="0"/>
    <n v="48"/>
    <x v="1"/>
    <x v="1"/>
    <x v="10"/>
    <s v="서기관"/>
    <s v="일반직"/>
    <s v="공무원"/>
    <x v="0"/>
    <s v="Y"/>
    <s v="N"/>
    <d v="2004-04-01T00:00:00"/>
    <d v="2004-04-01T00:00:00"/>
    <d v="2018-10-01T00:00:00"/>
    <d v="2018-10-01T00:00:00"/>
    <n v="25"/>
    <m/>
    <s v="4급"/>
    <x v="5"/>
    <n v="1"/>
    <x v="1"/>
    <x v="0"/>
    <n v="1"/>
    <n v="0"/>
    <x v="0"/>
    <n v="22"/>
    <n v="22"/>
    <x v="0"/>
    <n v="7.9"/>
    <x v="1"/>
    <x v="23"/>
    <x v="0"/>
    <s v=""/>
    <x v="0"/>
    <x v="0"/>
    <x v="0"/>
    <s v=""/>
    <x v="0"/>
    <s v=""/>
  </r>
  <r>
    <n v="900088"/>
    <x v="88"/>
    <x v="0"/>
    <n v="41"/>
    <x v="1"/>
    <x v="9"/>
    <x v="6"/>
    <s v="행정주사"/>
    <s v="일반직"/>
    <s v="공무원"/>
    <x v="0"/>
    <s v="Y"/>
    <s v="N"/>
    <d v="2014-06-01T00:00:00"/>
    <d v="2014-06-01T00:00:00"/>
    <d v="2020-07-01T00:00:00"/>
    <d v="2020-07-01T00:00:00"/>
    <m/>
    <m/>
    <s v="6급"/>
    <x v="3"/>
    <n v="4"/>
    <x v="1"/>
    <x v="0"/>
    <n v="1"/>
    <n v="0"/>
    <x v="0"/>
    <n v="12"/>
    <n v="12"/>
    <x v="4"/>
    <n v="6.2"/>
    <x v="1"/>
    <x v="16"/>
    <x v="0"/>
    <s v=""/>
    <x v="0"/>
    <x v="0"/>
    <x v="0"/>
    <s v=""/>
    <x v="0"/>
    <s v=""/>
  </r>
  <r>
    <n v="900089"/>
    <x v="89"/>
    <x v="0"/>
    <n v="40"/>
    <x v="0"/>
    <x v="3"/>
    <x v="4"/>
    <s v="입학전문직(입학사정관)"/>
    <s v="대학회계계약직"/>
    <s v="비공무원"/>
    <x v="0"/>
    <s v="Y"/>
    <s v="N"/>
    <d v="2020-06-01T00:00:00"/>
    <d v="2020-06-01T00:00:00"/>
    <d v="2020-06-01T00:00:00"/>
    <d v="2020-06-01T00:00:00"/>
    <n v="7"/>
    <s v="휴직복직[20221222~99991231]"/>
    <s v="대학회계계약직"/>
    <x v="0"/>
    <n v="11"/>
    <x v="0"/>
    <x v="0"/>
    <n v="1"/>
    <n v="0"/>
    <x v="0"/>
    <n v="6"/>
    <n v="6"/>
    <x v="1"/>
    <n v="6.3"/>
    <x v="1"/>
    <x v="0"/>
    <x v="0"/>
    <s v=""/>
    <x v="0"/>
    <x v="0"/>
    <x v="0"/>
    <s v=""/>
    <x v="0"/>
    <s v=""/>
  </r>
  <r>
    <n v="900090"/>
    <x v="90"/>
    <x v="0"/>
    <n v="31"/>
    <x v="1"/>
    <x v="7"/>
    <x v="5"/>
    <s v="대학회계계약직(사무실무직)"/>
    <s v="대학회계계약직"/>
    <s v="비공무원"/>
    <x v="0"/>
    <s v="N"/>
    <s v="N"/>
    <d v="2024-05-01T00:00:00"/>
    <d v="2026-09-01T00:00:00"/>
    <d v="2026-09-01T00:00:00"/>
    <d v="2026-09-01T00:00:00"/>
    <n v="5"/>
    <m/>
    <s v="대학회계계약직"/>
    <x v="0"/>
    <n v="11"/>
    <x v="0"/>
    <x v="0"/>
    <n v="1"/>
    <n v="0"/>
    <x v="1"/>
    <n v="0"/>
    <n v="2"/>
    <x v="1"/>
    <n v="0"/>
    <x v="0"/>
    <x v="0"/>
    <x v="0"/>
    <s v=""/>
    <x v="0"/>
    <x v="0"/>
    <x v="0"/>
    <s v=""/>
    <x v="0"/>
    <s v=""/>
  </r>
  <r>
    <n v="900091"/>
    <x v="91"/>
    <x v="0"/>
    <n v="28"/>
    <x v="0"/>
    <x v="8"/>
    <x v="8"/>
    <s v="대학회계계약직(사서실무직)"/>
    <s v="대학회계계약직"/>
    <s v="비공무원"/>
    <x v="0"/>
    <s v="Y"/>
    <s v="N"/>
    <d v="2022-05-01T00:00:00"/>
    <d v="2025-03-01T00:00:00"/>
    <d v="2025-03-01T00:00:00"/>
    <d v="2025-03-01T00:00:00"/>
    <n v="6"/>
    <m/>
    <s v="대학회계계약직"/>
    <x v="0"/>
    <n v="11"/>
    <x v="0"/>
    <x v="0"/>
    <n v="1"/>
    <n v="0"/>
    <x v="3"/>
    <n v="1"/>
    <n v="4"/>
    <x v="1"/>
    <n v="1.5"/>
    <x v="0"/>
    <x v="0"/>
    <x v="0"/>
    <s v=""/>
    <x v="0"/>
    <x v="0"/>
    <x v="0"/>
    <s v=""/>
    <x v="0"/>
    <s v=""/>
  </r>
  <r>
    <n v="900092"/>
    <x v="92"/>
    <x v="0"/>
    <n v="33"/>
    <x v="0"/>
    <x v="9"/>
    <x v="9"/>
    <s v="행정서기보"/>
    <s v="일반직"/>
    <s v="공무원"/>
    <x v="0"/>
    <s v="N"/>
    <s v="N"/>
    <d v="2015-03-01T00:00:00"/>
    <d v="2015-03-01T00:00:00"/>
    <d v="2022-04-01T00:00:00"/>
    <d v="2022-04-01T00:00:00"/>
    <n v="12"/>
    <m/>
    <s v="9급"/>
    <x v="4"/>
    <n v="7"/>
    <x v="1"/>
    <x v="0"/>
    <n v="1"/>
    <n v="0"/>
    <x v="1"/>
    <n v="11"/>
    <n v="11"/>
    <x v="2"/>
    <n v="4.4000000000000004"/>
    <x v="0"/>
    <x v="30"/>
    <x v="0"/>
    <s v=""/>
    <x v="0"/>
    <x v="0"/>
    <x v="0"/>
    <s v=""/>
    <x v="0"/>
    <s v=""/>
  </r>
  <r>
    <n v="900093"/>
    <x v="93"/>
    <x v="0"/>
    <n v="23"/>
    <x v="1"/>
    <x v="1"/>
    <x v="1"/>
    <s v="행정인턴"/>
    <s v="인턴(수습)"/>
    <s v="비공무원"/>
    <x v="0"/>
    <s v="Y"/>
    <s v="N"/>
    <d v="2026-05-01T00:00:00"/>
    <d v="2026-05-01T00:00:00"/>
    <d v="2026-05-01T00:00:00"/>
    <d v="2026-05-01T00:00:00"/>
    <m/>
    <m/>
    <s v="인턴"/>
    <x v="8"/>
    <n v="13"/>
    <x v="2"/>
    <x v="1"/>
    <n v="1"/>
    <n v="0"/>
    <x v="3"/>
    <n v="0"/>
    <n v="0"/>
    <x v="4"/>
    <n v="0.4"/>
    <x v="0"/>
    <x v="0"/>
    <x v="0"/>
    <s v=""/>
    <x v="0"/>
    <x v="0"/>
    <x v="0"/>
    <s v=""/>
    <x v="0"/>
    <s v=""/>
  </r>
  <r>
    <n v="900094"/>
    <x v="94"/>
    <x v="0"/>
    <n v="44"/>
    <x v="0"/>
    <x v="5"/>
    <x v="7"/>
    <s v="대학회계계약직(국제전문직)"/>
    <s v="대학회계계약직"/>
    <s v="비공무원"/>
    <x v="0"/>
    <s v="Y"/>
    <s v="N"/>
    <d v="2021-06-01T00:00:00"/>
    <d v="2021-06-01T00:00:00"/>
    <d v="2021-06-01T00:00:00"/>
    <d v="2021-06-01T00:00:00"/>
    <n v="7"/>
    <m/>
    <s v="대학회계계약직"/>
    <x v="0"/>
    <n v="11"/>
    <x v="0"/>
    <x v="0"/>
    <n v="1"/>
    <n v="0"/>
    <x v="0"/>
    <n v="5"/>
    <n v="5"/>
    <x v="1"/>
    <n v="5.3"/>
    <x v="1"/>
    <x v="0"/>
    <x v="0"/>
    <s v=""/>
    <x v="0"/>
    <x v="0"/>
    <x v="0"/>
    <s v=""/>
    <x v="0"/>
    <s v=""/>
  </r>
  <r>
    <n v="900095"/>
    <x v="95"/>
    <x v="0"/>
    <n v="31"/>
    <x v="1"/>
    <x v="0"/>
    <x v="7"/>
    <s v="사서주사보"/>
    <s v="일반직"/>
    <s v="공무원"/>
    <x v="0"/>
    <s v="N"/>
    <s v="N"/>
    <d v="2024-07-01T00:00:00"/>
    <d v="2026-07-01T00:00:00"/>
    <d v="2026-07-01T00:00:00"/>
    <d v="2026-07-01T00:00:00"/>
    <n v="4"/>
    <m/>
    <s v="7급"/>
    <x v="1"/>
    <n v="5"/>
    <x v="1"/>
    <x v="0"/>
    <n v="1"/>
    <n v="0"/>
    <x v="1"/>
    <n v="0"/>
    <n v="2"/>
    <x v="5"/>
    <n v="0.2"/>
    <x v="0"/>
    <x v="31"/>
    <x v="0"/>
    <s v=""/>
    <x v="0"/>
    <x v="0"/>
    <x v="0"/>
    <s v=""/>
    <x v="0"/>
    <s v=""/>
  </r>
  <r>
    <n v="900096"/>
    <x v="96"/>
    <x v="0"/>
    <n v="46"/>
    <x v="1"/>
    <x v="5"/>
    <x v="12"/>
    <s v="행정주사"/>
    <s v="일반직"/>
    <s v="공무원"/>
    <x v="0"/>
    <s v="Y"/>
    <s v="N"/>
    <d v="2024-08-01T00:00:00"/>
    <d v="2025-09-01T00:00:00"/>
    <d v="2025-09-01T00:00:00"/>
    <d v="2025-09-01T00:00:00"/>
    <n v="4"/>
    <m/>
    <s v="6급"/>
    <x v="3"/>
    <n v="4"/>
    <x v="1"/>
    <x v="0"/>
    <n v="1"/>
    <n v="0"/>
    <x v="0"/>
    <n v="1"/>
    <n v="2"/>
    <x v="5"/>
    <n v="1"/>
    <x v="0"/>
    <x v="6"/>
    <x v="0"/>
    <s v=""/>
    <x v="0"/>
    <x v="0"/>
    <x v="0"/>
    <s v=""/>
    <x v="0"/>
    <s v=""/>
  </r>
  <r>
    <n v="900097"/>
    <x v="97"/>
    <x v="0"/>
    <n v="43"/>
    <x v="1"/>
    <x v="9"/>
    <x v="9"/>
    <s v="행정주사"/>
    <s v="일반직"/>
    <s v="공무원"/>
    <x v="0"/>
    <s v="N"/>
    <s v="N"/>
    <d v="2017-05-01T00:00:00"/>
    <d v="2017-05-01T00:00:00"/>
    <d v="2026-02-01T00:00:00"/>
    <d v="2026-02-01T00:00:00"/>
    <n v="12"/>
    <m/>
    <s v="6급"/>
    <x v="3"/>
    <n v="4"/>
    <x v="1"/>
    <x v="0"/>
    <n v="1"/>
    <n v="0"/>
    <x v="0"/>
    <n v="9"/>
    <n v="9"/>
    <x v="2"/>
    <n v="0.6"/>
    <x v="0"/>
    <x v="8"/>
    <x v="0"/>
    <s v=""/>
    <x v="0"/>
    <x v="0"/>
    <x v="0"/>
    <s v=""/>
    <x v="0"/>
    <s v=""/>
  </r>
  <r>
    <n v="900098"/>
    <x v="98"/>
    <x v="0"/>
    <n v="34"/>
    <x v="0"/>
    <x v="1"/>
    <x v="1"/>
    <s v="대학회계계약직(상담전문직)"/>
    <s v="대학회계계약직"/>
    <s v="비공무원"/>
    <x v="0"/>
    <s v="Y"/>
    <s v="N"/>
    <d v="2019-09-01T00:00:00"/>
    <d v="2019-09-01T00:00:00"/>
    <d v="2019-09-01T00:00:00"/>
    <d v="2019-09-01T00:00:00"/>
    <n v="10"/>
    <m/>
    <s v="대학회계계약직"/>
    <x v="0"/>
    <n v="11"/>
    <x v="0"/>
    <x v="0"/>
    <n v="1"/>
    <n v="0"/>
    <x v="1"/>
    <n v="7"/>
    <n v="7"/>
    <x v="2"/>
    <n v="7"/>
    <x v="1"/>
    <x v="0"/>
    <x v="0"/>
    <s v=""/>
    <x v="0"/>
    <x v="0"/>
    <x v="0"/>
    <s v=""/>
    <x v="0"/>
    <s v=""/>
  </r>
  <r>
    <n v="900099"/>
    <x v="99"/>
    <x v="0"/>
    <n v="29"/>
    <x v="1"/>
    <x v="15"/>
    <x v="6"/>
    <s v="행정인턴"/>
    <s v="인턴(수습)"/>
    <s v="비공무원"/>
    <x v="0"/>
    <s v="Y"/>
    <s v="N"/>
    <d v="2019-01-01T00:00:00"/>
    <d v="2019-01-01T00:00:00"/>
    <d v="2024-12-01T00:00:00"/>
    <d v="2024-12-01T00:00:00"/>
    <m/>
    <m/>
    <s v="인턴"/>
    <x v="8"/>
    <n v="13"/>
    <x v="2"/>
    <x v="1"/>
    <n v="1"/>
    <n v="0"/>
    <x v="3"/>
    <n v="7"/>
    <n v="7"/>
    <x v="4"/>
    <n v="1.8"/>
    <x v="0"/>
    <x v="0"/>
    <x v="0"/>
    <s v=""/>
    <x v="0"/>
    <x v="0"/>
    <x v="0"/>
    <s v=""/>
    <x v="0"/>
    <s v=""/>
  </r>
  <r>
    <n v="900100"/>
    <x v="100"/>
    <x v="0"/>
    <n v="50"/>
    <x v="1"/>
    <x v="10"/>
    <x v="13"/>
    <s v="행정주사보"/>
    <s v="일반직"/>
    <s v="공무원"/>
    <x v="0"/>
    <s v="N"/>
    <s v="N"/>
    <d v="2011-05-01T00:00:00"/>
    <d v="2011-05-01T00:00:00"/>
    <d v="2021-12-01T00:00:00"/>
    <d v="2021-12-01T00:00:00"/>
    <n v="16"/>
    <m/>
    <s v="7급"/>
    <x v="1"/>
    <n v="5"/>
    <x v="1"/>
    <x v="0"/>
    <n v="1"/>
    <n v="0"/>
    <x v="2"/>
    <n v="15"/>
    <n v="15"/>
    <x v="2"/>
    <n v="4.8"/>
    <x v="0"/>
    <x v="14"/>
    <x v="0"/>
    <s v=""/>
    <x v="0"/>
    <x v="0"/>
    <x v="0"/>
    <s v=""/>
    <x v="0"/>
    <s v=""/>
  </r>
  <r>
    <n v="900101"/>
    <x v="101"/>
    <x v="0"/>
    <n v="52"/>
    <x v="0"/>
    <x v="2"/>
    <x v="8"/>
    <s v="대학회계계약직(사무실무직)"/>
    <s v="대학회계계약직"/>
    <s v="비공무원"/>
    <x v="0"/>
    <s v="N"/>
    <s v="N"/>
    <d v="2010-01-01T00:00:00"/>
    <d v="2010-01-01T00:00:00"/>
    <d v="2026-07-01T00:00:00"/>
    <d v="2026-07-01T00:00:00"/>
    <n v="18"/>
    <m/>
    <s v="대학회계계약직"/>
    <x v="0"/>
    <n v="11"/>
    <x v="0"/>
    <x v="0"/>
    <n v="1"/>
    <n v="0"/>
    <x v="2"/>
    <n v="16"/>
    <n v="16"/>
    <x v="2"/>
    <n v="0.2"/>
    <x v="0"/>
    <x v="0"/>
    <x v="0"/>
    <s v=""/>
    <x v="0"/>
    <x v="0"/>
    <x v="0"/>
    <s v=""/>
    <x v="0"/>
    <s v=""/>
  </r>
  <r>
    <n v="900102"/>
    <x v="102"/>
    <x v="0"/>
    <n v="44"/>
    <x v="0"/>
    <x v="7"/>
    <x v="10"/>
    <s v="대학회계직6급(사무원)"/>
    <s v="대학회계직"/>
    <s v="비공무원"/>
    <x v="0"/>
    <s v="Y"/>
    <s v="N"/>
    <d v="2021-08-01T00:00:00"/>
    <d v="2021-08-01T00:00:00"/>
    <d v="2026-07-01T00:00:00"/>
    <d v="2026-07-01T00:00:00"/>
    <n v="7"/>
    <m/>
    <s v="대학회계직"/>
    <x v="10"/>
    <n v="10"/>
    <x v="3"/>
    <x v="0"/>
    <n v="1"/>
    <n v="0"/>
    <x v="0"/>
    <n v="5"/>
    <n v="5"/>
    <x v="1"/>
    <n v="0.2"/>
    <x v="0"/>
    <x v="0"/>
    <x v="0"/>
    <s v=""/>
    <x v="0"/>
    <x v="0"/>
    <x v="0"/>
    <s v=""/>
    <x v="0"/>
    <s v=""/>
  </r>
  <r>
    <n v="900103"/>
    <x v="103"/>
    <x v="0"/>
    <n v="24"/>
    <x v="1"/>
    <x v="0"/>
    <x v="13"/>
    <s v="대학회계계약직(기술실무직)"/>
    <s v="대학회계계약직"/>
    <s v="비공무원"/>
    <x v="0"/>
    <s v="Y"/>
    <s v="N"/>
    <d v="2025-04-01T00:00:00"/>
    <d v="2025-04-01T00:00:00"/>
    <d v="2025-04-01T00:00:00"/>
    <d v="2025-04-01T00:00:00"/>
    <n v="3"/>
    <m/>
    <s v="대학회계계약직"/>
    <x v="0"/>
    <n v="11"/>
    <x v="0"/>
    <x v="0"/>
    <n v="1"/>
    <n v="0"/>
    <x v="3"/>
    <n v="1"/>
    <n v="1"/>
    <x v="5"/>
    <n v="1.4"/>
    <x v="0"/>
    <x v="0"/>
    <x v="0"/>
    <s v=""/>
    <x v="0"/>
    <x v="0"/>
    <x v="0"/>
    <s v=""/>
    <x v="0"/>
    <s v=""/>
  </r>
  <r>
    <n v="900104"/>
    <x v="104"/>
    <x v="0"/>
    <n v="52"/>
    <x v="1"/>
    <x v="4"/>
    <x v="8"/>
    <s v="행정사무관"/>
    <s v="일반직"/>
    <s v="공무원"/>
    <x v="4"/>
    <s v="N"/>
    <s v="N"/>
    <d v="2010-12-01T00:00:00"/>
    <d v="2010-12-01T00:00:00"/>
    <d v="2020-07-01T00:00:00"/>
    <d v="2020-07-01T00:00:00"/>
    <n v="19"/>
    <m/>
    <s v="5급"/>
    <x v="7"/>
    <n v="3"/>
    <x v="1"/>
    <x v="0"/>
    <n v="1"/>
    <n v="0"/>
    <x v="2"/>
    <n v="15"/>
    <n v="15"/>
    <x v="2"/>
    <n v="6.2"/>
    <x v="1"/>
    <x v="24"/>
    <x v="1"/>
    <s v=""/>
    <x v="0"/>
    <x v="0"/>
    <x v="0"/>
    <s v=""/>
    <x v="0"/>
    <s v=""/>
  </r>
  <r>
    <n v="900105"/>
    <x v="105"/>
    <x v="0"/>
    <n v="46"/>
    <x v="1"/>
    <x v="9"/>
    <x v="5"/>
    <s v="입학전문직(입학사정관)"/>
    <s v="대학회계계약직"/>
    <s v="비공무원"/>
    <x v="0"/>
    <s v="Y"/>
    <s v="N"/>
    <d v="2020-10-01T00:00:00"/>
    <d v="2026-11-01T00:00:00"/>
    <d v="2026-11-01T00:00:00"/>
    <d v="2026-11-01T00:00:00"/>
    <n v="6"/>
    <m/>
    <s v="대학회계계약직"/>
    <x v="0"/>
    <n v="11"/>
    <x v="0"/>
    <x v="0"/>
    <n v="1"/>
    <n v="0"/>
    <x v="0"/>
    <e v="#NUM!"/>
    <n v="5"/>
    <x v="1"/>
    <n v="0.2"/>
    <x v="0"/>
    <x v="0"/>
    <x v="0"/>
    <s v=""/>
    <x v="0"/>
    <x v="0"/>
    <x v="0"/>
    <s v=""/>
    <x v="0"/>
    <s v=""/>
  </r>
  <r>
    <n v="900106"/>
    <x v="106"/>
    <x v="0"/>
    <n v="42"/>
    <x v="0"/>
    <x v="5"/>
    <x v="5"/>
    <s v="대학회계계약직(사무실무직)"/>
    <s v="대학회계계약직"/>
    <s v="비공무원"/>
    <x v="0"/>
    <s v="Y"/>
    <s v="N"/>
    <d v="2019-03-01T00:00:00"/>
    <d v="2019-03-01T00:00:00"/>
    <d v="2021-05-01T00:00:00"/>
    <d v="2021-05-01T00:00:00"/>
    <n v="10"/>
    <m/>
    <s v="대학회계계약직"/>
    <x v="0"/>
    <n v="11"/>
    <x v="0"/>
    <x v="0"/>
    <n v="1"/>
    <n v="0"/>
    <x v="0"/>
    <n v="7"/>
    <n v="7"/>
    <x v="2"/>
    <n v="5.4"/>
    <x v="1"/>
    <x v="0"/>
    <x v="0"/>
    <s v=""/>
    <x v="0"/>
    <x v="0"/>
    <x v="0"/>
    <s v=""/>
    <x v="0"/>
    <s v=""/>
  </r>
  <r>
    <n v="900107"/>
    <x v="107"/>
    <x v="0"/>
    <n v="29"/>
    <x v="1"/>
    <x v="1"/>
    <x v="2"/>
    <s v="대학회계직7급(사무원)"/>
    <s v="대학회계직"/>
    <s v="비공무원"/>
    <x v="0"/>
    <s v="Y"/>
    <s v="N"/>
    <d v="2019-02-01T00:00:00"/>
    <d v="2019-02-01T00:00:00"/>
    <d v="2019-02-01T00:00:00"/>
    <d v="2019-02-01T00:00:00"/>
    <n v="8"/>
    <m/>
    <s v="대학회계직"/>
    <x v="10"/>
    <n v="10"/>
    <x v="3"/>
    <x v="0"/>
    <n v="1"/>
    <n v="0"/>
    <x v="3"/>
    <n v="7"/>
    <n v="7"/>
    <x v="1"/>
    <n v="7.6"/>
    <x v="1"/>
    <x v="0"/>
    <x v="0"/>
    <s v=""/>
    <x v="0"/>
    <x v="0"/>
    <x v="0"/>
    <s v=""/>
    <x v="0"/>
    <s v=""/>
  </r>
  <r>
    <n v="900108"/>
    <x v="108"/>
    <x v="0"/>
    <n v="45"/>
    <x v="0"/>
    <x v="11"/>
    <x v="4"/>
    <s v="대학회계계약직(사무실무직)"/>
    <s v="대학회계계약직"/>
    <s v="비공무원"/>
    <x v="0"/>
    <s v="N"/>
    <s v="N"/>
    <d v="2004-03-01T00:00:00"/>
    <d v="2004-03-01T00:00:00"/>
    <d v="2025-11-01T00:00:00"/>
    <d v="2025-11-01T00:00:00"/>
    <n v="22"/>
    <m/>
    <s v="대학회계계약직"/>
    <x v="0"/>
    <n v="11"/>
    <x v="0"/>
    <x v="0"/>
    <n v="1"/>
    <n v="0"/>
    <x v="0"/>
    <n v="22"/>
    <n v="22"/>
    <x v="0"/>
    <n v="0.9"/>
    <x v="0"/>
    <x v="0"/>
    <x v="0"/>
    <s v=""/>
    <x v="0"/>
    <x v="0"/>
    <x v="0"/>
    <s v=""/>
    <x v="0"/>
    <s v=""/>
  </r>
  <r>
    <n v="900109"/>
    <x v="109"/>
    <x v="0"/>
    <n v="52"/>
    <x v="0"/>
    <x v="0"/>
    <x v="3"/>
    <s v="대학회계계약직(사무실무직)"/>
    <s v="대학회계계약직"/>
    <s v="비공무원"/>
    <x v="0"/>
    <s v="N"/>
    <s v="N"/>
    <d v="2007-03-01T00:00:00"/>
    <d v="2007-03-01T00:00:00"/>
    <d v="2012-01-01T00:00:00"/>
    <d v="2012-01-01T00:00:00"/>
    <n v="22"/>
    <m/>
    <s v="대학회계계약직"/>
    <x v="0"/>
    <n v="11"/>
    <x v="0"/>
    <x v="0"/>
    <n v="1"/>
    <n v="0"/>
    <x v="2"/>
    <n v="19"/>
    <n v="19"/>
    <x v="0"/>
    <n v="14.7"/>
    <x v="2"/>
    <x v="0"/>
    <x v="0"/>
    <s v=""/>
    <x v="0"/>
    <x v="0"/>
    <x v="0"/>
    <s v=""/>
    <x v="0"/>
    <s v=""/>
  </r>
  <r>
    <n v="900110"/>
    <x v="110"/>
    <x v="0"/>
    <n v="48"/>
    <x v="1"/>
    <x v="14"/>
    <x v="12"/>
    <s v="대학회계계약직(사무실무직)"/>
    <s v="대학회계계약직"/>
    <s v="비공무원"/>
    <x v="0"/>
    <s v="Y"/>
    <s v="N"/>
    <d v="2006-02-01T00:00:00"/>
    <d v="2006-02-01T00:00:00"/>
    <d v="2013-04-01T00:00:00"/>
    <d v="2013-04-01T00:00:00"/>
    <n v="21"/>
    <m/>
    <s v="대학회계계약직"/>
    <x v="0"/>
    <n v="11"/>
    <x v="0"/>
    <x v="0"/>
    <n v="1"/>
    <n v="0"/>
    <x v="0"/>
    <n v="20"/>
    <n v="20"/>
    <x v="0"/>
    <n v="13.4"/>
    <x v="2"/>
    <x v="0"/>
    <x v="0"/>
    <s v=""/>
    <x v="0"/>
    <x v="0"/>
    <x v="0"/>
    <s v=""/>
    <x v="0"/>
    <s v=""/>
  </r>
  <r>
    <n v="900111"/>
    <x v="111"/>
    <x v="0"/>
    <n v="47"/>
    <x v="1"/>
    <x v="14"/>
    <x v="13"/>
    <s v="사서사무관"/>
    <s v="일반직"/>
    <s v="공무원"/>
    <x v="5"/>
    <s v="Y"/>
    <s v="N"/>
    <d v="2023-03-01T00:00:00"/>
    <d v="2023-03-01T00:00:00"/>
    <d v="2023-03-01T00:00:00"/>
    <d v="2023-03-01T00:00:00"/>
    <n v="4"/>
    <s v="휴직복직[20250703~99991231]"/>
    <s v="5급"/>
    <x v="7"/>
    <n v="3"/>
    <x v="1"/>
    <x v="0"/>
    <n v="1"/>
    <n v="0"/>
    <x v="0"/>
    <n v="3"/>
    <n v="3"/>
    <x v="5"/>
    <n v="3.5"/>
    <x v="0"/>
    <x v="25"/>
    <x v="1"/>
    <s v=""/>
    <x v="0"/>
    <x v="0"/>
    <x v="0"/>
    <s v=""/>
    <x v="0"/>
    <s v=""/>
  </r>
  <r>
    <n v="900112"/>
    <x v="112"/>
    <x v="0"/>
    <n v="40"/>
    <x v="1"/>
    <x v="1"/>
    <x v="8"/>
    <s v="행정주사보"/>
    <s v="일반직"/>
    <s v="공무원"/>
    <x v="0"/>
    <s v="Y"/>
    <s v="N"/>
    <d v="2013-02-01T00:00:00"/>
    <d v="2013-02-01T00:00:00"/>
    <d v="2023-10-01T00:00:00"/>
    <d v="2023-10-01T00:00:00"/>
    <n v="14"/>
    <m/>
    <s v="7급"/>
    <x v="1"/>
    <n v="5"/>
    <x v="1"/>
    <x v="0"/>
    <n v="1"/>
    <n v="0"/>
    <x v="0"/>
    <n v="13"/>
    <n v="13"/>
    <x v="2"/>
    <n v="2.9"/>
    <x v="0"/>
    <x v="32"/>
    <x v="0"/>
    <s v=""/>
    <x v="0"/>
    <x v="0"/>
    <x v="0"/>
    <s v=""/>
    <x v="0"/>
    <s v=""/>
  </r>
  <r>
    <n v="900113"/>
    <x v="113"/>
    <x v="0"/>
    <n v="53"/>
    <x v="1"/>
    <x v="11"/>
    <x v="3"/>
    <s v="사서주사보"/>
    <s v="일반직"/>
    <s v="공무원"/>
    <x v="0"/>
    <s v="Y"/>
    <s v="N"/>
    <d v="1997-09-01T00:00:00"/>
    <d v="1997-09-01T00:00:00"/>
    <d v="2020-02-01T00:00:00"/>
    <d v="2020-02-01T00:00:00"/>
    <n v="31"/>
    <m/>
    <s v="7급"/>
    <x v="1"/>
    <n v="5"/>
    <x v="1"/>
    <x v="0"/>
    <n v="1"/>
    <n v="0"/>
    <x v="2"/>
    <n v="29"/>
    <n v="29"/>
    <x v="3"/>
    <n v="6.6"/>
    <x v="1"/>
    <x v="2"/>
    <x v="0"/>
    <s v=""/>
    <x v="0"/>
    <x v="0"/>
    <x v="0"/>
    <s v=""/>
    <x v="0"/>
    <s v=""/>
  </r>
  <r>
    <n v="900114"/>
    <x v="114"/>
    <x v="0"/>
    <n v="46"/>
    <x v="0"/>
    <x v="12"/>
    <x v="8"/>
    <s v="공업주사"/>
    <s v="일반직"/>
    <s v="공무원"/>
    <x v="0"/>
    <s v="N"/>
    <s v="N"/>
    <d v="2005-02-01T00:00:00"/>
    <d v="2005-02-01T00:00:00"/>
    <d v="2026-01-01T00:00:00"/>
    <d v="2026-01-01T00:00:00"/>
    <n v="21"/>
    <m/>
    <s v="6급"/>
    <x v="3"/>
    <n v="4"/>
    <x v="1"/>
    <x v="0"/>
    <n v="1"/>
    <n v="0"/>
    <x v="0"/>
    <n v="21"/>
    <n v="21"/>
    <x v="0"/>
    <n v="0.7"/>
    <x v="0"/>
    <x v="6"/>
    <x v="0"/>
    <s v=""/>
    <x v="0"/>
    <x v="0"/>
    <x v="0"/>
    <s v=""/>
    <x v="0"/>
    <s v=""/>
  </r>
  <r>
    <n v="900115"/>
    <x v="115"/>
    <x v="0"/>
    <n v="44"/>
    <x v="0"/>
    <x v="14"/>
    <x v="4"/>
    <s v="행정서기보"/>
    <s v="일반직"/>
    <s v="공무원"/>
    <x v="0"/>
    <s v="Y"/>
    <s v="N"/>
    <d v="2005-09-01T00:00:00"/>
    <d v="2005-09-01T00:00:00"/>
    <d v="2024-07-01T00:00:00"/>
    <d v="2024-07-01T00:00:00"/>
    <n v="23"/>
    <m/>
    <s v="9급"/>
    <x v="4"/>
    <n v="7"/>
    <x v="1"/>
    <x v="0"/>
    <n v="1"/>
    <n v="0"/>
    <x v="0"/>
    <n v="21"/>
    <n v="21"/>
    <x v="0"/>
    <n v="2.2000000000000002"/>
    <x v="0"/>
    <x v="7"/>
    <x v="0"/>
    <s v=""/>
    <x v="0"/>
    <x v="0"/>
    <x v="0"/>
    <s v=""/>
    <x v="0"/>
    <s v=""/>
  </r>
  <r>
    <n v="900116"/>
    <x v="116"/>
    <x v="0"/>
    <n v="41"/>
    <x v="1"/>
    <x v="3"/>
    <x v="9"/>
    <s v="행정주사보"/>
    <s v="일반직"/>
    <s v="공무원"/>
    <x v="0"/>
    <s v="Y"/>
    <s v="N"/>
    <d v="2015-04-01T00:00:00"/>
    <d v="2015-04-01T00:00:00"/>
    <d v="2017-10-01T00:00:00"/>
    <d v="2017-10-01T00:00:00"/>
    <n v="14"/>
    <m/>
    <s v="7급"/>
    <x v="1"/>
    <n v="5"/>
    <x v="1"/>
    <x v="0"/>
    <n v="1"/>
    <n v="0"/>
    <x v="0"/>
    <n v="11"/>
    <n v="11"/>
    <x v="2"/>
    <n v="8.9"/>
    <x v="1"/>
    <x v="16"/>
    <x v="0"/>
    <s v=""/>
    <x v="0"/>
    <x v="0"/>
    <x v="0"/>
    <s v=""/>
    <x v="0"/>
    <s v=""/>
  </r>
  <r>
    <n v="900117"/>
    <x v="117"/>
    <x v="0"/>
    <n v="38"/>
    <x v="1"/>
    <x v="1"/>
    <x v="8"/>
    <s v="공업주사"/>
    <s v="일반직"/>
    <s v="공무원"/>
    <x v="0"/>
    <s v="Y"/>
    <s v="N"/>
    <d v="2015-05-01T00:00:00"/>
    <d v="2025-08-01T00:00:00"/>
    <d v="2025-08-01T00:00:00"/>
    <d v="2025-08-01T00:00:00"/>
    <n v="14"/>
    <m/>
    <s v="6급"/>
    <x v="3"/>
    <n v="4"/>
    <x v="1"/>
    <x v="0"/>
    <n v="1"/>
    <n v="0"/>
    <x v="1"/>
    <n v="1"/>
    <n v="11"/>
    <x v="2"/>
    <n v="1.1000000000000001"/>
    <x v="0"/>
    <x v="29"/>
    <x v="0"/>
    <s v=""/>
    <x v="0"/>
    <x v="0"/>
    <x v="0"/>
    <s v=""/>
    <x v="0"/>
    <s v=""/>
  </r>
  <r>
    <n v="900118"/>
    <x v="118"/>
    <x v="0"/>
    <n v="49"/>
    <x v="0"/>
    <x v="0"/>
    <x v="14"/>
    <s v="입학전문직(입학사정관)"/>
    <s v="대학회계계약직"/>
    <s v="비공무원"/>
    <x v="0"/>
    <s v="Y"/>
    <s v="N"/>
    <d v="2013-01-01T00:00:00"/>
    <d v="2021-07-01T00:00:00"/>
    <d v="2021-07-01T00:00:00"/>
    <d v="2021-07-01T00:00:00"/>
    <n v="13"/>
    <m/>
    <s v="대학회계계약직"/>
    <x v="0"/>
    <n v="11"/>
    <x v="0"/>
    <x v="0"/>
    <n v="1"/>
    <n v="0"/>
    <x v="0"/>
    <n v="5"/>
    <n v="13"/>
    <x v="2"/>
    <n v="5.2"/>
    <x v="1"/>
    <x v="0"/>
    <x v="0"/>
    <s v=""/>
    <x v="0"/>
    <x v="0"/>
    <x v="0"/>
    <s v=""/>
    <x v="0"/>
    <s v=""/>
  </r>
  <r>
    <n v="900119"/>
    <x v="119"/>
    <x v="0"/>
    <n v="52"/>
    <x v="0"/>
    <x v="2"/>
    <x v="5"/>
    <s v="대학회계직7급(사무원)"/>
    <s v="대학회계직"/>
    <s v="비공무원"/>
    <x v="0"/>
    <s v="Y"/>
    <s v="N"/>
    <d v="2016-11-01T00:00:00"/>
    <d v="2016-11-01T00:00:00"/>
    <d v="2016-11-01T00:00:00"/>
    <d v="2016-11-01T00:00:00"/>
    <n v="13"/>
    <m/>
    <s v="대학회계직"/>
    <x v="10"/>
    <n v="10"/>
    <x v="3"/>
    <x v="0"/>
    <n v="1"/>
    <n v="0"/>
    <x v="2"/>
    <n v="9"/>
    <n v="9"/>
    <x v="2"/>
    <n v="9.9"/>
    <x v="1"/>
    <x v="0"/>
    <x v="0"/>
    <s v=""/>
    <x v="0"/>
    <x v="0"/>
    <x v="0"/>
    <s v=""/>
    <x v="0"/>
    <s v=""/>
  </r>
  <r>
    <n v="900120"/>
    <x v="120"/>
    <x v="0"/>
    <n v="45"/>
    <x v="0"/>
    <x v="0"/>
    <x v="1"/>
    <s v="행정서기"/>
    <s v="일반직"/>
    <s v="공무원"/>
    <x v="0"/>
    <s v="Y"/>
    <s v="N"/>
    <d v="2012-12-01T00:00:00"/>
    <d v="2012-12-01T00:00:00"/>
    <d v="2019-08-01T00:00:00"/>
    <d v="2019-08-01T00:00:00"/>
    <n v="17"/>
    <m/>
    <s v="8급"/>
    <x v="9"/>
    <n v="6"/>
    <x v="1"/>
    <x v="0"/>
    <n v="1"/>
    <n v="0"/>
    <x v="0"/>
    <n v="13"/>
    <n v="13"/>
    <x v="2"/>
    <n v="7.1"/>
    <x v="1"/>
    <x v="1"/>
    <x v="0"/>
    <s v=""/>
    <x v="0"/>
    <x v="0"/>
    <x v="0"/>
    <s v=""/>
    <x v="0"/>
    <s v=""/>
  </r>
  <r>
    <n v="900121"/>
    <x v="121"/>
    <x v="1"/>
    <n v="41"/>
    <x v="0"/>
    <x v="13"/>
    <x v="9"/>
    <s v="대학회계직6급(사무원)"/>
    <s v="대학회계직"/>
    <s v="비공무원"/>
    <x v="0"/>
    <s v="Y"/>
    <s v="N"/>
    <d v="2020-07-01T00:00:00"/>
    <d v="2020-07-01T00:00:00"/>
    <d v="2020-07-01T00:00:00"/>
    <d v="2020-07-01T00:00:00"/>
    <n v="6"/>
    <s v="휴직복직[20231227~99991231], 휴직복직[20230717~99991231], 휴직복직[20221228~99991231], 육아휴직[20260106~20270106]"/>
    <s v="대학회계직"/>
    <x v="10"/>
    <n v="10"/>
    <x v="3"/>
    <x v="0"/>
    <n v="1"/>
    <n v="1"/>
    <x v="0"/>
    <n v="6"/>
    <n v="6"/>
    <x v="1"/>
    <n v="6.2"/>
    <x v="1"/>
    <x v="0"/>
    <x v="0"/>
    <d v="2026-01-06T00:00:00"/>
    <x v="1"/>
    <x v="7"/>
    <x v="6"/>
    <n v="121"/>
    <x v="2"/>
    <s v=""/>
  </r>
  <r>
    <n v="900122"/>
    <x v="122"/>
    <x v="0"/>
    <n v="28"/>
    <x v="1"/>
    <x v="7"/>
    <x v="13"/>
    <s v="대학회계직6급(사무원)"/>
    <s v="대학회계직"/>
    <s v="비공무원"/>
    <x v="0"/>
    <s v="Y"/>
    <s v="N"/>
    <d v="2023-11-01T00:00:00"/>
    <d v="2024-12-01T00:00:00"/>
    <d v="2024-12-01T00:00:00"/>
    <d v="2024-12-01T00:00:00"/>
    <m/>
    <m/>
    <s v="대학회계직"/>
    <x v="10"/>
    <n v="10"/>
    <x v="3"/>
    <x v="0"/>
    <n v="1"/>
    <n v="0"/>
    <x v="3"/>
    <n v="1"/>
    <n v="2"/>
    <x v="4"/>
    <n v="1.8"/>
    <x v="0"/>
    <x v="0"/>
    <x v="0"/>
    <s v=""/>
    <x v="0"/>
    <x v="0"/>
    <x v="0"/>
    <s v=""/>
    <x v="0"/>
    <s v=""/>
  </r>
  <r>
    <n v="900123"/>
    <x v="123"/>
    <x v="0"/>
    <n v="28"/>
    <x v="0"/>
    <x v="4"/>
    <x v="4"/>
    <s v="행정인턴"/>
    <s v="인턴(수습)"/>
    <s v="비공무원"/>
    <x v="0"/>
    <s v="Y"/>
    <s v="N"/>
    <d v="2022-12-01T00:00:00"/>
    <d v="2022-12-01T00:00:00"/>
    <d v="2022-12-01T00:00:00"/>
    <d v="2022-12-01T00:00:00"/>
    <m/>
    <m/>
    <s v="인턴"/>
    <x v="8"/>
    <n v="13"/>
    <x v="2"/>
    <x v="1"/>
    <n v="1"/>
    <n v="0"/>
    <x v="3"/>
    <n v="3"/>
    <n v="3"/>
    <x v="4"/>
    <n v="3.8"/>
    <x v="0"/>
    <x v="0"/>
    <x v="0"/>
    <s v=""/>
    <x v="0"/>
    <x v="0"/>
    <x v="0"/>
    <s v=""/>
    <x v="0"/>
    <s v=""/>
  </r>
  <r>
    <n v="900124"/>
    <x v="124"/>
    <x v="0"/>
    <n v="45"/>
    <x v="0"/>
    <x v="5"/>
    <x v="8"/>
    <s v="전산주사보"/>
    <s v="일반직"/>
    <s v="공무원"/>
    <x v="0"/>
    <s v="Y"/>
    <s v="N"/>
    <d v="2017-03-01T00:00:00"/>
    <d v="2017-03-01T00:00:00"/>
    <d v="2020-07-01T00:00:00"/>
    <d v="2020-07-01T00:00:00"/>
    <n v="10"/>
    <m/>
    <s v="7급"/>
    <x v="1"/>
    <n v="5"/>
    <x v="1"/>
    <x v="0"/>
    <n v="1"/>
    <n v="0"/>
    <x v="0"/>
    <n v="9"/>
    <n v="9"/>
    <x v="2"/>
    <n v="6.2"/>
    <x v="1"/>
    <x v="1"/>
    <x v="0"/>
    <s v=""/>
    <x v="0"/>
    <x v="0"/>
    <x v="0"/>
    <s v=""/>
    <x v="0"/>
    <s v=""/>
  </r>
  <r>
    <n v="900125"/>
    <x v="125"/>
    <x v="0"/>
    <n v="36"/>
    <x v="0"/>
    <x v="2"/>
    <x v="7"/>
    <s v="대학회계계약직(사무실무직)"/>
    <s v="대학회계계약직"/>
    <s v="비공무원"/>
    <x v="0"/>
    <s v="Y"/>
    <s v="N"/>
    <d v="2021-03-01T00:00:00"/>
    <d v="2024-11-01T00:00:00"/>
    <d v="2024-11-01T00:00:00"/>
    <d v="2024-11-01T00:00:00"/>
    <n v="8"/>
    <m/>
    <s v="대학회계계약직"/>
    <x v="0"/>
    <n v="11"/>
    <x v="0"/>
    <x v="0"/>
    <n v="1"/>
    <n v="0"/>
    <x v="1"/>
    <n v="1"/>
    <n v="5"/>
    <x v="1"/>
    <n v="1.9"/>
    <x v="0"/>
    <x v="0"/>
    <x v="0"/>
    <s v=""/>
    <x v="0"/>
    <x v="0"/>
    <x v="0"/>
    <s v=""/>
    <x v="0"/>
    <s v=""/>
  </r>
  <r>
    <n v="900126"/>
    <x v="126"/>
    <x v="0"/>
    <n v="48"/>
    <x v="1"/>
    <x v="12"/>
    <x v="7"/>
    <s v="행정주사"/>
    <s v="일반직"/>
    <s v="공무원"/>
    <x v="0"/>
    <s v="Y"/>
    <s v="N"/>
    <d v="2001-09-01T00:00:00"/>
    <d v="2001-09-01T00:00:00"/>
    <d v="2017-12-01T00:00:00"/>
    <d v="2017-12-01T00:00:00"/>
    <n v="25"/>
    <m/>
    <s v="6급"/>
    <x v="3"/>
    <n v="4"/>
    <x v="1"/>
    <x v="0"/>
    <n v="1"/>
    <n v="0"/>
    <x v="0"/>
    <n v="25"/>
    <n v="25"/>
    <x v="0"/>
    <n v="8.8000000000000007"/>
    <x v="1"/>
    <x v="23"/>
    <x v="0"/>
    <s v=""/>
    <x v="0"/>
    <x v="0"/>
    <x v="0"/>
    <s v=""/>
    <x v="0"/>
    <s v=""/>
  </r>
  <r>
    <n v="900127"/>
    <x v="127"/>
    <x v="0"/>
    <n v="45"/>
    <x v="0"/>
    <x v="2"/>
    <x v="8"/>
    <s v="행정주사"/>
    <s v="일반직"/>
    <s v="공무원"/>
    <x v="0"/>
    <s v="Y"/>
    <s v="N"/>
    <d v="2006-11-01T00:00:00"/>
    <d v="2006-11-01T00:00:00"/>
    <d v="2020-01-01T00:00:00"/>
    <d v="2020-01-01T00:00:00"/>
    <n v="23"/>
    <m/>
    <s v="6급"/>
    <x v="3"/>
    <n v="4"/>
    <x v="1"/>
    <x v="0"/>
    <n v="1"/>
    <n v="0"/>
    <x v="0"/>
    <n v="19"/>
    <n v="19"/>
    <x v="0"/>
    <n v="6.7"/>
    <x v="1"/>
    <x v="1"/>
    <x v="0"/>
    <s v=""/>
    <x v="0"/>
    <x v="0"/>
    <x v="0"/>
    <s v=""/>
    <x v="0"/>
    <s v=""/>
  </r>
  <r>
    <n v="900128"/>
    <x v="128"/>
    <x v="0"/>
    <n v="44"/>
    <x v="1"/>
    <x v="12"/>
    <x v="9"/>
    <s v="대학회계계약직(사무실무직)"/>
    <s v="대학회계계약직"/>
    <s v="비공무원"/>
    <x v="0"/>
    <s v="Y"/>
    <s v="N"/>
    <d v="2019-07-01T00:00:00"/>
    <d v="2021-04-01T00:00:00"/>
    <d v="2021-04-01T00:00:00"/>
    <d v="2021-04-01T00:00:00"/>
    <n v="7"/>
    <m/>
    <s v="대학회계계약직"/>
    <x v="0"/>
    <n v="11"/>
    <x v="0"/>
    <x v="0"/>
    <n v="1"/>
    <n v="0"/>
    <x v="0"/>
    <n v="5"/>
    <n v="7"/>
    <x v="1"/>
    <n v="5.4"/>
    <x v="1"/>
    <x v="0"/>
    <x v="0"/>
    <s v=""/>
    <x v="0"/>
    <x v="0"/>
    <x v="0"/>
    <s v=""/>
    <x v="0"/>
    <s v=""/>
  </r>
  <r>
    <n v="900129"/>
    <x v="129"/>
    <x v="0"/>
    <n v="49"/>
    <x v="0"/>
    <x v="12"/>
    <x v="1"/>
    <s v="사서서기"/>
    <s v="일반직"/>
    <s v="공무원"/>
    <x v="0"/>
    <s v="Y"/>
    <s v="N"/>
    <d v="2000-01-01T00:00:00"/>
    <d v="2000-01-01T00:00:00"/>
    <d v="2018-10-01T00:00:00"/>
    <d v="2018-10-01T00:00:00"/>
    <n v="26"/>
    <m/>
    <s v="8급"/>
    <x v="9"/>
    <n v="6"/>
    <x v="1"/>
    <x v="0"/>
    <n v="1"/>
    <n v="0"/>
    <x v="0"/>
    <n v="26"/>
    <n v="26"/>
    <x v="0"/>
    <n v="7.9"/>
    <x v="1"/>
    <x v="11"/>
    <x v="0"/>
    <s v=""/>
    <x v="0"/>
    <x v="0"/>
    <x v="0"/>
    <s v=""/>
    <x v="0"/>
    <s v=""/>
  </r>
  <r>
    <n v="900130"/>
    <x v="130"/>
    <x v="0"/>
    <n v="49"/>
    <x v="0"/>
    <x v="3"/>
    <x v="0"/>
    <s v="대학회계계약직(사무실무직)"/>
    <s v="대학회계계약직"/>
    <s v="비공무원"/>
    <x v="0"/>
    <s v="Y"/>
    <s v="N"/>
    <d v="2002-08-01T00:00:00"/>
    <d v="2026-10-01T00:00:00"/>
    <d v="2026-10-01T00:00:00"/>
    <d v="2026-10-01T00:00:00"/>
    <n v="26"/>
    <m/>
    <s v="대학회계계약직"/>
    <x v="0"/>
    <n v="11"/>
    <x v="0"/>
    <x v="0"/>
    <n v="1"/>
    <n v="0"/>
    <x v="0"/>
    <e v="#NUM!"/>
    <n v="24"/>
    <x v="0"/>
    <n v="0.1"/>
    <x v="0"/>
    <x v="0"/>
    <x v="0"/>
    <s v=""/>
    <x v="0"/>
    <x v="0"/>
    <x v="0"/>
    <s v=""/>
    <x v="0"/>
    <s v=""/>
  </r>
  <r>
    <n v="900131"/>
    <x v="131"/>
    <x v="0"/>
    <n v="48"/>
    <x v="1"/>
    <x v="7"/>
    <x v="2"/>
    <s v="대학회계직7급(전산원)"/>
    <s v="대학회계직"/>
    <s v="비공무원"/>
    <x v="0"/>
    <s v="Y"/>
    <s v="N"/>
    <d v="2000-07-01T00:00:00"/>
    <d v="2021-10-01T00:00:00"/>
    <d v="2021-10-01T00:00:00"/>
    <d v="2021-10-01T00:00:00"/>
    <n v="26"/>
    <m/>
    <s v="대학회계직"/>
    <x v="10"/>
    <n v="10"/>
    <x v="3"/>
    <x v="0"/>
    <n v="1"/>
    <n v="0"/>
    <x v="0"/>
    <n v="4"/>
    <n v="26"/>
    <x v="0"/>
    <n v="4.9000000000000004"/>
    <x v="0"/>
    <x v="0"/>
    <x v="0"/>
    <s v=""/>
    <x v="0"/>
    <x v="0"/>
    <x v="0"/>
    <s v=""/>
    <x v="0"/>
    <s v=""/>
  </r>
  <r>
    <n v="900132"/>
    <x v="132"/>
    <x v="1"/>
    <n v="57"/>
    <x v="0"/>
    <x v="10"/>
    <x v="7"/>
    <s v="행정주사"/>
    <s v="일반직"/>
    <s v="공무원"/>
    <x v="0"/>
    <s v="Y"/>
    <s v="N"/>
    <d v="2005-10-01T00:00:00"/>
    <d v="2005-10-01T00:00:00"/>
    <d v="2014-08-01T00:00:00"/>
    <d v="2014-08-01T00:00:00"/>
    <n v="24"/>
    <s v="휴직복직[20230831~99991231], 휴직복직[20230816~99991231], 육아휴직[20251024~20261024]"/>
    <s v="6급"/>
    <x v="3"/>
    <n v="4"/>
    <x v="1"/>
    <x v="0"/>
    <n v="1"/>
    <n v="1"/>
    <x v="2"/>
    <n v="20"/>
    <n v="20"/>
    <x v="0"/>
    <n v="12.1"/>
    <x v="2"/>
    <x v="9"/>
    <x v="0"/>
    <d v="2025-10-24T00:00:00"/>
    <x v="1"/>
    <x v="8"/>
    <x v="7"/>
    <n v="47"/>
    <x v="2"/>
    <s v=""/>
  </r>
  <r>
    <n v="900133"/>
    <x v="133"/>
    <x v="1"/>
    <n v="47"/>
    <x v="0"/>
    <x v="1"/>
    <x v="3"/>
    <s v="행정주사"/>
    <s v="일반직"/>
    <s v="공무원"/>
    <x v="0"/>
    <s v="Y"/>
    <s v="N"/>
    <d v="2015-08-01T00:00:00"/>
    <d v="2015-08-01T00:00:00"/>
    <d v="2019-11-01T00:00:00"/>
    <d v="2019-11-01T00:00:00"/>
    <n v="14"/>
    <s v="휴직복직[20240427~99991231], 육아휴직[20260106~20270106]"/>
    <s v="6급"/>
    <x v="3"/>
    <n v="4"/>
    <x v="1"/>
    <x v="0"/>
    <n v="1"/>
    <n v="1"/>
    <x v="0"/>
    <n v="11"/>
    <n v="11"/>
    <x v="2"/>
    <n v="6.9"/>
    <x v="1"/>
    <x v="25"/>
    <x v="0"/>
    <d v="2026-01-06T00:00:00"/>
    <x v="1"/>
    <x v="7"/>
    <x v="6"/>
    <n v="121"/>
    <x v="2"/>
    <s v=""/>
  </r>
  <r>
    <n v="900134"/>
    <x v="134"/>
    <x v="0"/>
    <n v="30"/>
    <x v="0"/>
    <x v="6"/>
    <x v="10"/>
    <s v="전산주사보"/>
    <s v="일반직"/>
    <s v="공무원"/>
    <x v="0"/>
    <s v="Y"/>
    <s v="N"/>
    <d v="2025-08-01T00:00:00"/>
    <d v="2025-08-01T00:00:00"/>
    <d v="2025-12-01T00:00:00"/>
    <d v="2025-12-01T00:00:00"/>
    <n v="4"/>
    <m/>
    <s v="7급"/>
    <x v="1"/>
    <n v="5"/>
    <x v="1"/>
    <x v="0"/>
    <n v="1"/>
    <n v="0"/>
    <x v="1"/>
    <n v="1"/>
    <n v="1"/>
    <x v="5"/>
    <n v="0.8"/>
    <x v="0"/>
    <x v="27"/>
    <x v="0"/>
    <s v=""/>
    <x v="0"/>
    <x v="0"/>
    <x v="0"/>
    <s v=""/>
    <x v="0"/>
    <s v=""/>
  </r>
  <r>
    <n v="900135"/>
    <x v="124"/>
    <x v="0"/>
    <n v="36"/>
    <x v="0"/>
    <x v="12"/>
    <x v="10"/>
    <s v="행정주사"/>
    <s v="일반직"/>
    <s v="공무원"/>
    <x v="0"/>
    <s v="N"/>
    <s v="N"/>
    <d v="2015-07-01T00:00:00"/>
    <d v="2015-07-01T00:00:00"/>
    <d v="2015-07-01T00:00:00"/>
    <d v="2015-07-01T00:00:00"/>
    <n v="11"/>
    <m/>
    <s v="6급"/>
    <x v="3"/>
    <n v="4"/>
    <x v="1"/>
    <x v="0"/>
    <n v="1"/>
    <n v="0"/>
    <x v="1"/>
    <n v="11"/>
    <n v="11"/>
    <x v="2"/>
    <n v="11.2"/>
    <x v="2"/>
    <x v="13"/>
    <x v="0"/>
    <s v=""/>
    <x v="0"/>
    <x v="0"/>
    <x v="0"/>
    <s v=""/>
    <x v="0"/>
    <s v=""/>
  </r>
  <r>
    <n v="900136"/>
    <x v="135"/>
    <x v="0"/>
    <n v="44"/>
    <x v="1"/>
    <x v="4"/>
    <x v="6"/>
    <s v="입학전문직(입학사정관)"/>
    <s v="대학회계계약직"/>
    <s v="비공무원"/>
    <x v="0"/>
    <s v="Y"/>
    <s v="N"/>
    <d v="2004-11-01T00:00:00"/>
    <d v="2004-11-01T00:00:00"/>
    <d v="2018-09-01T00:00:00"/>
    <d v="2018-09-01T00:00:00"/>
    <n v="22"/>
    <m/>
    <s v="대학회계계약직"/>
    <x v="0"/>
    <n v="11"/>
    <x v="0"/>
    <x v="0"/>
    <n v="1"/>
    <n v="0"/>
    <x v="0"/>
    <n v="21"/>
    <n v="21"/>
    <x v="0"/>
    <n v="8"/>
    <x v="1"/>
    <x v="0"/>
    <x v="0"/>
    <s v=""/>
    <x v="0"/>
    <x v="0"/>
    <x v="0"/>
    <s v=""/>
    <x v="0"/>
    <s v=""/>
  </r>
  <r>
    <n v="900137"/>
    <x v="136"/>
    <x v="1"/>
    <n v="54"/>
    <x v="0"/>
    <x v="8"/>
    <x v="8"/>
    <s v="대학회계계약직(사무실무직)"/>
    <s v="대학회계계약직"/>
    <s v="비공무원"/>
    <x v="0"/>
    <s v="Y"/>
    <s v="N"/>
    <d v="1997-12-01T00:00:00"/>
    <d v="1997-12-01T00:00:00"/>
    <d v="2022-05-01T00:00:00"/>
    <d v="2022-05-01T00:00:00"/>
    <n v="32"/>
    <s v="육아휴직[20251025~20271231]"/>
    <s v="대학회계계약직"/>
    <x v="0"/>
    <n v="11"/>
    <x v="0"/>
    <x v="0"/>
    <n v="1"/>
    <n v="1"/>
    <x v="2"/>
    <n v="28"/>
    <n v="28"/>
    <x v="3"/>
    <n v="4.4000000000000004"/>
    <x v="0"/>
    <x v="0"/>
    <x v="0"/>
    <d v="2025-10-25T00:00:00"/>
    <x v="1"/>
    <x v="9"/>
    <x v="8"/>
    <n v="480"/>
    <x v="1"/>
    <s v=""/>
  </r>
  <r>
    <n v="900138"/>
    <x v="137"/>
    <x v="0"/>
    <n v="50"/>
    <x v="1"/>
    <x v="12"/>
    <x v="5"/>
    <s v="행정서기"/>
    <s v="일반직"/>
    <s v="공무원"/>
    <x v="0"/>
    <s v="N"/>
    <s v="N"/>
    <d v="2015-10-01T00:00:00"/>
    <d v="2015-10-01T00:00:00"/>
    <d v="2020-08-01T00:00:00"/>
    <d v="2020-08-01T00:00:00"/>
    <n v="12"/>
    <m/>
    <s v="8급"/>
    <x v="9"/>
    <n v="6"/>
    <x v="1"/>
    <x v="0"/>
    <n v="1"/>
    <n v="0"/>
    <x v="2"/>
    <n v="10"/>
    <n v="10"/>
    <x v="2"/>
    <n v="6.1"/>
    <x v="1"/>
    <x v="14"/>
    <x v="0"/>
    <s v=""/>
    <x v="0"/>
    <x v="0"/>
    <x v="0"/>
    <s v=""/>
    <x v="0"/>
    <s v=""/>
  </r>
  <r>
    <n v="900139"/>
    <x v="138"/>
    <x v="0"/>
    <n v="47"/>
    <x v="0"/>
    <x v="11"/>
    <x v="2"/>
    <s v="행정주사"/>
    <s v="일반직"/>
    <s v="공무원"/>
    <x v="0"/>
    <s v="N"/>
    <s v="N"/>
    <d v="2005-09-01T00:00:00"/>
    <d v="2005-09-01T00:00:00"/>
    <d v="2024-11-01T00:00:00"/>
    <d v="2024-11-01T00:00:00"/>
    <n v="21"/>
    <s v="휴직복직[20230308~99991231]"/>
    <s v="6급"/>
    <x v="3"/>
    <n v="4"/>
    <x v="1"/>
    <x v="0"/>
    <n v="1"/>
    <n v="0"/>
    <x v="0"/>
    <n v="21"/>
    <n v="21"/>
    <x v="0"/>
    <n v="1.9"/>
    <x v="0"/>
    <x v="25"/>
    <x v="0"/>
    <s v=""/>
    <x v="0"/>
    <x v="0"/>
    <x v="0"/>
    <s v=""/>
    <x v="0"/>
    <s v=""/>
  </r>
  <r>
    <n v="900140"/>
    <x v="139"/>
    <x v="0"/>
    <n v="44"/>
    <x v="1"/>
    <x v="10"/>
    <x v="3"/>
    <s v="대학회계직7급(사무원)"/>
    <s v="대학회계직"/>
    <s v="비공무원"/>
    <x v="0"/>
    <s v="Y"/>
    <s v="N"/>
    <d v="2008-02-01T00:00:00"/>
    <d v="2008-02-01T00:00:00"/>
    <d v="2024-05-01T00:00:00"/>
    <d v="2024-05-01T00:00:00"/>
    <n v="19"/>
    <m/>
    <s v="대학회계직"/>
    <x v="10"/>
    <n v="10"/>
    <x v="3"/>
    <x v="0"/>
    <n v="1"/>
    <n v="0"/>
    <x v="0"/>
    <n v="18"/>
    <n v="18"/>
    <x v="2"/>
    <n v="2.4"/>
    <x v="0"/>
    <x v="0"/>
    <x v="0"/>
    <s v=""/>
    <x v="0"/>
    <x v="0"/>
    <x v="0"/>
    <s v=""/>
    <x v="0"/>
    <s v=""/>
  </r>
  <r>
    <n v="900141"/>
    <x v="140"/>
    <x v="0"/>
    <n v="50"/>
    <x v="0"/>
    <x v="12"/>
    <x v="3"/>
    <s v="대학회계계약직(국제전문직)"/>
    <s v="대학회계계약직"/>
    <s v="비공무원"/>
    <x v="0"/>
    <s v="Y"/>
    <s v="N"/>
    <d v="2005-10-01T00:00:00"/>
    <d v="2005-10-01T00:00:00"/>
    <d v="2023-11-01T00:00:00"/>
    <d v="2023-11-01T00:00:00"/>
    <n v="22"/>
    <m/>
    <s v="대학회계계약직"/>
    <x v="0"/>
    <n v="11"/>
    <x v="0"/>
    <x v="0"/>
    <n v="1"/>
    <n v="0"/>
    <x v="2"/>
    <n v="20"/>
    <n v="20"/>
    <x v="0"/>
    <n v="2.9"/>
    <x v="0"/>
    <x v="0"/>
    <x v="0"/>
    <s v=""/>
    <x v="0"/>
    <x v="0"/>
    <x v="0"/>
    <s v=""/>
    <x v="0"/>
    <s v=""/>
  </r>
  <r>
    <n v="900142"/>
    <x v="141"/>
    <x v="0"/>
    <n v="38"/>
    <x v="0"/>
    <x v="9"/>
    <x v="13"/>
    <s v="공업서기"/>
    <s v="일반직"/>
    <s v="공무원"/>
    <x v="0"/>
    <s v="N"/>
    <s v="N"/>
    <d v="2023-11-01T00:00:00"/>
    <d v="2023-11-01T00:00:00"/>
    <d v="2023-11-01T00:00:00"/>
    <d v="2023-11-01T00:00:00"/>
    <n v="6"/>
    <m/>
    <s v="8급"/>
    <x v="9"/>
    <n v="6"/>
    <x v="1"/>
    <x v="0"/>
    <n v="1"/>
    <n v="0"/>
    <x v="1"/>
    <n v="2"/>
    <n v="2"/>
    <x v="1"/>
    <n v="2.9"/>
    <x v="0"/>
    <x v="29"/>
    <x v="0"/>
    <s v=""/>
    <x v="0"/>
    <x v="0"/>
    <x v="0"/>
    <s v=""/>
    <x v="0"/>
    <s v=""/>
  </r>
  <r>
    <n v="900143"/>
    <x v="142"/>
    <x v="0"/>
    <n v="24"/>
    <x v="0"/>
    <x v="15"/>
    <x v="12"/>
    <s v="대학회계계약직(사무실무직)"/>
    <s v="대학회계계약직"/>
    <s v="비공무원"/>
    <x v="0"/>
    <s v="Y"/>
    <s v="N"/>
    <d v="2025-06-01T00:00:00"/>
    <d v="2025-06-01T00:00:00"/>
    <d v="2025-06-01T00:00:00"/>
    <d v="2025-06-01T00:00:00"/>
    <n v="2"/>
    <m/>
    <s v="대학회계계약직"/>
    <x v="0"/>
    <n v="11"/>
    <x v="0"/>
    <x v="0"/>
    <n v="1"/>
    <n v="0"/>
    <x v="3"/>
    <n v="1"/>
    <n v="1"/>
    <x v="5"/>
    <n v="1.3"/>
    <x v="0"/>
    <x v="0"/>
    <x v="0"/>
    <s v=""/>
    <x v="0"/>
    <x v="0"/>
    <x v="0"/>
    <s v=""/>
    <x v="0"/>
    <s v=""/>
  </r>
  <r>
    <n v="900144"/>
    <x v="143"/>
    <x v="1"/>
    <n v="45"/>
    <x v="1"/>
    <x v="15"/>
    <x v="13"/>
    <s v="행정주사보"/>
    <s v="일반직"/>
    <s v="공무원"/>
    <x v="0"/>
    <s v="N"/>
    <s v="N"/>
    <d v="2011-08-01T00:00:00"/>
    <d v="2011-08-01T00:00:00"/>
    <d v="2024-01-01T00:00:00"/>
    <d v="2024-01-01T00:00:00"/>
    <m/>
    <s v="육아휴직[20260415~20270415]"/>
    <s v="7급"/>
    <x v="1"/>
    <n v="5"/>
    <x v="1"/>
    <x v="0"/>
    <n v="1"/>
    <n v="1"/>
    <x v="0"/>
    <n v="15"/>
    <n v="15"/>
    <x v="4"/>
    <n v="2.7"/>
    <x v="0"/>
    <x v="1"/>
    <x v="0"/>
    <d v="2026-04-15T00:00:00"/>
    <x v="1"/>
    <x v="10"/>
    <x v="3"/>
    <n v="220"/>
    <x v="1"/>
    <s v=""/>
  </r>
  <r>
    <n v="900145"/>
    <x v="144"/>
    <x v="1"/>
    <n v="32"/>
    <x v="1"/>
    <x v="3"/>
    <x v="8"/>
    <s v="대학회계계약직(사무실무직)"/>
    <s v="대학회계계약직"/>
    <s v="비공무원"/>
    <x v="0"/>
    <s v="N"/>
    <s v="N"/>
    <d v="2021-06-01T00:00:00"/>
    <d v="2021-06-01T00:00:00"/>
    <d v="2023-07-01T00:00:00"/>
    <d v="2023-07-01T00:00:00"/>
    <n v="5"/>
    <s v="휴직복직[20251008~99991231], 휴직복직[20230308~99991231], 가족돌봄휴직[20260821~20270221]"/>
    <s v="대학회계계약직"/>
    <x v="0"/>
    <n v="11"/>
    <x v="0"/>
    <x v="0"/>
    <n v="1"/>
    <n v="1"/>
    <x v="1"/>
    <n v="5"/>
    <n v="5"/>
    <x v="1"/>
    <n v="3.2"/>
    <x v="0"/>
    <x v="0"/>
    <x v="0"/>
    <d v="2026-08-21T00:00:00"/>
    <x v="3"/>
    <x v="11"/>
    <x v="9"/>
    <n v="167"/>
    <x v="2"/>
    <s v=""/>
  </r>
  <r>
    <n v="900146"/>
    <x v="145"/>
    <x v="0"/>
    <n v="33"/>
    <x v="1"/>
    <x v="1"/>
    <x v="3"/>
    <s v="전산주사보"/>
    <s v="일반직"/>
    <s v="공무원"/>
    <x v="0"/>
    <s v="Y"/>
    <s v="N"/>
    <d v="2024-01-01T00:00:00"/>
    <d v="2021-07-01T00:00:00"/>
    <d v="2023-11-01T00:00:00"/>
    <d v="2023-11-01T00:00:00"/>
    <n v="4"/>
    <m/>
    <s v="7급"/>
    <x v="1"/>
    <n v="5"/>
    <x v="1"/>
    <x v="0"/>
    <n v="1"/>
    <n v="0"/>
    <x v="1"/>
    <n v="5"/>
    <n v="2"/>
    <x v="5"/>
    <n v="2.9"/>
    <x v="0"/>
    <x v="30"/>
    <x v="0"/>
    <s v=""/>
    <x v="0"/>
    <x v="0"/>
    <x v="0"/>
    <s v=""/>
    <x v="0"/>
    <s v=""/>
  </r>
  <r>
    <n v="900147"/>
    <x v="146"/>
    <x v="0"/>
    <n v="35"/>
    <x v="1"/>
    <x v="6"/>
    <x v="9"/>
    <s v="입학전문직(입학사정관)"/>
    <s v="대학회계계약직"/>
    <s v="비공무원"/>
    <x v="0"/>
    <s v="Y"/>
    <s v="N"/>
    <d v="2021-04-01T00:00:00"/>
    <d v="2022-01-01T00:00:00"/>
    <d v="2025-12-01T00:00:00"/>
    <d v="2025-12-01T00:00:00"/>
    <m/>
    <s v="휴직복직[20250713~99991231]"/>
    <s v="대학회계계약직"/>
    <x v="0"/>
    <n v="11"/>
    <x v="0"/>
    <x v="0"/>
    <n v="1"/>
    <n v="0"/>
    <x v="1"/>
    <n v="4"/>
    <n v="5"/>
    <x v="4"/>
    <n v="0.8"/>
    <x v="0"/>
    <x v="0"/>
    <x v="0"/>
    <s v=""/>
    <x v="0"/>
    <x v="0"/>
    <x v="0"/>
    <s v=""/>
    <x v="0"/>
    <s v=""/>
  </r>
  <r>
    <n v="900148"/>
    <x v="147"/>
    <x v="0"/>
    <n v="54"/>
    <x v="0"/>
    <x v="8"/>
    <x v="3"/>
    <s v="행정서기보"/>
    <s v="일반직"/>
    <s v="공무원"/>
    <x v="0"/>
    <s v="N"/>
    <s v="N"/>
    <d v="2006-11-01T00:00:00"/>
    <d v="2006-11-01T00:00:00"/>
    <d v="2015-02-01T00:00:00"/>
    <d v="2015-02-01T00:00:00"/>
    <m/>
    <m/>
    <s v="9급"/>
    <x v="4"/>
    <n v="7"/>
    <x v="1"/>
    <x v="0"/>
    <n v="1"/>
    <n v="0"/>
    <x v="2"/>
    <n v="19"/>
    <n v="19"/>
    <x v="4"/>
    <n v="11.6"/>
    <x v="2"/>
    <x v="28"/>
    <x v="0"/>
    <s v=""/>
    <x v="0"/>
    <x v="0"/>
    <x v="0"/>
    <s v=""/>
    <x v="0"/>
    <s v=""/>
  </r>
  <r>
    <n v="900149"/>
    <x v="148"/>
    <x v="0"/>
    <n v="49"/>
    <x v="1"/>
    <x v="5"/>
    <x v="14"/>
    <s v="행정사무관"/>
    <s v="일반직"/>
    <s v="공무원"/>
    <x v="6"/>
    <s v="Y"/>
    <s v="N"/>
    <d v="2020-12-01T00:00:00"/>
    <d v="2020-12-01T00:00:00"/>
    <d v="2020-12-01T00:00:00"/>
    <d v="2020-12-01T00:00:00"/>
    <n v="8"/>
    <m/>
    <s v="5급"/>
    <x v="7"/>
    <n v="3"/>
    <x v="1"/>
    <x v="0"/>
    <n v="1"/>
    <n v="0"/>
    <x v="0"/>
    <n v="5"/>
    <n v="5"/>
    <x v="1"/>
    <n v="5.8"/>
    <x v="1"/>
    <x v="11"/>
    <x v="1"/>
    <s v=""/>
    <x v="0"/>
    <x v="0"/>
    <x v="0"/>
    <s v=""/>
    <x v="0"/>
    <s v=""/>
  </r>
  <r>
    <n v="900150"/>
    <x v="149"/>
    <x v="0"/>
    <n v="53"/>
    <x v="1"/>
    <x v="11"/>
    <x v="4"/>
    <s v="대학회계계약직(사무실무직)"/>
    <s v="대학회계계약직"/>
    <s v="비공무원"/>
    <x v="0"/>
    <s v="Y"/>
    <s v="N"/>
    <d v="2007-09-01T00:00:00"/>
    <d v="2007-09-01T00:00:00"/>
    <d v="2017-04-01T00:00:00"/>
    <d v="2017-04-01T00:00:00"/>
    <n v="22"/>
    <m/>
    <s v="대학회계계약직"/>
    <x v="0"/>
    <n v="11"/>
    <x v="0"/>
    <x v="0"/>
    <n v="1"/>
    <n v="0"/>
    <x v="2"/>
    <n v="19"/>
    <n v="19"/>
    <x v="0"/>
    <n v="9.4"/>
    <x v="1"/>
    <x v="0"/>
    <x v="0"/>
    <s v=""/>
    <x v="0"/>
    <x v="0"/>
    <x v="0"/>
    <s v=""/>
    <x v="0"/>
    <s v=""/>
  </r>
  <r>
    <n v="900151"/>
    <x v="150"/>
    <x v="0"/>
    <n v="31"/>
    <x v="0"/>
    <x v="5"/>
    <x v="10"/>
    <s v="행정서기"/>
    <s v="일반직"/>
    <s v="공무원"/>
    <x v="0"/>
    <s v="Y"/>
    <s v="N"/>
    <d v="2018-04-01T00:00:00"/>
    <d v="2021-06-01T00:00:00"/>
    <d v="2021-06-01T00:00:00"/>
    <d v="2021-06-01T00:00:00"/>
    <n v="10"/>
    <m/>
    <s v="8급"/>
    <x v="9"/>
    <n v="6"/>
    <x v="1"/>
    <x v="0"/>
    <n v="1"/>
    <n v="0"/>
    <x v="1"/>
    <n v="5"/>
    <n v="8"/>
    <x v="2"/>
    <n v="5.3"/>
    <x v="1"/>
    <x v="31"/>
    <x v="0"/>
    <s v=""/>
    <x v="0"/>
    <x v="0"/>
    <x v="0"/>
    <s v=""/>
    <x v="0"/>
    <s v=""/>
  </r>
  <r>
    <n v="900152"/>
    <x v="151"/>
    <x v="0"/>
    <n v="42"/>
    <x v="0"/>
    <x v="0"/>
    <x v="5"/>
    <s v="행정서기"/>
    <s v="일반직"/>
    <s v="공무원"/>
    <x v="0"/>
    <s v="Y"/>
    <s v="N"/>
    <d v="2007-06-01T00:00:00"/>
    <d v="2007-06-01T00:00:00"/>
    <d v="2016-10-01T00:00:00"/>
    <d v="2016-10-01T00:00:00"/>
    <n v="19"/>
    <m/>
    <s v="8급"/>
    <x v="9"/>
    <n v="6"/>
    <x v="1"/>
    <x v="0"/>
    <n v="1"/>
    <n v="0"/>
    <x v="0"/>
    <n v="19"/>
    <n v="19"/>
    <x v="2"/>
    <n v="9.9"/>
    <x v="1"/>
    <x v="17"/>
    <x v="0"/>
    <s v=""/>
    <x v="0"/>
    <x v="0"/>
    <x v="0"/>
    <s v=""/>
    <x v="0"/>
    <s v=""/>
  </r>
  <r>
    <n v="900153"/>
    <x v="152"/>
    <x v="0"/>
    <n v="49"/>
    <x v="0"/>
    <x v="13"/>
    <x v="6"/>
    <s v="행정서기"/>
    <s v="일반직"/>
    <s v="공무원"/>
    <x v="0"/>
    <s v="N"/>
    <s v="N"/>
    <d v="2020-10-01T00:00:00"/>
    <d v="2020-10-01T00:00:00"/>
    <d v="2020-10-01T00:00:00"/>
    <d v="2020-10-01T00:00:00"/>
    <n v="6"/>
    <m/>
    <s v="8급"/>
    <x v="9"/>
    <n v="6"/>
    <x v="1"/>
    <x v="0"/>
    <n v="1"/>
    <n v="0"/>
    <x v="0"/>
    <n v="5"/>
    <n v="5"/>
    <x v="1"/>
    <n v="5.9"/>
    <x v="1"/>
    <x v="11"/>
    <x v="0"/>
    <s v=""/>
    <x v="0"/>
    <x v="0"/>
    <x v="0"/>
    <s v=""/>
    <x v="0"/>
    <s v=""/>
  </r>
  <r>
    <n v="900154"/>
    <x v="153"/>
    <x v="1"/>
    <n v="32"/>
    <x v="0"/>
    <x v="14"/>
    <x v="7"/>
    <s v="행정서기"/>
    <s v="일반직"/>
    <s v="공무원"/>
    <x v="0"/>
    <s v="N"/>
    <s v="N"/>
    <d v="2017-11-01T00:00:00"/>
    <d v="2017-11-01T00:00:00"/>
    <d v="2024-11-01T00:00:00"/>
    <d v="2024-11-01T00:00:00"/>
    <n v="11"/>
    <s v="휴직복직[20230626~99991231], 휴직복직[20250225~99991231], 휴직복직[20250326~99991231], 육아휴직[20260522~20271122]"/>
    <s v="8급"/>
    <x v="9"/>
    <n v="6"/>
    <x v="1"/>
    <x v="0"/>
    <n v="1"/>
    <n v="1"/>
    <x v="1"/>
    <n v="8"/>
    <n v="8"/>
    <x v="2"/>
    <n v="1.9"/>
    <x v="0"/>
    <x v="22"/>
    <x v="0"/>
    <d v="2026-05-22T00:00:00"/>
    <x v="1"/>
    <x v="12"/>
    <x v="10"/>
    <n v="441"/>
    <x v="1"/>
    <s v=""/>
  </r>
  <r>
    <n v="900155"/>
    <x v="154"/>
    <x v="0"/>
    <n v="39"/>
    <x v="1"/>
    <x v="15"/>
    <x v="4"/>
    <s v="행정서기보"/>
    <s v="일반직"/>
    <s v="공무원"/>
    <x v="0"/>
    <s v="Y"/>
    <s v="N"/>
    <d v="2016-05-01T00:00:00"/>
    <d v="2016-05-01T00:00:00"/>
    <d v="2016-05-01T00:00:00"/>
    <d v="2016-05-01T00:00:00"/>
    <n v="13"/>
    <m/>
    <s v="9급"/>
    <x v="4"/>
    <n v="7"/>
    <x v="1"/>
    <x v="0"/>
    <n v="1"/>
    <n v="0"/>
    <x v="1"/>
    <n v="10"/>
    <n v="10"/>
    <x v="2"/>
    <n v="10.4"/>
    <x v="2"/>
    <x v="3"/>
    <x v="0"/>
    <s v=""/>
    <x v="0"/>
    <x v="0"/>
    <x v="0"/>
    <s v=""/>
    <x v="0"/>
    <s v=""/>
  </r>
  <r>
    <n v="900156"/>
    <x v="155"/>
    <x v="0"/>
    <n v="33"/>
    <x v="0"/>
    <x v="0"/>
    <x v="11"/>
    <s v="대학회계직7급(사무원)"/>
    <s v="대학회계직"/>
    <s v="비공무원"/>
    <x v="0"/>
    <s v="Y"/>
    <s v="N"/>
    <d v="2024-03-01T00:00:00"/>
    <d v="2024-03-01T00:00:00"/>
    <d v="2026-08-01T00:00:00"/>
    <d v="2026-08-01T00:00:00"/>
    <m/>
    <m/>
    <s v="대학회계직"/>
    <x v="10"/>
    <n v="10"/>
    <x v="3"/>
    <x v="0"/>
    <n v="1"/>
    <n v="0"/>
    <x v="1"/>
    <n v="2"/>
    <n v="2"/>
    <x v="4"/>
    <n v="0.1"/>
    <x v="0"/>
    <x v="0"/>
    <x v="0"/>
    <s v=""/>
    <x v="0"/>
    <x v="0"/>
    <x v="0"/>
    <s v=""/>
    <x v="0"/>
    <s v=""/>
  </r>
  <r>
    <n v="900157"/>
    <x v="156"/>
    <x v="0"/>
    <n v="29"/>
    <x v="1"/>
    <x v="3"/>
    <x v="14"/>
    <s v="행정인턴"/>
    <s v="인턴(수습)"/>
    <s v="비공무원"/>
    <x v="0"/>
    <s v="Y"/>
    <s v="N"/>
    <d v="2021-02-01T00:00:00"/>
    <d v="2021-02-01T00:00:00"/>
    <d v="2021-02-01T00:00:00"/>
    <d v="2021-02-01T00:00:00"/>
    <m/>
    <m/>
    <s v="인턴"/>
    <x v="8"/>
    <n v="13"/>
    <x v="2"/>
    <x v="1"/>
    <n v="1"/>
    <n v="0"/>
    <x v="3"/>
    <n v="5"/>
    <n v="5"/>
    <x v="4"/>
    <n v="5.6"/>
    <x v="1"/>
    <x v="0"/>
    <x v="0"/>
    <s v=""/>
    <x v="0"/>
    <x v="0"/>
    <x v="0"/>
    <s v=""/>
    <x v="0"/>
    <s v=""/>
  </r>
  <r>
    <n v="900158"/>
    <x v="157"/>
    <x v="0"/>
    <n v="49"/>
    <x v="1"/>
    <x v="4"/>
    <x v="0"/>
    <s v="행정주사보"/>
    <s v="일반직"/>
    <s v="공무원"/>
    <x v="0"/>
    <s v="Y"/>
    <s v="N"/>
    <d v="2006-06-01T00:00:00"/>
    <d v="2006-06-01T00:00:00"/>
    <d v="2017-12-01T00:00:00"/>
    <d v="2017-12-01T00:00:00"/>
    <n v="23"/>
    <m/>
    <s v="7급"/>
    <x v="1"/>
    <n v="5"/>
    <x v="1"/>
    <x v="0"/>
    <n v="1"/>
    <n v="0"/>
    <x v="0"/>
    <n v="20"/>
    <n v="20"/>
    <x v="0"/>
    <n v="8.8000000000000007"/>
    <x v="1"/>
    <x v="11"/>
    <x v="0"/>
    <s v=""/>
    <x v="0"/>
    <x v="0"/>
    <x v="0"/>
    <s v=""/>
    <x v="0"/>
    <s v=""/>
  </r>
  <r>
    <n v="900159"/>
    <x v="158"/>
    <x v="0"/>
    <n v="41"/>
    <x v="0"/>
    <x v="6"/>
    <x v="14"/>
    <s v="행정주사보"/>
    <s v="일반직"/>
    <s v="공무원"/>
    <x v="0"/>
    <s v="N"/>
    <s v="N"/>
    <d v="2011-10-01T00:00:00"/>
    <d v="2011-10-01T00:00:00"/>
    <d v="2013-06-01T00:00:00"/>
    <d v="2013-06-01T00:00:00"/>
    <n v="15"/>
    <m/>
    <s v="7급"/>
    <x v="1"/>
    <n v="5"/>
    <x v="1"/>
    <x v="0"/>
    <n v="1"/>
    <n v="0"/>
    <x v="0"/>
    <n v="14"/>
    <n v="14"/>
    <x v="2"/>
    <n v="13.3"/>
    <x v="2"/>
    <x v="16"/>
    <x v="0"/>
    <s v=""/>
    <x v="0"/>
    <x v="0"/>
    <x v="0"/>
    <s v=""/>
    <x v="0"/>
    <s v=""/>
  </r>
  <r>
    <n v="900160"/>
    <x v="159"/>
    <x v="0"/>
    <n v="54"/>
    <x v="0"/>
    <x v="14"/>
    <x v="2"/>
    <s v="행정서기"/>
    <s v="일반직"/>
    <s v="공무원"/>
    <x v="0"/>
    <s v="Y"/>
    <s v="N"/>
    <d v="2008-07-01T00:00:00"/>
    <d v="2021-11-01T00:00:00"/>
    <d v="2021-11-01T00:00:00"/>
    <d v="2021-11-01T00:00:00"/>
    <n v="20"/>
    <m/>
    <s v="8급"/>
    <x v="9"/>
    <n v="6"/>
    <x v="1"/>
    <x v="0"/>
    <n v="1"/>
    <n v="0"/>
    <x v="2"/>
    <n v="4"/>
    <n v="18"/>
    <x v="0"/>
    <n v="4.9000000000000004"/>
    <x v="0"/>
    <x v="28"/>
    <x v="0"/>
    <s v=""/>
    <x v="0"/>
    <x v="0"/>
    <x v="0"/>
    <s v=""/>
    <x v="0"/>
    <s v=""/>
  </r>
  <r>
    <n v="900161"/>
    <x v="160"/>
    <x v="0"/>
    <n v="41"/>
    <x v="0"/>
    <x v="5"/>
    <x v="0"/>
    <s v="대학회계계약직(사무실무직)"/>
    <s v="대학회계계약직"/>
    <s v="비공무원"/>
    <x v="0"/>
    <s v="Y"/>
    <s v="N"/>
    <d v="2016-07-01T00:00:00"/>
    <d v="2024-04-01T00:00:00"/>
    <d v="2024-04-01T00:00:00"/>
    <d v="2024-04-01T00:00:00"/>
    <n v="13"/>
    <s v="휴직복직[20250503~99991231]"/>
    <s v="대학회계계약직"/>
    <x v="0"/>
    <n v="11"/>
    <x v="0"/>
    <x v="0"/>
    <n v="1"/>
    <n v="0"/>
    <x v="0"/>
    <n v="2"/>
    <n v="10"/>
    <x v="2"/>
    <n v="2.4"/>
    <x v="0"/>
    <x v="0"/>
    <x v="0"/>
    <s v=""/>
    <x v="0"/>
    <x v="0"/>
    <x v="0"/>
    <s v=""/>
    <x v="0"/>
    <s v=""/>
  </r>
  <r>
    <n v="900162"/>
    <x v="161"/>
    <x v="0"/>
    <n v="35"/>
    <x v="0"/>
    <x v="3"/>
    <x v="3"/>
    <s v="행정주사보"/>
    <s v="일반직"/>
    <s v="공무원"/>
    <x v="0"/>
    <s v="Y"/>
    <s v="N"/>
    <d v="2020-01-01T00:00:00"/>
    <d v="2020-01-01T00:00:00"/>
    <d v="2020-01-01T00:00:00"/>
    <d v="2020-01-01T00:00:00"/>
    <n v="8"/>
    <m/>
    <s v="7급"/>
    <x v="1"/>
    <n v="5"/>
    <x v="1"/>
    <x v="0"/>
    <n v="1"/>
    <n v="0"/>
    <x v="1"/>
    <n v="6"/>
    <n v="6"/>
    <x v="1"/>
    <n v="6.7"/>
    <x v="1"/>
    <x v="33"/>
    <x v="0"/>
    <s v=""/>
    <x v="0"/>
    <x v="0"/>
    <x v="0"/>
    <s v=""/>
    <x v="0"/>
    <s v=""/>
  </r>
  <r>
    <n v="900163"/>
    <x v="162"/>
    <x v="0"/>
    <n v="29"/>
    <x v="1"/>
    <x v="1"/>
    <x v="5"/>
    <s v="대학회계직7급(사무원)"/>
    <s v="대학회계직"/>
    <s v="비공무원"/>
    <x v="0"/>
    <s v="Y"/>
    <s v="N"/>
    <d v="2020-05-01T00:00:00"/>
    <d v="2020-05-01T00:00:00"/>
    <d v="2020-05-01T00:00:00"/>
    <d v="2020-05-01T00:00:00"/>
    <n v="7"/>
    <s v="휴직복직[20240416~99991231]"/>
    <s v="대학회계직"/>
    <x v="10"/>
    <n v="10"/>
    <x v="3"/>
    <x v="0"/>
    <n v="1"/>
    <n v="0"/>
    <x v="3"/>
    <n v="6"/>
    <n v="6"/>
    <x v="1"/>
    <n v="6.4"/>
    <x v="1"/>
    <x v="0"/>
    <x v="0"/>
    <s v=""/>
    <x v="0"/>
    <x v="0"/>
    <x v="0"/>
    <s v=""/>
    <x v="0"/>
    <s v=""/>
  </r>
  <r>
    <n v="900164"/>
    <x v="163"/>
    <x v="0"/>
    <n v="47"/>
    <x v="0"/>
    <x v="3"/>
    <x v="0"/>
    <s v="공업서기"/>
    <s v="일반직"/>
    <s v="공무원"/>
    <x v="0"/>
    <s v="Y"/>
    <s v="N"/>
    <d v="2001-05-01T00:00:00"/>
    <d v="2001-05-01T00:00:00"/>
    <d v="2022-02-01T00:00:00"/>
    <d v="2022-02-01T00:00:00"/>
    <n v="25"/>
    <s v="휴직복직[20230216~99991231]"/>
    <s v="8급"/>
    <x v="9"/>
    <n v="6"/>
    <x v="1"/>
    <x v="0"/>
    <n v="1"/>
    <n v="0"/>
    <x v="0"/>
    <n v="25"/>
    <n v="25"/>
    <x v="0"/>
    <n v="4.5999999999999996"/>
    <x v="0"/>
    <x v="25"/>
    <x v="0"/>
    <s v=""/>
    <x v="0"/>
    <x v="0"/>
    <x v="0"/>
    <s v=""/>
    <x v="0"/>
    <s v=""/>
  </r>
  <r>
    <n v="900165"/>
    <x v="164"/>
    <x v="0"/>
    <n v="45"/>
    <x v="0"/>
    <x v="0"/>
    <x v="10"/>
    <s v="대학회계직7급(사무원)"/>
    <s v="대학회계직"/>
    <s v="비공무원"/>
    <x v="0"/>
    <s v="Y"/>
    <s v="N"/>
    <d v="2015-12-01T00:00:00"/>
    <d v="2015-12-01T00:00:00"/>
    <d v="2015-12-01T00:00:00"/>
    <d v="2015-12-01T00:00:00"/>
    <n v="12"/>
    <m/>
    <s v="대학회계직"/>
    <x v="10"/>
    <n v="10"/>
    <x v="3"/>
    <x v="0"/>
    <n v="1"/>
    <n v="0"/>
    <x v="0"/>
    <n v="10"/>
    <n v="10"/>
    <x v="2"/>
    <n v="10.8"/>
    <x v="2"/>
    <x v="0"/>
    <x v="0"/>
    <s v=""/>
    <x v="0"/>
    <x v="0"/>
    <x v="0"/>
    <s v=""/>
    <x v="0"/>
    <s v=""/>
  </r>
  <r>
    <n v="900166"/>
    <x v="165"/>
    <x v="0"/>
    <n v="48"/>
    <x v="1"/>
    <x v="3"/>
    <x v="10"/>
    <s v="공업주사"/>
    <s v="일반직"/>
    <s v="공무원"/>
    <x v="0"/>
    <s v="Y"/>
    <s v="N"/>
    <d v="2009-11-01T00:00:00"/>
    <d v="2026-03-01T00:00:00"/>
    <d v="2026-03-01T00:00:00"/>
    <d v="2026-03-01T00:00:00"/>
    <n v="17"/>
    <m/>
    <s v="6급"/>
    <x v="3"/>
    <n v="4"/>
    <x v="1"/>
    <x v="0"/>
    <n v="1"/>
    <n v="0"/>
    <x v="0"/>
    <n v="0"/>
    <n v="16"/>
    <x v="2"/>
    <n v="0.5"/>
    <x v="0"/>
    <x v="23"/>
    <x v="0"/>
    <s v=""/>
    <x v="0"/>
    <x v="0"/>
    <x v="0"/>
    <s v=""/>
    <x v="0"/>
    <s v=""/>
  </r>
  <r>
    <n v="900167"/>
    <x v="166"/>
    <x v="1"/>
    <n v="33"/>
    <x v="1"/>
    <x v="10"/>
    <x v="7"/>
    <s v="대학회계직7급(사무원)"/>
    <s v="대학회계직"/>
    <s v="비공무원"/>
    <x v="0"/>
    <s v="N"/>
    <s v="N"/>
    <d v="2025-09-01T00:00:00"/>
    <d v="2025-09-01T00:00:00"/>
    <d v="2025-09-01T00:00:00"/>
    <d v="2025-09-01T00:00:00"/>
    <n v="3"/>
    <s v="휴직복직[20241214~99991231], 휴직복직[20250407~99991231], 질병휴직(일반질병)[20260207~20271017]"/>
    <s v="대학회계직"/>
    <x v="10"/>
    <n v="10"/>
    <x v="3"/>
    <x v="0"/>
    <n v="1"/>
    <n v="1"/>
    <x v="1"/>
    <n v="1"/>
    <n v="1"/>
    <x v="5"/>
    <n v="1"/>
    <x v="0"/>
    <x v="0"/>
    <x v="0"/>
    <d v="2026-02-07T00:00:00"/>
    <x v="4"/>
    <x v="13"/>
    <x v="11"/>
    <n v="405"/>
    <x v="1"/>
    <s v=""/>
  </r>
  <r>
    <n v="900168"/>
    <x v="167"/>
    <x v="0"/>
    <n v="54"/>
    <x v="1"/>
    <x v="7"/>
    <x v="4"/>
    <s v="대학회계계약직(사서실무직)"/>
    <s v="대학회계계약직"/>
    <s v="비공무원"/>
    <x v="0"/>
    <s v="Y"/>
    <s v="N"/>
    <d v="2011-06-01T00:00:00"/>
    <d v="2011-06-01T00:00:00"/>
    <d v="2018-04-01T00:00:00"/>
    <d v="2018-04-01T00:00:00"/>
    <n v="18"/>
    <m/>
    <s v="대학회계계약직"/>
    <x v="0"/>
    <n v="11"/>
    <x v="0"/>
    <x v="0"/>
    <n v="1"/>
    <n v="0"/>
    <x v="2"/>
    <n v="15"/>
    <n v="15"/>
    <x v="2"/>
    <n v="8.4"/>
    <x v="1"/>
    <x v="0"/>
    <x v="0"/>
    <s v=""/>
    <x v="0"/>
    <x v="0"/>
    <x v="0"/>
    <s v=""/>
    <x v="0"/>
    <s v=""/>
  </r>
  <r>
    <n v="900169"/>
    <x v="168"/>
    <x v="0"/>
    <n v="24"/>
    <x v="0"/>
    <x v="1"/>
    <x v="2"/>
    <s v="대학회계계약직(사무실무직)"/>
    <s v="대학회계계약직"/>
    <s v="비공무원"/>
    <x v="0"/>
    <s v="N"/>
    <s v="N"/>
    <d v="2024-05-01T00:00:00"/>
    <d v="2024-05-01T00:00:00"/>
    <d v="2024-05-01T00:00:00"/>
    <d v="2024-05-01T00:00:00"/>
    <n v="3"/>
    <m/>
    <s v="대학회계계약직"/>
    <x v="0"/>
    <n v="11"/>
    <x v="0"/>
    <x v="0"/>
    <n v="1"/>
    <n v="0"/>
    <x v="3"/>
    <n v="2"/>
    <n v="2"/>
    <x v="5"/>
    <n v="2.4"/>
    <x v="0"/>
    <x v="0"/>
    <x v="0"/>
    <s v=""/>
    <x v="0"/>
    <x v="0"/>
    <x v="0"/>
    <s v=""/>
    <x v="0"/>
    <s v=""/>
  </r>
  <r>
    <n v="900170"/>
    <x v="169"/>
    <x v="0"/>
    <n v="58"/>
    <x v="1"/>
    <x v="5"/>
    <x v="2"/>
    <s v="전산주사"/>
    <s v="일반직"/>
    <s v="공무원"/>
    <x v="0"/>
    <s v="N"/>
    <s v="N"/>
    <d v="2012-03-01T00:00:00"/>
    <d v="2022-12-01T00:00:00"/>
    <d v="2024-09-01T00:00:00"/>
    <d v="2024-09-01T00:00:00"/>
    <n v="14"/>
    <m/>
    <s v="6급"/>
    <x v="3"/>
    <n v="4"/>
    <x v="1"/>
    <x v="0"/>
    <n v="1"/>
    <n v="0"/>
    <x v="2"/>
    <n v="3"/>
    <n v="14"/>
    <x v="2"/>
    <n v="2"/>
    <x v="0"/>
    <x v="34"/>
    <x v="0"/>
    <s v=""/>
    <x v="0"/>
    <x v="0"/>
    <x v="0"/>
    <s v=""/>
    <x v="0"/>
    <s v=""/>
  </r>
  <r>
    <n v="900171"/>
    <x v="170"/>
    <x v="0"/>
    <n v="45"/>
    <x v="0"/>
    <x v="7"/>
    <x v="4"/>
    <s v="대학회계계약직(사무실무직)"/>
    <s v="대학회계계약직"/>
    <s v="비공무원"/>
    <x v="0"/>
    <s v="N"/>
    <s v="N"/>
    <d v="2017-06-01T00:00:00"/>
    <d v="2017-06-01T00:00:00"/>
    <d v="2019-06-01T00:00:00"/>
    <d v="2019-06-01T00:00:00"/>
    <n v="12"/>
    <m/>
    <s v="대학회계계약직"/>
    <x v="0"/>
    <n v="11"/>
    <x v="0"/>
    <x v="0"/>
    <n v="1"/>
    <n v="0"/>
    <x v="0"/>
    <n v="9"/>
    <n v="9"/>
    <x v="2"/>
    <n v="7.3"/>
    <x v="1"/>
    <x v="0"/>
    <x v="0"/>
    <s v=""/>
    <x v="0"/>
    <x v="0"/>
    <x v="0"/>
    <s v=""/>
    <x v="0"/>
    <s v=""/>
  </r>
  <r>
    <n v="900172"/>
    <x v="171"/>
    <x v="0"/>
    <n v="48"/>
    <x v="1"/>
    <x v="7"/>
    <x v="8"/>
    <s v="행정주사"/>
    <s v="일반직"/>
    <s v="공무원"/>
    <x v="0"/>
    <s v="Y"/>
    <s v="N"/>
    <d v="2000-03-01T00:00:00"/>
    <d v="2026-10-01T00:00:00"/>
    <d v="2026-10-01T00:00:00"/>
    <d v="2026-10-01T00:00:00"/>
    <n v="27"/>
    <m/>
    <s v="6급"/>
    <x v="3"/>
    <n v="4"/>
    <x v="1"/>
    <x v="0"/>
    <n v="1"/>
    <n v="0"/>
    <x v="0"/>
    <e v="#NUM!"/>
    <n v="26"/>
    <x v="0"/>
    <n v="0.1"/>
    <x v="0"/>
    <x v="23"/>
    <x v="0"/>
    <s v=""/>
    <x v="0"/>
    <x v="0"/>
    <x v="0"/>
    <s v=""/>
    <x v="0"/>
    <s v=""/>
  </r>
  <r>
    <n v="900173"/>
    <x v="172"/>
    <x v="0"/>
    <n v="48"/>
    <x v="0"/>
    <x v="7"/>
    <x v="9"/>
    <s v="대학회계계약직(기술실무직)"/>
    <s v="대학회계계약직"/>
    <s v="비공무원"/>
    <x v="0"/>
    <s v="Y"/>
    <s v="N"/>
    <d v="2014-06-01T00:00:00"/>
    <d v="2014-06-01T00:00:00"/>
    <d v="2014-06-01T00:00:00"/>
    <d v="2014-06-01T00:00:00"/>
    <n v="13"/>
    <s v="휴직복직[20240915~99991231]"/>
    <s v="대학회계계약직"/>
    <x v="0"/>
    <n v="11"/>
    <x v="0"/>
    <x v="0"/>
    <n v="1"/>
    <n v="0"/>
    <x v="0"/>
    <n v="12"/>
    <n v="12"/>
    <x v="2"/>
    <n v="12.3"/>
    <x v="2"/>
    <x v="0"/>
    <x v="0"/>
    <s v=""/>
    <x v="0"/>
    <x v="0"/>
    <x v="0"/>
    <s v=""/>
    <x v="0"/>
    <s v=""/>
  </r>
  <r>
    <n v="900174"/>
    <x v="173"/>
    <x v="0"/>
    <n v="39"/>
    <x v="1"/>
    <x v="14"/>
    <x v="0"/>
    <s v="공업주사보"/>
    <s v="일반직"/>
    <s v="공무원"/>
    <x v="0"/>
    <s v="Y"/>
    <s v="N"/>
    <d v="2017-11-01T00:00:00"/>
    <d v="2025-07-01T00:00:00"/>
    <d v="2025-07-01T00:00:00"/>
    <d v="2025-07-01T00:00:00"/>
    <n v="11"/>
    <m/>
    <s v="7급"/>
    <x v="1"/>
    <n v="5"/>
    <x v="1"/>
    <x v="0"/>
    <n v="1"/>
    <n v="0"/>
    <x v="1"/>
    <n v="1"/>
    <n v="8"/>
    <x v="2"/>
    <n v="1.2"/>
    <x v="0"/>
    <x v="3"/>
    <x v="0"/>
    <s v=""/>
    <x v="0"/>
    <x v="0"/>
    <x v="0"/>
    <s v=""/>
    <x v="0"/>
    <s v=""/>
  </r>
  <r>
    <n v="900175"/>
    <x v="174"/>
    <x v="0"/>
    <n v="47"/>
    <x v="0"/>
    <x v="7"/>
    <x v="13"/>
    <s v="공업주사"/>
    <s v="일반직"/>
    <s v="공무원"/>
    <x v="0"/>
    <s v="Y"/>
    <s v="N"/>
    <d v="2002-12-01T00:00:00"/>
    <d v="2002-12-01T00:00:00"/>
    <d v="2025-06-01T00:00:00"/>
    <d v="2025-06-01T00:00:00"/>
    <n v="26"/>
    <m/>
    <s v="6급"/>
    <x v="3"/>
    <n v="4"/>
    <x v="1"/>
    <x v="0"/>
    <n v="1"/>
    <n v="0"/>
    <x v="0"/>
    <n v="23"/>
    <n v="23"/>
    <x v="0"/>
    <n v="1.3"/>
    <x v="0"/>
    <x v="25"/>
    <x v="0"/>
    <s v=""/>
    <x v="0"/>
    <x v="0"/>
    <x v="0"/>
    <s v=""/>
    <x v="0"/>
    <s v=""/>
  </r>
  <r>
    <n v="900176"/>
    <x v="175"/>
    <x v="0"/>
    <n v="54"/>
    <x v="1"/>
    <x v="6"/>
    <x v="12"/>
    <s v="대학회계계약직(보건전문직)"/>
    <s v="대학회계계약직"/>
    <s v="비공무원"/>
    <x v="0"/>
    <s v="Y"/>
    <s v="N"/>
    <d v="2006-03-01T00:00:00"/>
    <d v="2006-03-01T00:00:00"/>
    <d v="2020-09-01T00:00:00"/>
    <d v="2020-09-01T00:00:00"/>
    <n v="23"/>
    <m/>
    <s v="대학회계계약직"/>
    <x v="0"/>
    <n v="11"/>
    <x v="0"/>
    <x v="0"/>
    <n v="1"/>
    <n v="0"/>
    <x v="2"/>
    <n v="20"/>
    <n v="20"/>
    <x v="0"/>
    <n v="6"/>
    <x v="1"/>
    <x v="0"/>
    <x v="0"/>
    <s v=""/>
    <x v="0"/>
    <x v="0"/>
    <x v="0"/>
    <s v=""/>
    <x v="0"/>
    <s v=""/>
  </r>
  <r>
    <n v="900177"/>
    <x v="176"/>
    <x v="0"/>
    <n v="46"/>
    <x v="0"/>
    <x v="10"/>
    <x v="1"/>
    <s v="행정주사보"/>
    <s v="일반직"/>
    <s v="공무원"/>
    <x v="0"/>
    <s v="Y"/>
    <s v="N"/>
    <d v="2023-05-01T00:00:00"/>
    <d v="2023-05-01T00:00:00"/>
    <d v="2023-05-01T00:00:00"/>
    <d v="2023-05-01T00:00:00"/>
    <n v="4"/>
    <m/>
    <s v="7급"/>
    <x v="1"/>
    <n v="5"/>
    <x v="1"/>
    <x v="0"/>
    <n v="1"/>
    <n v="0"/>
    <x v="0"/>
    <n v="3"/>
    <n v="3"/>
    <x v="5"/>
    <n v="3.4"/>
    <x v="0"/>
    <x v="6"/>
    <x v="0"/>
    <s v=""/>
    <x v="0"/>
    <x v="0"/>
    <x v="0"/>
    <s v=""/>
    <x v="0"/>
    <s v=""/>
  </r>
  <r>
    <n v="900178"/>
    <x v="177"/>
    <x v="0"/>
    <n v="57"/>
    <x v="1"/>
    <x v="11"/>
    <x v="7"/>
    <s v="행정사무관"/>
    <s v="일반직"/>
    <s v="공무원"/>
    <x v="0"/>
    <s v="Y"/>
    <s v="N"/>
    <d v="2005-10-01T00:00:00"/>
    <d v="2005-10-01T00:00:00"/>
    <d v="2018-02-01T00:00:00"/>
    <d v="2018-02-01T00:00:00"/>
    <n v="24"/>
    <m/>
    <s v="5급"/>
    <x v="7"/>
    <n v="3"/>
    <x v="1"/>
    <x v="0"/>
    <n v="1"/>
    <n v="0"/>
    <x v="2"/>
    <n v="20"/>
    <n v="20"/>
    <x v="0"/>
    <n v="8.6"/>
    <x v="1"/>
    <x v="9"/>
    <x v="0"/>
    <s v=""/>
    <x v="0"/>
    <x v="0"/>
    <x v="0"/>
    <s v=""/>
    <x v="0"/>
    <s v=""/>
  </r>
  <r>
    <n v="900179"/>
    <x v="178"/>
    <x v="0"/>
    <n v="51"/>
    <x v="0"/>
    <x v="9"/>
    <x v="13"/>
    <s v="사서주사보"/>
    <s v="일반직"/>
    <s v="공무원"/>
    <x v="0"/>
    <s v="Y"/>
    <s v="N"/>
    <d v="2006-09-01T00:00:00"/>
    <d v="2006-09-01T00:00:00"/>
    <d v="2018-04-01T00:00:00"/>
    <d v="2018-04-01T00:00:00"/>
    <n v="20"/>
    <m/>
    <s v="7급"/>
    <x v="1"/>
    <n v="5"/>
    <x v="1"/>
    <x v="0"/>
    <n v="1"/>
    <n v="0"/>
    <x v="2"/>
    <n v="20"/>
    <n v="20"/>
    <x v="0"/>
    <n v="8.4"/>
    <x v="1"/>
    <x v="4"/>
    <x v="0"/>
    <s v=""/>
    <x v="0"/>
    <x v="0"/>
    <x v="0"/>
    <s v=""/>
    <x v="0"/>
    <s v=""/>
  </r>
  <r>
    <n v="900180"/>
    <x v="179"/>
    <x v="0"/>
    <n v="36"/>
    <x v="0"/>
    <x v="15"/>
    <x v="6"/>
    <s v="행정주사"/>
    <s v="일반직"/>
    <s v="공무원"/>
    <x v="0"/>
    <s v="Y"/>
    <s v="N"/>
    <d v="2017-05-01T00:00:00"/>
    <d v="2017-05-01T00:00:00"/>
    <d v="2026-09-01T00:00:00"/>
    <d v="2026-09-01T00:00:00"/>
    <n v="9"/>
    <m/>
    <s v="6급"/>
    <x v="3"/>
    <n v="4"/>
    <x v="1"/>
    <x v="0"/>
    <n v="1"/>
    <n v="0"/>
    <x v="1"/>
    <n v="9"/>
    <n v="9"/>
    <x v="1"/>
    <n v="0"/>
    <x v="0"/>
    <x v="13"/>
    <x v="0"/>
    <s v=""/>
    <x v="0"/>
    <x v="0"/>
    <x v="0"/>
    <s v=""/>
    <x v="0"/>
    <s v=""/>
  </r>
  <r>
    <n v="900181"/>
    <x v="180"/>
    <x v="0"/>
    <n v="27"/>
    <x v="0"/>
    <x v="2"/>
    <x v="6"/>
    <s v="행정서기"/>
    <s v="일반직"/>
    <s v="공무원"/>
    <x v="0"/>
    <s v="Y"/>
    <s v="N"/>
    <d v="2022-12-01T00:00:00"/>
    <d v="2022-12-01T00:00:00"/>
    <d v="2022-12-01T00:00:00"/>
    <d v="2022-12-01T00:00:00"/>
    <n v="6"/>
    <s v="휴직복직[20220901~99991231]"/>
    <s v="8급"/>
    <x v="9"/>
    <n v="6"/>
    <x v="1"/>
    <x v="0"/>
    <n v="1"/>
    <n v="0"/>
    <x v="3"/>
    <n v="3"/>
    <n v="3"/>
    <x v="1"/>
    <n v="3.8"/>
    <x v="0"/>
    <x v="20"/>
    <x v="0"/>
    <s v=""/>
    <x v="0"/>
    <x v="0"/>
    <x v="0"/>
    <s v=""/>
    <x v="0"/>
    <s v=""/>
  </r>
  <r>
    <n v="900182"/>
    <x v="181"/>
    <x v="0"/>
    <n v="29"/>
    <x v="0"/>
    <x v="0"/>
    <x v="5"/>
    <s v="공업서기"/>
    <s v="일반직"/>
    <s v="공무원"/>
    <x v="0"/>
    <s v="N"/>
    <s v="N"/>
    <d v="2022-09-01T00:00:00"/>
    <d v="2022-09-01T00:00:00"/>
    <d v="2022-09-01T00:00:00"/>
    <d v="2022-09-01T00:00:00"/>
    <n v="6"/>
    <m/>
    <s v="8급"/>
    <x v="9"/>
    <n v="6"/>
    <x v="1"/>
    <x v="0"/>
    <n v="1"/>
    <n v="0"/>
    <x v="3"/>
    <n v="4"/>
    <n v="4"/>
    <x v="1"/>
    <n v="4"/>
    <x v="0"/>
    <x v="35"/>
    <x v="0"/>
    <s v=""/>
    <x v="0"/>
    <x v="0"/>
    <x v="0"/>
    <s v=""/>
    <x v="0"/>
    <s v=""/>
  </r>
  <r>
    <n v="900183"/>
    <x v="182"/>
    <x v="0"/>
    <n v="36"/>
    <x v="0"/>
    <x v="12"/>
    <x v="12"/>
    <s v="공업서기보"/>
    <s v="일반직"/>
    <s v="공무원"/>
    <x v="0"/>
    <s v="Y"/>
    <s v="N"/>
    <d v="2012-12-01T00:00:00"/>
    <d v="2012-12-01T00:00:00"/>
    <d v="2022-02-01T00:00:00"/>
    <d v="2022-02-01T00:00:00"/>
    <n v="15"/>
    <m/>
    <s v="9급"/>
    <x v="4"/>
    <n v="7"/>
    <x v="1"/>
    <x v="0"/>
    <n v="1"/>
    <n v="0"/>
    <x v="1"/>
    <n v="13"/>
    <n v="13"/>
    <x v="2"/>
    <n v="4.5999999999999996"/>
    <x v="0"/>
    <x v="13"/>
    <x v="0"/>
    <s v=""/>
    <x v="0"/>
    <x v="0"/>
    <x v="0"/>
    <s v=""/>
    <x v="0"/>
    <s v=""/>
  </r>
  <r>
    <n v="900184"/>
    <x v="183"/>
    <x v="0"/>
    <n v="39"/>
    <x v="1"/>
    <x v="9"/>
    <x v="3"/>
    <s v="행정주사"/>
    <s v="일반직"/>
    <s v="공무원"/>
    <x v="0"/>
    <s v="N"/>
    <s v="N"/>
    <d v="2022-08-01T00:00:00"/>
    <d v="2022-08-01T00:00:00"/>
    <d v="2022-08-01T00:00:00"/>
    <d v="2022-08-01T00:00:00"/>
    <n v="6"/>
    <m/>
    <s v="6급"/>
    <x v="3"/>
    <n v="4"/>
    <x v="1"/>
    <x v="0"/>
    <n v="1"/>
    <n v="0"/>
    <x v="1"/>
    <n v="4"/>
    <n v="4"/>
    <x v="1"/>
    <n v="4.0999999999999996"/>
    <x v="0"/>
    <x v="3"/>
    <x v="0"/>
    <s v=""/>
    <x v="0"/>
    <x v="0"/>
    <x v="0"/>
    <s v=""/>
    <x v="0"/>
    <s v=""/>
  </r>
  <r>
    <n v="900185"/>
    <x v="184"/>
    <x v="0"/>
    <n v="26"/>
    <x v="1"/>
    <x v="14"/>
    <x v="13"/>
    <s v="행정인턴"/>
    <s v="인턴(수습)"/>
    <s v="비공무원"/>
    <x v="0"/>
    <s v="Y"/>
    <s v="N"/>
    <d v="2022-05-01T00:00:00"/>
    <d v="2022-05-01T00:00:00"/>
    <d v="2022-05-01T00:00:00"/>
    <d v="2022-05-01T00:00:00"/>
    <m/>
    <m/>
    <s v="인턴"/>
    <x v="8"/>
    <n v="13"/>
    <x v="2"/>
    <x v="1"/>
    <n v="1"/>
    <n v="0"/>
    <x v="3"/>
    <n v="4"/>
    <n v="4"/>
    <x v="4"/>
    <n v="4.4000000000000004"/>
    <x v="0"/>
    <x v="0"/>
    <x v="0"/>
    <s v=""/>
    <x v="0"/>
    <x v="0"/>
    <x v="0"/>
    <s v=""/>
    <x v="0"/>
    <s v=""/>
  </r>
  <r>
    <n v="900186"/>
    <x v="185"/>
    <x v="0"/>
    <n v="41"/>
    <x v="0"/>
    <x v="0"/>
    <x v="13"/>
    <s v="행정주사"/>
    <s v="일반직"/>
    <s v="공무원"/>
    <x v="0"/>
    <s v="N"/>
    <s v="N"/>
    <d v="2009-04-01T00:00:00"/>
    <d v="2009-04-01T00:00:00"/>
    <d v="2025-03-01T00:00:00"/>
    <d v="2025-03-01T00:00:00"/>
    <n v="17"/>
    <m/>
    <s v="6급"/>
    <x v="3"/>
    <n v="4"/>
    <x v="1"/>
    <x v="0"/>
    <n v="1"/>
    <n v="0"/>
    <x v="0"/>
    <n v="17"/>
    <n v="17"/>
    <x v="2"/>
    <n v="1.5"/>
    <x v="0"/>
    <x v="16"/>
    <x v="0"/>
    <s v=""/>
    <x v="0"/>
    <x v="0"/>
    <x v="0"/>
    <s v=""/>
    <x v="0"/>
    <s v=""/>
  </r>
  <r>
    <n v="900187"/>
    <x v="186"/>
    <x v="0"/>
    <n v="20"/>
    <x v="1"/>
    <x v="11"/>
    <x v="12"/>
    <s v="사회복무요원"/>
    <s v="사회복무요원"/>
    <s v="비공무원"/>
    <x v="0"/>
    <s v="Y"/>
    <s v="N"/>
    <d v="2026-08-01T00:00:00"/>
    <d v="2026-08-01T00:00:00"/>
    <d v="2026-08-01T00:00:00"/>
    <d v="2026-08-01T00:00:00"/>
    <m/>
    <m/>
    <s v="사회복무요원"/>
    <x v="6"/>
    <n v="12"/>
    <x v="2"/>
    <x v="1"/>
    <n v="1"/>
    <n v="0"/>
    <x v="3"/>
    <n v="0"/>
    <n v="0"/>
    <x v="4"/>
    <n v="0.1"/>
    <x v="0"/>
    <x v="0"/>
    <x v="0"/>
    <s v=""/>
    <x v="0"/>
    <x v="0"/>
    <x v="0"/>
    <s v=""/>
    <x v="0"/>
    <s v=""/>
  </r>
  <r>
    <n v="900188"/>
    <x v="187"/>
    <x v="0"/>
    <n v="45"/>
    <x v="0"/>
    <x v="7"/>
    <x v="8"/>
    <s v="사무운영주사"/>
    <s v="기능직"/>
    <s v="공무원"/>
    <x v="0"/>
    <s v="Y"/>
    <s v="N"/>
    <d v="2022-01-01T00:00:00"/>
    <d v="2022-01-01T00:00:00"/>
    <d v="2025-08-01T00:00:00"/>
    <d v="2025-08-01T00:00:00"/>
    <n v="7"/>
    <m/>
    <s v="6급"/>
    <x v="3"/>
    <n v="4"/>
    <x v="1"/>
    <x v="0"/>
    <n v="1"/>
    <n v="0"/>
    <x v="0"/>
    <n v="4"/>
    <n v="4"/>
    <x v="1"/>
    <n v="1.1000000000000001"/>
    <x v="0"/>
    <x v="1"/>
    <x v="0"/>
    <s v=""/>
    <x v="0"/>
    <x v="0"/>
    <x v="0"/>
    <s v=""/>
    <x v="0"/>
    <s v=""/>
  </r>
  <r>
    <n v="900189"/>
    <x v="188"/>
    <x v="0"/>
    <n v="50"/>
    <x v="1"/>
    <x v="14"/>
    <x v="14"/>
    <s v="행정주사보"/>
    <s v="일반직"/>
    <s v="공무원"/>
    <x v="0"/>
    <s v="Y"/>
    <s v="N"/>
    <d v="2000-12-01T00:00:00"/>
    <d v="2022-11-01T00:00:00"/>
    <d v="2022-11-01T00:00:00"/>
    <d v="2022-11-01T00:00:00"/>
    <m/>
    <m/>
    <s v="7급"/>
    <x v="1"/>
    <n v="5"/>
    <x v="1"/>
    <x v="0"/>
    <n v="1"/>
    <n v="0"/>
    <x v="2"/>
    <n v="3"/>
    <n v="25"/>
    <x v="4"/>
    <n v="3.9"/>
    <x v="0"/>
    <x v="14"/>
    <x v="0"/>
    <s v=""/>
    <x v="0"/>
    <x v="0"/>
    <x v="0"/>
    <s v=""/>
    <x v="0"/>
    <s v=""/>
  </r>
  <r>
    <n v="900190"/>
    <x v="189"/>
    <x v="0"/>
    <n v="38"/>
    <x v="0"/>
    <x v="1"/>
    <x v="6"/>
    <s v="대학회계계약직(사무실무직)"/>
    <s v="대학회계계약직"/>
    <s v="비공무원"/>
    <x v="0"/>
    <s v="Y"/>
    <s v="N"/>
    <d v="2011-02-01T00:00:00"/>
    <d v="2011-02-01T00:00:00"/>
    <d v="2018-03-01T00:00:00"/>
    <d v="2018-03-01T00:00:00"/>
    <n v="16"/>
    <m/>
    <s v="대학회계계약직"/>
    <x v="0"/>
    <n v="11"/>
    <x v="0"/>
    <x v="0"/>
    <n v="1"/>
    <n v="0"/>
    <x v="1"/>
    <n v="15"/>
    <n v="15"/>
    <x v="2"/>
    <n v="8.5"/>
    <x v="1"/>
    <x v="0"/>
    <x v="0"/>
    <s v=""/>
    <x v="0"/>
    <x v="0"/>
    <x v="0"/>
    <s v=""/>
    <x v="0"/>
    <s v=""/>
  </r>
  <r>
    <n v="900191"/>
    <x v="190"/>
    <x v="0"/>
    <n v="36"/>
    <x v="1"/>
    <x v="2"/>
    <x v="9"/>
    <s v="대학회계직7급(사무원)"/>
    <s v="대학회계직"/>
    <s v="비공무원"/>
    <x v="0"/>
    <s v="Y"/>
    <s v="N"/>
    <d v="2016-11-01T00:00:00"/>
    <d v="2026-08-01T00:00:00"/>
    <d v="2026-08-01T00:00:00"/>
    <d v="2026-08-01T00:00:00"/>
    <n v="13"/>
    <m/>
    <s v="대학회계직"/>
    <x v="10"/>
    <n v="10"/>
    <x v="3"/>
    <x v="0"/>
    <n v="1"/>
    <n v="0"/>
    <x v="1"/>
    <n v="0"/>
    <n v="9"/>
    <x v="2"/>
    <n v="0.1"/>
    <x v="0"/>
    <x v="0"/>
    <x v="0"/>
    <s v=""/>
    <x v="0"/>
    <x v="0"/>
    <x v="0"/>
    <s v=""/>
    <x v="0"/>
    <s v=""/>
  </r>
  <r>
    <n v="900192"/>
    <x v="191"/>
    <x v="0"/>
    <n v="46"/>
    <x v="0"/>
    <x v="9"/>
    <x v="8"/>
    <s v="행정주사"/>
    <s v="일반직"/>
    <s v="공무원"/>
    <x v="0"/>
    <s v="N"/>
    <s v="N"/>
    <d v="2010-01-01T00:00:00"/>
    <d v="2010-01-01T00:00:00"/>
    <d v="2020-03-01T00:00:00"/>
    <d v="2020-03-01T00:00:00"/>
    <n v="17"/>
    <m/>
    <s v="6급"/>
    <x v="3"/>
    <n v="4"/>
    <x v="1"/>
    <x v="0"/>
    <n v="1"/>
    <n v="0"/>
    <x v="0"/>
    <n v="16"/>
    <n v="16"/>
    <x v="2"/>
    <n v="6.5"/>
    <x v="1"/>
    <x v="6"/>
    <x v="0"/>
    <s v=""/>
    <x v="0"/>
    <x v="0"/>
    <x v="0"/>
    <s v=""/>
    <x v="0"/>
    <s v=""/>
  </r>
  <r>
    <n v="900193"/>
    <x v="192"/>
    <x v="0"/>
    <n v="47"/>
    <x v="0"/>
    <x v="15"/>
    <x v="10"/>
    <s v="행정서기"/>
    <s v="일반직"/>
    <s v="공무원"/>
    <x v="0"/>
    <s v="N"/>
    <s v="N"/>
    <d v="2023-04-01T00:00:00"/>
    <d v="2022-02-01T00:00:00"/>
    <d v="2022-02-01T00:00:00"/>
    <d v="2022-02-01T00:00:00"/>
    <m/>
    <m/>
    <s v="8급"/>
    <x v="9"/>
    <n v="6"/>
    <x v="1"/>
    <x v="0"/>
    <n v="1"/>
    <n v="0"/>
    <x v="0"/>
    <n v="4"/>
    <n v="3"/>
    <x v="4"/>
    <n v="4.5999999999999996"/>
    <x v="0"/>
    <x v="25"/>
    <x v="0"/>
    <s v=""/>
    <x v="0"/>
    <x v="0"/>
    <x v="0"/>
    <s v=""/>
    <x v="0"/>
    <s v=""/>
  </r>
  <r>
    <n v="900194"/>
    <x v="193"/>
    <x v="0"/>
    <n v="34"/>
    <x v="1"/>
    <x v="6"/>
    <x v="13"/>
    <s v="입학전문직(입학사정관)"/>
    <s v="대학회계계약직"/>
    <s v="비공무원"/>
    <x v="0"/>
    <s v="N"/>
    <s v="N"/>
    <d v="2023-10-01T00:00:00"/>
    <d v="2023-10-01T00:00:00"/>
    <d v="2023-10-01T00:00:00"/>
    <d v="2023-10-01T00:00:00"/>
    <n v="3"/>
    <m/>
    <s v="대학회계계약직"/>
    <x v="0"/>
    <n v="11"/>
    <x v="0"/>
    <x v="0"/>
    <n v="1"/>
    <n v="0"/>
    <x v="1"/>
    <n v="2"/>
    <n v="2"/>
    <x v="5"/>
    <n v="2.9"/>
    <x v="0"/>
    <x v="0"/>
    <x v="0"/>
    <s v=""/>
    <x v="0"/>
    <x v="0"/>
    <x v="0"/>
    <s v=""/>
    <x v="0"/>
    <s v=""/>
  </r>
  <r>
    <n v="900195"/>
    <x v="194"/>
    <x v="1"/>
    <n v="55"/>
    <x v="1"/>
    <x v="14"/>
    <x v="14"/>
    <s v="행정주사보"/>
    <s v="일반직"/>
    <s v="공무원"/>
    <x v="0"/>
    <s v="N"/>
    <s v="N"/>
    <d v="2012-01-01T00:00:00"/>
    <d v="2025-03-01T00:00:00"/>
    <d v="2025-03-01T00:00:00"/>
    <d v="2025-03-01T00:00:00"/>
    <n v="16"/>
    <s v="휴직복직[20230129~99991231], 휴직복직[20250129~99991231], 육아휴직[20260605~20270605]"/>
    <s v="7급"/>
    <x v="1"/>
    <n v="5"/>
    <x v="1"/>
    <x v="0"/>
    <n v="1"/>
    <n v="1"/>
    <x v="2"/>
    <n v="1"/>
    <n v="14"/>
    <x v="2"/>
    <n v="1.5"/>
    <x v="0"/>
    <x v="5"/>
    <x v="0"/>
    <d v="2026-06-05T00:00:00"/>
    <x v="1"/>
    <x v="14"/>
    <x v="5"/>
    <n v="271"/>
    <x v="1"/>
    <s v=""/>
  </r>
  <r>
    <n v="900196"/>
    <x v="195"/>
    <x v="0"/>
    <n v="47"/>
    <x v="1"/>
    <x v="10"/>
    <x v="0"/>
    <s v="사서서기"/>
    <s v="일반직"/>
    <s v="공무원"/>
    <x v="0"/>
    <s v="Y"/>
    <s v="N"/>
    <d v="2022-01-01T00:00:00"/>
    <d v="2024-08-01T00:00:00"/>
    <d v="2026-12-01T00:00:00"/>
    <d v="2026-12-01T00:00:00"/>
    <n v="7"/>
    <m/>
    <s v="8급"/>
    <x v="9"/>
    <n v="6"/>
    <x v="1"/>
    <x v="0"/>
    <n v="1"/>
    <n v="0"/>
    <x v="0"/>
    <n v="2"/>
    <n v="4"/>
    <x v="1"/>
    <n v="0.2"/>
    <x v="0"/>
    <x v="25"/>
    <x v="0"/>
    <s v=""/>
    <x v="0"/>
    <x v="0"/>
    <x v="0"/>
    <s v=""/>
    <x v="0"/>
    <s v=""/>
  </r>
  <r>
    <n v="900197"/>
    <x v="196"/>
    <x v="0"/>
    <n v="39"/>
    <x v="0"/>
    <x v="14"/>
    <x v="7"/>
    <s v="행정주사"/>
    <s v="일반직"/>
    <s v="공무원"/>
    <x v="0"/>
    <s v="N"/>
    <s v="N"/>
    <d v="2009-07-01T00:00:00"/>
    <d v="2009-07-01T00:00:00"/>
    <d v="2016-02-01T00:00:00"/>
    <d v="2016-02-01T00:00:00"/>
    <n v="20"/>
    <m/>
    <s v="6급"/>
    <x v="3"/>
    <n v="4"/>
    <x v="1"/>
    <x v="0"/>
    <n v="1"/>
    <n v="0"/>
    <x v="1"/>
    <n v="17"/>
    <n v="17"/>
    <x v="0"/>
    <n v="10.6"/>
    <x v="2"/>
    <x v="3"/>
    <x v="0"/>
    <s v=""/>
    <x v="0"/>
    <x v="0"/>
    <x v="0"/>
    <s v=""/>
    <x v="0"/>
    <s v=""/>
  </r>
  <r>
    <n v="900198"/>
    <x v="197"/>
    <x v="0"/>
    <n v="49"/>
    <x v="1"/>
    <x v="10"/>
    <x v="13"/>
    <s v="사서주사"/>
    <s v="일반직"/>
    <s v="공무원"/>
    <x v="0"/>
    <s v="Y"/>
    <s v="N"/>
    <d v="2009-08-01T00:00:00"/>
    <d v="2009-08-01T00:00:00"/>
    <d v="2021-02-01T00:00:00"/>
    <d v="2021-02-01T00:00:00"/>
    <n v="19"/>
    <m/>
    <s v="6급"/>
    <x v="3"/>
    <n v="4"/>
    <x v="1"/>
    <x v="0"/>
    <n v="1"/>
    <n v="0"/>
    <x v="0"/>
    <n v="17"/>
    <n v="17"/>
    <x v="2"/>
    <n v="5.6"/>
    <x v="1"/>
    <x v="11"/>
    <x v="0"/>
    <s v=""/>
    <x v="0"/>
    <x v="0"/>
    <x v="0"/>
    <s v=""/>
    <x v="0"/>
    <s v=""/>
  </r>
  <r>
    <n v="900199"/>
    <x v="198"/>
    <x v="0"/>
    <n v="40"/>
    <x v="0"/>
    <x v="7"/>
    <x v="2"/>
    <s v="공업주사"/>
    <s v="일반직"/>
    <s v="공무원"/>
    <x v="0"/>
    <s v="Y"/>
    <s v="N"/>
    <d v="2008-01-01T00:00:00"/>
    <d v="2025-10-01T00:00:00"/>
    <d v="2025-10-01T00:00:00"/>
    <d v="2025-10-01T00:00:00"/>
    <n v="18"/>
    <m/>
    <s v="6급"/>
    <x v="3"/>
    <n v="4"/>
    <x v="1"/>
    <x v="0"/>
    <n v="1"/>
    <n v="0"/>
    <x v="0"/>
    <n v="0"/>
    <n v="18"/>
    <x v="2"/>
    <n v="0.9"/>
    <x v="0"/>
    <x v="32"/>
    <x v="0"/>
    <s v=""/>
    <x v="0"/>
    <x v="0"/>
    <x v="0"/>
    <s v=""/>
    <x v="0"/>
    <s v=""/>
  </r>
  <r>
    <n v="900200"/>
    <x v="199"/>
    <x v="0"/>
    <n v="35"/>
    <x v="0"/>
    <x v="8"/>
    <x v="7"/>
    <s v="행정주사보"/>
    <s v="일반직"/>
    <s v="공무원"/>
    <x v="0"/>
    <s v="Y"/>
    <s v="N"/>
    <d v="2016-08-01T00:00:00"/>
    <d v="2016-08-01T00:00:00"/>
    <d v="2025-02-01T00:00:00"/>
    <d v="2025-02-01T00:00:00"/>
    <n v="11"/>
    <s v="휴직복직[20240227~99991231]"/>
    <s v="7급"/>
    <x v="1"/>
    <n v="5"/>
    <x v="1"/>
    <x v="0"/>
    <n v="1"/>
    <n v="0"/>
    <x v="1"/>
    <n v="10"/>
    <n v="10"/>
    <x v="2"/>
    <n v="1.6"/>
    <x v="0"/>
    <x v="33"/>
    <x v="0"/>
    <s v=""/>
    <x v="0"/>
    <x v="0"/>
    <x v="0"/>
    <s v=""/>
    <x v="0"/>
    <s v=""/>
  </r>
  <r>
    <n v="900201"/>
    <x v="200"/>
    <x v="0"/>
    <n v="33"/>
    <x v="0"/>
    <x v="2"/>
    <x v="6"/>
    <s v="행정주사보"/>
    <s v="일반직"/>
    <s v="공무원"/>
    <x v="0"/>
    <s v="Y"/>
    <s v="N"/>
    <d v="2018-12-01T00:00:00"/>
    <d v="2018-12-01T00:00:00"/>
    <d v="2018-12-01T00:00:00"/>
    <d v="2018-12-01T00:00:00"/>
    <n v="8"/>
    <m/>
    <s v="7급"/>
    <x v="1"/>
    <n v="5"/>
    <x v="1"/>
    <x v="0"/>
    <n v="1"/>
    <n v="0"/>
    <x v="1"/>
    <n v="7"/>
    <n v="7"/>
    <x v="1"/>
    <n v="7.8"/>
    <x v="1"/>
    <x v="30"/>
    <x v="0"/>
    <s v=""/>
    <x v="0"/>
    <x v="0"/>
    <x v="0"/>
    <s v=""/>
    <x v="0"/>
    <s v=""/>
  </r>
  <r>
    <n v="900202"/>
    <x v="201"/>
    <x v="0"/>
    <n v="26"/>
    <x v="1"/>
    <x v="6"/>
    <x v="7"/>
    <s v="행정서기보"/>
    <s v="일반직"/>
    <s v="공무원"/>
    <x v="0"/>
    <s v="Y"/>
    <s v="N"/>
    <d v="2024-10-01T00:00:00"/>
    <d v="2024-10-01T00:00:00"/>
    <d v="2024-10-01T00:00:00"/>
    <d v="2024-10-01T00:00:00"/>
    <n v="4"/>
    <m/>
    <s v="9급"/>
    <x v="4"/>
    <n v="7"/>
    <x v="1"/>
    <x v="0"/>
    <n v="1"/>
    <n v="0"/>
    <x v="3"/>
    <n v="1"/>
    <n v="1"/>
    <x v="5"/>
    <n v="1.9"/>
    <x v="0"/>
    <x v="10"/>
    <x v="0"/>
    <s v=""/>
    <x v="0"/>
    <x v="0"/>
    <x v="0"/>
    <s v=""/>
    <x v="0"/>
    <s v=""/>
  </r>
  <r>
    <n v="900203"/>
    <x v="202"/>
    <x v="0"/>
    <n v="47"/>
    <x v="1"/>
    <x v="9"/>
    <x v="6"/>
    <s v="행정주사"/>
    <s v="일반직"/>
    <s v="공무원"/>
    <x v="0"/>
    <s v="Y"/>
    <s v="N"/>
    <d v="2018-01-01T00:00:00"/>
    <d v="2018-01-01T00:00:00"/>
    <d v="2018-01-01T00:00:00"/>
    <d v="2018-01-01T00:00:00"/>
    <n v="9"/>
    <m/>
    <s v="6급"/>
    <x v="3"/>
    <n v="4"/>
    <x v="1"/>
    <x v="0"/>
    <n v="1"/>
    <n v="0"/>
    <x v="0"/>
    <n v="8"/>
    <n v="8"/>
    <x v="1"/>
    <n v="8.6999999999999993"/>
    <x v="1"/>
    <x v="25"/>
    <x v="0"/>
    <s v=""/>
    <x v="0"/>
    <x v="0"/>
    <x v="0"/>
    <s v=""/>
    <x v="0"/>
    <s v=""/>
  </r>
  <r>
    <n v="900204"/>
    <x v="203"/>
    <x v="0"/>
    <n v="52"/>
    <x v="0"/>
    <x v="2"/>
    <x v="2"/>
    <s v="대학회계계약직(전산전문직)"/>
    <s v="대학회계계약직"/>
    <s v="비공무원"/>
    <x v="0"/>
    <s v="Y"/>
    <s v="N"/>
    <d v="2000-03-01T00:00:00"/>
    <d v="2000-03-01T00:00:00"/>
    <d v="2026-05-01T00:00:00"/>
    <d v="2026-05-01T00:00:00"/>
    <n v="26"/>
    <m/>
    <s v="대학회계계약직"/>
    <x v="0"/>
    <n v="11"/>
    <x v="0"/>
    <x v="0"/>
    <n v="1"/>
    <n v="0"/>
    <x v="2"/>
    <n v="26"/>
    <n v="26"/>
    <x v="0"/>
    <n v="0.4"/>
    <x v="0"/>
    <x v="0"/>
    <x v="0"/>
    <s v=""/>
    <x v="0"/>
    <x v="0"/>
    <x v="0"/>
    <s v=""/>
    <x v="0"/>
    <s v=""/>
  </r>
  <r>
    <n v="900205"/>
    <x v="204"/>
    <x v="0"/>
    <n v="28"/>
    <x v="0"/>
    <x v="8"/>
    <x v="12"/>
    <s v="대학회계계약직(기술실무직)"/>
    <s v="대학회계계약직"/>
    <s v="비공무원"/>
    <x v="0"/>
    <s v="Y"/>
    <s v="N"/>
    <d v="2024-01-01T00:00:00"/>
    <d v="2024-01-01T00:00:00"/>
    <d v="2024-01-01T00:00:00"/>
    <d v="2024-01-01T00:00:00"/>
    <n v="4"/>
    <m/>
    <s v="대학회계계약직"/>
    <x v="0"/>
    <n v="11"/>
    <x v="0"/>
    <x v="0"/>
    <n v="1"/>
    <n v="0"/>
    <x v="3"/>
    <n v="2"/>
    <n v="2"/>
    <x v="5"/>
    <n v="2.7"/>
    <x v="0"/>
    <x v="0"/>
    <x v="0"/>
    <s v=""/>
    <x v="0"/>
    <x v="0"/>
    <x v="0"/>
    <s v=""/>
    <x v="0"/>
    <s v=""/>
  </r>
  <r>
    <n v="900206"/>
    <x v="205"/>
    <x v="0"/>
    <n v="38"/>
    <x v="0"/>
    <x v="4"/>
    <x v="7"/>
    <s v="전산주사"/>
    <s v="일반직"/>
    <s v="공무원"/>
    <x v="0"/>
    <s v="N"/>
    <s v="N"/>
    <d v="2017-09-01T00:00:00"/>
    <d v="2017-09-01T00:00:00"/>
    <d v="2024-02-01T00:00:00"/>
    <d v="2024-02-01T00:00:00"/>
    <n v="11"/>
    <s v="휴직복직[20250519~99991231]"/>
    <s v="6급"/>
    <x v="3"/>
    <n v="4"/>
    <x v="1"/>
    <x v="0"/>
    <n v="1"/>
    <n v="0"/>
    <x v="1"/>
    <n v="9"/>
    <n v="9"/>
    <x v="2"/>
    <n v="2.6"/>
    <x v="0"/>
    <x v="29"/>
    <x v="0"/>
    <s v=""/>
    <x v="0"/>
    <x v="0"/>
    <x v="0"/>
    <s v=""/>
    <x v="0"/>
    <s v=""/>
  </r>
  <r>
    <n v="900207"/>
    <x v="206"/>
    <x v="0"/>
    <n v="54"/>
    <x v="1"/>
    <x v="6"/>
    <x v="1"/>
    <s v="사서주사"/>
    <s v="일반직"/>
    <s v="공무원"/>
    <x v="0"/>
    <s v="N"/>
    <s v="N"/>
    <d v="2008-01-01T00:00:00"/>
    <d v="2008-01-01T00:00:00"/>
    <d v="2014-12-01T00:00:00"/>
    <d v="2014-12-01T00:00:00"/>
    <n v="18"/>
    <m/>
    <s v="6급"/>
    <x v="3"/>
    <n v="4"/>
    <x v="1"/>
    <x v="0"/>
    <n v="1"/>
    <n v="0"/>
    <x v="2"/>
    <n v="18"/>
    <n v="18"/>
    <x v="2"/>
    <n v="11.8"/>
    <x v="2"/>
    <x v="28"/>
    <x v="0"/>
    <s v=""/>
    <x v="0"/>
    <x v="0"/>
    <x v="0"/>
    <s v=""/>
    <x v="0"/>
    <s v=""/>
  </r>
  <r>
    <n v="900208"/>
    <x v="207"/>
    <x v="1"/>
    <n v="59"/>
    <x v="0"/>
    <x v="9"/>
    <x v="6"/>
    <s v="행정사무관"/>
    <s v="일반직"/>
    <s v="공무원"/>
    <x v="0"/>
    <s v="Y"/>
    <s v="N"/>
    <d v="1999-02-01T00:00:00"/>
    <d v="1999-02-01T00:00:00"/>
    <d v="2026-11-01T00:00:00"/>
    <d v="2026-11-01T00:00:00"/>
    <n v="29"/>
    <s v="휴직복직[20251222~99991231], 병역휴직[20251015~20270415]"/>
    <s v="5급"/>
    <x v="7"/>
    <n v="3"/>
    <x v="1"/>
    <x v="0"/>
    <n v="1"/>
    <n v="1"/>
    <x v="2"/>
    <n v="27"/>
    <n v="27"/>
    <x v="0"/>
    <n v="0.2"/>
    <x v="0"/>
    <x v="19"/>
    <x v="0"/>
    <d v="2025-10-15T00:00:00"/>
    <x v="5"/>
    <x v="10"/>
    <x v="3"/>
    <n v="220"/>
    <x v="1"/>
    <s v=""/>
  </r>
  <r>
    <n v="900209"/>
    <x v="208"/>
    <x v="0"/>
    <n v="24"/>
    <x v="0"/>
    <x v="11"/>
    <x v="1"/>
    <s v="행정주사보"/>
    <s v="일반직"/>
    <s v="공무원"/>
    <x v="0"/>
    <s v="Y"/>
    <s v="N"/>
    <d v="2025-02-01T00:00:00"/>
    <d v="2025-02-01T00:00:00"/>
    <d v="2025-02-01T00:00:00"/>
    <d v="2025-02-01T00:00:00"/>
    <n v="1"/>
    <s v="휴직복직[20240521~99991231]"/>
    <s v="7급"/>
    <x v="1"/>
    <n v="5"/>
    <x v="1"/>
    <x v="0"/>
    <n v="1"/>
    <n v="0"/>
    <x v="3"/>
    <n v="1"/>
    <n v="1"/>
    <x v="5"/>
    <n v="1.6"/>
    <x v="0"/>
    <x v="15"/>
    <x v="0"/>
    <s v=""/>
    <x v="0"/>
    <x v="0"/>
    <x v="0"/>
    <s v=""/>
    <x v="0"/>
    <s v=""/>
  </r>
  <r>
    <n v="900210"/>
    <x v="209"/>
    <x v="0"/>
    <n v="56"/>
    <x v="0"/>
    <x v="3"/>
    <x v="9"/>
    <s v="사서사무관"/>
    <s v="일반직"/>
    <s v="공무원"/>
    <x v="7"/>
    <s v="Y"/>
    <s v="N"/>
    <d v="2003-11-01T00:00:00"/>
    <d v="2026-11-01T00:00:00"/>
    <d v="2026-11-01T00:00:00"/>
    <d v="2026-11-01T00:00:00"/>
    <n v="25"/>
    <m/>
    <s v="5급"/>
    <x v="7"/>
    <n v="3"/>
    <x v="1"/>
    <x v="0"/>
    <n v="1"/>
    <n v="0"/>
    <x v="2"/>
    <e v="#NUM!"/>
    <n v="22"/>
    <x v="0"/>
    <n v="0.2"/>
    <x v="0"/>
    <x v="12"/>
    <x v="1"/>
    <s v=""/>
    <x v="0"/>
    <x v="0"/>
    <x v="0"/>
    <s v=""/>
    <x v="0"/>
    <s v=""/>
  </r>
  <r>
    <n v="900211"/>
    <x v="210"/>
    <x v="0"/>
    <n v="28"/>
    <x v="0"/>
    <x v="12"/>
    <x v="7"/>
    <s v="행정인턴"/>
    <s v="인턴(수습)"/>
    <s v="비공무원"/>
    <x v="0"/>
    <s v="Y"/>
    <s v="N"/>
    <d v="2020-09-01T00:00:00"/>
    <d v="2020-09-01T00:00:00"/>
    <d v="2020-09-01T00:00:00"/>
    <d v="2020-09-01T00:00:00"/>
    <m/>
    <m/>
    <s v="인턴"/>
    <x v="8"/>
    <n v="13"/>
    <x v="2"/>
    <x v="1"/>
    <n v="1"/>
    <n v="0"/>
    <x v="3"/>
    <n v="6"/>
    <n v="6"/>
    <x v="4"/>
    <n v="6"/>
    <x v="1"/>
    <x v="0"/>
    <x v="0"/>
    <s v=""/>
    <x v="0"/>
    <x v="0"/>
    <x v="0"/>
    <s v=""/>
    <x v="0"/>
    <s v=""/>
  </r>
  <r>
    <n v="900212"/>
    <x v="211"/>
    <x v="0"/>
    <n v="39"/>
    <x v="0"/>
    <x v="4"/>
    <x v="6"/>
    <s v="대학회계계약직(사무실무직)"/>
    <s v="대학회계계약직"/>
    <s v="비공무원"/>
    <x v="0"/>
    <s v="Y"/>
    <s v="N"/>
    <d v="2010-07-01T00:00:00"/>
    <d v="2010-07-01T00:00:00"/>
    <d v="2016-10-01T00:00:00"/>
    <d v="2016-10-01T00:00:00"/>
    <n v="18"/>
    <m/>
    <s v="대학회계계약직"/>
    <x v="0"/>
    <n v="11"/>
    <x v="0"/>
    <x v="0"/>
    <n v="1"/>
    <n v="0"/>
    <x v="1"/>
    <n v="16"/>
    <n v="16"/>
    <x v="2"/>
    <n v="9.9"/>
    <x v="1"/>
    <x v="0"/>
    <x v="0"/>
    <s v=""/>
    <x v="0"/>
    <x v="0"/>
    <x v="0"/>
    <s v=""/>
    <x v="0"/>
    <s v=""/>
  </r>
  <r>
    <n v="900213"/>
    <x v="212"/>
    <x v="0"/>
    <n v="45"/>
    <x v="1"/>
    <x v="1"/>
    <x v="13"/>
    <s v="전산주사"/>
    <s v="일반직"/>
    <s v="공무원"/>
    <x v="0"/>
    <s v="N"/>
    <s v="N"/>
    <d v="2019-06-01T00:00:00"/>
    <d v="2019-06-01T00:00:00"/>
    <d v="2024-07-01T00:00:00"/>
    <d v="2024-07-01T00:00:00"/>
    <n v="8"/>
    <s v="휴직복직[20230517~99991231]"/>
    <s v="6급"/>
    <x v="3"/>
    <n v="4"/>
    <x v="1"/>
    <x v="0"/>
    <n v="1"/>
    <n v="0"/>
    <x v="0"/>
    <n v="7"/>
    <n v="7"/>
    <x v="1"/>
    <n v="2.2000000000000002"/>
    <x v="0"/>
    <x v="1"/>
    <x v="0"/>
    <s v=""/>
    <x v="0"/>
    <x v="0"/>
    <x v="0"/>
    <s v=""/>
    <x v="0"/>
    <s v=""/>
  </r>
  <r>
    <n v="900214"/>
    <x v="213"/>
    <x v="0"/>
    <n v="28"/>
    <x v="1"/>
    <x v="13"/>
    <x v="7"/>
    <s v="대학회계직7급(사무원)"/>
    <s v="대학회계직"/>
    <s v="비공무원"/>
    <x v="0"/>
    <s v="N"/>
    <s v="N"/>
    <d v="2024-02-01T00:00:00"/>
    <d v="2024-02-01T00:00:00"/>
    <d v="2026-10-01T00:00:00"/>
    <d v="2026-10-01T00:00:00"/>
    <n v="4"/>
    <m/>
    <s v="대학회계직"/>
    <x v="10"/>
    <n v="10"/>
    <x v="3"/>
    <x v="0"/>
    <n v="1"/>
    <n v="0"/>
    <x v="3"/>
    <n v="2"/>
    <n v="2"/>
    <x v="5"/>
    <n v="0.1"/>
    <x v="0"/>
    <x v="0"/>
    <x v="0"/>
    <s v=""/>
    <x v="0"/>
    <x v="0"/>
    <x v="0"/>
    <s v=""/>
    <x v="0"/>
    <s v=""/>
  </r>
  <r>
    <n v="900215"/>
    <x v="214"/>
    <x v="0"/>
    <n v="42"/>
    <x v="0"/>
    <x v="8"/>
    <x v="12"/>
    <s v="공업주사"/>
    <s v="일반직"/>
    <s v="공무원"/>
    <x v="0"/>
    <s v="Y"/>
    <s v="N"/>
    <d v="2020-05-01T00:00:00"/>
    <d v="2025-03-01T00:00:00"/>
    <d v="2025-03-01T00:00:00"/>
    <d v="2025-03-01T00:00:00"/>
    <n v="6"/>
    <m/>
    <s v="6급"/>
    <x v="3"/>
    <n v="4"/>
    <x v="1"/>
    <x v="0"/>
    <n v="1"/>
    <n v="0"/>
    <x v="0"/>
    <n v="1"/>
    <n v="6"/>
    <x v="1"/>
    <n v="1.5"/>
    <x v="0"/>
    <x v="17"/>
    <x v="0"/>
    <s v=""/>
    <x v="0"/>
    <x v="0"/>
    <x v="0"/>
    <s v=""/>
    <x v="0"/>
    <s v=""/>
  </r>
  <r>
    <n v="900216"/>
    <x v="215"/>
    <x v="0"/>
    <n v="25"/>
    <x v="0"/>
    <x v="8"/>
    <x v="10"/>
    <s v="대학회계계약직(학예연구직)"/>
    <s v="대학회계계약직"/>
    <s v="비공무원"/>
    <x v="0"/>
    <s v="Y"/>
    <s v="N"/>
    <d v="2024-02-01T00:00:00"/>
    <d v="2024-02-01T00:00:00"/>
    <d v="2024-02-01T00:00:00"/>
    <d v="2024-02-01T00:00:00"/>
    <n v="2"/>
    <m/>
    <s v="대학회계계약직"/>
    <x v="0"/>
    <n v="11"/>
    <x v="0"/>
    <x v="0"/>
    <n v="1"/>
    <n v="0"/>
    <x v="3"/>
    <n v="2"/>
    <n v="2"/>
    <x v="5"/>
    <n v="2.6"/>
    <x v="0"/>
    <x v="0"/>
    <x v="0"/>
    <s v=""/>
    <x v="0"/>
    <x v="0"/>
    <x v="0"/>
    <s v=""/>
    <x v="0"/>
    <s v=""/>
  </r>
  <r>
    <n v="900217"/>
    <x v="216"/>
    <x v="0"/>
    <n v="42"/>
    <x v="0"/>
    <x v="3"/>
    <x v="13"/>
    <s v="행정서기보"/>
    <s v="일반직"/>
    <s v="공무원"/>
    <x v="0"/>
    <s v="Y"/>
    <s v="N"/>
    <d v="2018-03-01T00:00:00"/>
    <d v="2026-10-01T00:00:00"/>
    <d v="2026-10-01T00:00:00"/>
    <d v="2026-10-01T00:00:00"/>
    <m/>
    <m/>
    <s v="9급"/>
    <x v="4"/>
    <n v="7"/>
    <x v="1"/>
    <x v="0"/>
    <n v="1"/>
    <n v="0"/>
    <x v="0"/>
    <e v="#NUM!"/>
    <n v="8"/>
    <x v="4"/>
    <n v="0.1"/>
    <x v="0"/>
    <x v="17"/>
    <x v="0"/>
    <s v=""/>
    <x v="0"/>
    <x v="0"/>
    <x v="0"/>
    <s v=""/>
    <x v="0"/>
    <s v=""/>
  </r>
  <r>
    <n v="900218"/>
    <x v="217"/>
    <x v="0"/>
    <n v="40"/>
    <x v="0"/>
    <x v="3"/>
    <x v="9"/>
    <s v="행정주사보"/>
    <s v="일반직"/>
    <s v="공무원"/>
    <x v="0"/>
    <s v="Y"/>
    <s v="N"/>
    <d v="2011-07-01T00:00:00"/>
    <d v="2011-07-01T00:00:00"/>
    <d v="2026-05-01T00:00:00"/>
    <d v="2026-05-01T00:00:00"/>
    <n v="16"/>
    <m/>
    <s v="7급"/>
    <x v="1"/>
    <n v="5"/>
    <x v="1"/>
    <x v="0"/>
    <n v="1"/>
    <n v="0"/>
    <x v="0"/>
    <n v="15"/>
    <n v="15"/>
    <x v="2"/>
    <n v="0.4"/>
    <x v="0"/>
    <x v="32"/>
    <x v="0"/>
    <s v=""/>
    <x v="0"/>
    <x v="0"/>
    <x v="0"/>
    <s v=""/>
    <x v="0"/>
    <s v=""/>
  </r>
  <r>
    <n v="900219"/>
    <x v="218"/>
    <x v="0"/>
    <n v="22"/>
    <x v="1"/>
    <x v="3"/>
    <x v="7"/>
    <s v="사회복무요원"/>
    <s v="사회복무요원"/>
    <s v="비공무원"/>
    <x v="0"/>
    <s v="Y"/>
    <s v="N"/>
    <d v="2026-09-01T00:00:00"/>
    <d v="2026-09-01T00:00:00"/>
    <d v="2026-09-01T00:00:00"/>
    <d v="2026-09-01T00:00:00"/>
    <m/>
    <m/>
    <s v="사회복무요원"/>
    <x v="6"/>
    <n v="12"/>
    <x v="2"/>
    <x v="1"/>
    <n v="1"/>
    <n v="0"/>
    <x v="3"/>
    <n v="0"/>
    <n v="0"/>
    <x v="4"/>
    <n v="0"/>
    <x v="0"/>
    <x v="0"/>
    <x v="0"/>
    <s v=""/>
    <x v="0"/>
    <x v="0"/>
    <x v="0"/>
    <s v=""/>
    <x v="0"/>
    <s v=""/>
  </r>
  <r>
    <n v="900220"/>
    <x v="219"/>
    <x v="0"/>
    <n v="42"/>
    <x v="0"/>
    <x v="2"/>
    <x v="12"/>
    <s v="대학회계계약직(사무실무직)"/>
    <s v="대학회계계약직"/>
    <s v="비공무원"/>
    <x v="0"/>
    <s v="Y"/>
    <s v="N"/>
    <d v="2010-09-01T00:00:00"/>
    <d v="2010-09-01T00:00:00"/>
    <d v="2012-04-01T00:00:00"/>
    <d v="2012-04-01T00:00:00"/>
    <n v="16"/>
    <m/>
    <s v="대학회계계약직"/>
    <x v="0"/>
    <n v="11"/>
    <x v="0"/>
    <x v="0"/>
    <n v="1"/>
    <n v="0"/>
    <x v="0"/>
    <n v="16"/>
    <n v="16"/>
    <x v="2"/>
    <n v="14.4"/>
    <x v="2"/>
    <x v="0"/>
    <x v="0"/>
    <s v=""/>
    <x v="0"/>
    <x v="0"/>
    <x v="0"/>
    <s v=""/>
    <x v="0"/>
    <s v=""/>
  </r>
  <r>
    <n v="900221"/>
    <x v="220"/>
    <x v="0"/>
    <n v="35"/>
    <x v="0"/>
    <x v="2"/>
    <x v="1"/>
    <s v="공업주사"/>
    <s v="일반직"/>
    <s v="공무원"/>
    <x v="0"/>
    <s v="Y"/>
    <s v="N"/>
    <d v="2015-11-01T00:00:00"/>
    <d v="2015-11-01T00:00:00"/>
    <d v="2015-11-01T00:00:00"/>
    <d v="2015-11-01T00:00:00"/>
    <n v="13"/>
    <m/>
    <s v="6급"/>
    <x v="3"/>
    <n v="4"/>
    <x v="1"/>
    <x v="0"/>
    <n v="1"/>
    <n v="0"/>
    <x v="1"/>
    <n v="10"/>
    <n v="10"/>
    <x v="2"/>
    <n v="10.9"/>
    <x v="2"/>
    <x v="33"/>
    <x v="0"/>
    <s v=""/>
    <x v="0"/>
    <x v="0"/>
    <x v="0"/>
    <s v=""/>
    <x v="0"/>
    <s v=""/>
  </r>
  <r>
    <n v="900222"/>
    <x v="221"/>
    <x v="0"/>
    <n v="27"/>
    <x v="1"/>
    <x v="2"/>
    <x v="1"/>
    <s v="행정주사보"/>
    <s v="일반직"/>
    <s v="공무원"/>
    <x v="0"/>
    <s v="Y"/>
    <s v="N"/>
    <d v="2025-08-01T00:00:00"/>
    <d v="2025-08-01T00:00:00"/>
    <d v="2026-05-01T00:00:00"/>
    <d v="2026-05-01T00:00:00"/>
    <m/>
    <m/>
    <s v="7급"/>
    <x v="1"/>
    <n v="5"/>
    <x v="1"/>
    <x v="0"/>
    <n v="1"/>
    <n v="0"/>
    <x v="3"/>
    <n v="1"/>
    <n v="1"/>
    <x v="4"/>
    <n v="0.4"/>
    <x v="0"/>
    <x v="20"/>
    <x v="0"/>
    <s v=""/>
    <x v="0"/>
    <x v="0"/>
    <x v="0"/>
    <s v=""/>
    <x v="0"/>
    <s v=""/>
  </r>
  <r>
    <n v="900223"/>
    <x v="222"/>
    <x v="0"/>
    <n v="54"/>
    <x v="1"/>
    <x v="10"/>
    <x v="12"/>
    <s v="행정사무관"/>
    <s v="일반직"/>
    <s v="공무원"/>
    <x v="8"/>
    <s v="Y"/>
    <s v="N"/>
    <d v="2009-10-01T00:00:00"/>
    <d v="2009-10-01T00:00:00"/>
    <d v="2017-01-01T00:00:00"/>
    <d v="2017-01-01T00:00:00"/>
    <n v="19"/>
    <s v="휴직복직[20250216~99991231]"/>
    <s v="5급"/>
    <x v="7"/>
    <n v="3"/>
    <x v="1"/>
    <x v="0"/>
    <n v="1"/>
    <n v="0"/>
    <x v="2"/>
    <n v="16"/>
    <n v="16"/>
    <x v="2"/>
    <n v="9.6999999999999993"/>
    <x v="1"/>
    <x v="28"/>
    <x v="1"/>
    <s v=""/>
    <x v="0"/>
    <x v="0"/>
    <x v="0"/>
    <s v=""/>
    <x v="0"/>
    <s v=""/>
  </r>
  <r>
    <n v="900224"/>
    <x v="223"/>
    <x v="0"/>
    <n v="35"/>
    <x v="0"/>
    <x v="10"/>
    <x v="9"/>
    <s v="행정주사"/>
    <s v="일반직"/>
    <s v="공무원"/>
    <x v="0"/>
    <s v="N"/>
    <s v="N"/>
    <d v="2014-05-01T00:00:00"/>
    <d v="2014-05-01T00:00:00"/>
    <d v="2014-05-01T00:00:00"/>
    <d v="2014-05-01T00:00:00"/>
    <n v="12"/>
    <m/>
    <s v="6급"/>
    <x v="3"/>
    <n v="4"/>
    <x v="1"/>
    <x v="0"/>
    <n v="1"/>
    <n v="0"/>
    <x v="1"/>
    <n v="12"/>
    <n v="12"/>
    <x v="2"/>
    <n v="12.4"/>
    <x v="2"/>
    <x v="33"/>
    <x v="0"/>
    <s v=""/>
    <x v="0"/>
    <x v="0"/>
    <x v="0"/>
    <s v=""/>
    <x v="0"/>
    <s v=""/>
  </r>
  <r>
    <n v="900225"/>
    <x v="224"/>
    <x v="0"/>
    <n v="58"/>
    <x v="0"/>
    <x v="5"/>
    <x v="9"/>
    <s v="행정사무관"/>
    <s v="일반직"/>
    <s v="공무원"/>
    <x v="0"/>
    <s v="N"/>
    <s v="N"/>
    <d v="2010-09-01T00:00:00"/>
    <d v="2025-11-01T00:00:00"/>
    <d v="2025-11-01T00:00:00"/>
    <d v="2025-11-01T00:00:00"/>
    <n v="16"/>
    <m/>
    <s v="5급"/>
    <x v="7"/>
    <n v="3"/>
    <x v="1"/>
    <x v="0"/>
    <n v="1"/>
    <n v="0"/>
    <x v="2"/>
    <n v="0"/>
    <n v="16"/>
    <x v="2"/>
    <n v="0.9"/>
    <x v="0"/>
    <x v="34"/>
    <x v="0"/>
    <s v=""/>
    <x v="0"/>
    <x v="0"/>
    <x v="0"/>
    <s v=""/>
    <x v="0"/>
    <s v=""/>
  </r>
  <r>
    <n v="900226"/>
    <x v="225"/>
    <x v="0"/>
    <n v="38"/>
    <x v="1"/>
    <x v="14"/>
    <x v="8"/>
    <s v="대학회계계약직(사무실무직)"/>
    <s v="대학회계계약직"/>
    <s v="비공무원"/>
    <x v="0"/>
    <s v="Y"/>
    <s v="N"/>
    <d v="2010-05-01T00:00:00"/>
    <d v="2010-05-01T00:00:00"/>
    <d v="2014-07-01T00:00:00"/>
    <d v="2014-07-01T00:00:00"/>
    <n v="18"/>
    <m/>
    <s v="대학회계계약직"/>
    <x v="0"/>
    <n v="11"/>
    <x v="0"/>
    <x v="0"/>
    <n v="1"/>
    <n v="0"/>
    <x v="1"/>
    <n v="16"/>
    <n v="16"/>
    <x v="2"/>
    <n v="12.2"/>
    <x v="2"/>
    <x v="0"/>
    <x v="0"/>
    <s v=""/>
    <x v="0"/>
    <x v="0"/>
    <x v="0"/>
    <s v=""/>
    <x v="0"/>
    <s v=""/>
  </r>
  <r>
    <n v="900227"/>
    <x v="226"/>
    <x v="1"/>
    <n v="24"/>
    <x v="0"/>
    <x v="5"/>
    <x v="11"/>
    <s v="공업서기"/>
    <s v="일반직"/>
    <s v="공무원"/>
    <x v="0"/>
    <s v="Y"/>
    <s v="N"/>
    <d v="2024-10-01T00:00:00"/>
    <d v="2024-10-01T00:00:00"/>
    <d v="2024-10-01T00:00:00"/>
    <d v="2024-10-01T00:00:00"/>
    <n v="2"/>
    <s v="휴직복직[20241219~99991231], 육아휴직[20260809~20280209]"/>
    <s v="8급"/>
    <x v="9"/>
    <n v="6"/>
    <x v="1"/>
    <x v="0"/>
    <n v="1"/>
    <n v="1"/>
    <x v="3"/>
    <n v="1"/>
    <n v="1"/>
    <x v="5"/>
    <n v="1.9"/>
    <x v="0"/>
    <x v="15"/>
    <x v="0"/>
    <d v="2026-08-09T00:00:00"/>
    <x v="1"/>
    <x v="15"/>
    <x v="12"/>
    <n v="520"/>
    <x v="1"/>
    <s v=""/>
  </r>
  <r>
    <n v="900228"/>
    <x v="227"/>
    <x v="0"/>
    <n v="50"/>
    <x v="1"/>
    <x v="7"/>
    <x v="10"/>
    <s v="행정주사보"/>
    <s v="일반직"/>
    <s v="공무원"/>
    <x v="0"/>
    <s v="Y"/>
    <s v="N"/>
    <d v="2009-09-01T00:00:00"/>
    <d v="2009-09-01T00:00:00"/>
    <d v="2024-10-01T00:00:00"/>
    <d v="2024-10-01T00:00:00"/>
    <n v="17"/>
    <m/>
    <s v="7급"/>
    <x v="1"/>
    <n v="5"/>
    <x v="1"/>
    <x v="0"/>
    <n v="1"/>
    <n v="0"/>
    <x v="2"/>
    <n v="17"/>
    <n v="17"/>
    <x v="2"/>
    <n v="1.9"/>
    <x v="0"/>
    <x v="14"/>
    <x v="0"/>
    <s v=""/>
    <x v="0"/>
    <x v="0"/>
    <x v="0"/>
    <s v=""/>
    <x v="0"/>
    <s v=""/>
  </r>
  <r>
    <n v="900229"/>
    <x v="228"/>
    <x v="0"/>
    <n v="54"/>
    <x v="0"/>
    <x v="13"/>
    <x v="10"/>
    <s v="서기관(일반임기제)"/>
    <s v="일반직"/>
    <s v="공무원"/>
    <x v="0"/>
    <s v="N"/>
    <s v="N"/>
    <d v="2010-05-01T00:00:00"/>
    <d v="2010-05-01T00:00:00"/>
    <d v="2015-03-01T00:00:00"/>
    <d v="2015-03-01T00:00:00"/>
    <n v="16"/>
    <m/>
    <s v="4급(임기제)"/>
    <x v="5"/>
    <n v="2"/>
    <x v="1"/>
    <x v="0"/>
    <n v="1"/>
    <n v="0"/>
    <x v="2"/>
    <n v="16"/>
    <n v="16"/>
    <x v="2"/>
    <n v="11.5"/>
    <x v="2"/>
    <x v="28"/>
    <x v="0"/>
    <s v=""/>
    <x v="0"/>
    <x v="0"/>
    <x v="0"/>
    <s v=""/>
    <x v="0"/>
    <s v=""/>
  </r>
  <r>
    <n v="900230"/>
    <x v="229"/>
    <x v="0"/>
    <n v="33"/>
    <x v="1"/>
    <x v="7"/>
    <x v="2"/>
    <s v="대학회계직7급(사무원)"/>
    <s v="대학회계직"/>
    <s v="비공무원"/>
    <x v="0"/>
    <s v="Y"/>
    <s v="N"/>
    <d v="2015-08-01T00:00:00"/>
    <d v="2015-08-01T00:00:00"/>
    <d v="2015-08-01T00:00:00"/>
    <d v="2015-08-01T00:00:00"/>
    <n v="12"/>
    <s v="휴직복직[20250128~99991231]"/>
    <s v="대학회계직"/>
    <x v="10"/>
    <n v="10"/>
    <x v="3"/>
    <x v="0"/>
    <n v="1"/>
    <n v="0"/>
    <x v="1"/>
    <n v="11"/>
    <n v="11"/>
    <x v="2"/>
    <n v="11.1"/>
    <x v="2"/>
    <x v="0"/>
    <x v="0"/>
    <s v=""/>
    <x v="0"/>
    <x v="0"/>
    <x v="0"/>
    <s v=""/>
    <x v="0"/>
    <s v=""/>
  </r>
  <r>
    <n v="900231"/>
    <x v="230"/>
    <x v="0"/>
    <n v="33"/>
    <x v="1"/>
    <x v="5"/>
    <x v="6"/>
    <s v="대학회계계약직(사무실무직)"/>
    <s v="대학회계계약직"/>
    <s v="비공무원"/>
    <x v="0"/>
    <s v="Y"/>
    <s v="N"/>
    <d v="2015-03-01T00:00:00"/>
    <d v="2015-03-01T00:00:00"/>
    <d v="2017-11-01T00:00:00"/>
    <d v="2017-11-01T00:00:00"/>
    <n v="13"/>
    <m/>
    <s v="대학회계계약직"/>
    <x v="0"/>
    <n v="11"/>
    <x v="0"/>
    <x v="0"/>
    <n v="1"/>
    <n v="0"/>
    <x v="1"/>
    <n v="11"/>
    <n v="11"/>
    <x v="2"/>
    <n v="8.9"/>
    <x v="1"/>
    <x v="0"/>
    <x v="0"/>
    <s v=""/>
    <x v="0"/>
    <x v="0"/>
    <x v="0"/>
    <s v=""/>
    <x v="0"/>
    <s v=""/>
  </r>
  <r>
    <n v="900232"/>
    <x v="231"/>
    <x v="0"/>
    <n v="24"/>
    <x v="0"/>
    <x v="11"/>
    <x v="2"/>
    <s v="사회복무요원"/>
    <s v="사회복무요원"/>
    <s v="비공무원"/>
    <x v="0"/>
    <s v="Y"/>
    <s v="N"/>
    <d v="2025-07-01T00:00:00"/>
    <d v="2025-11-01T00:00:00"/>
    <d v="2025-11-01T00:00:00"/>
    <d v="2025-11-01T00:00:00"/>
    <m/>
    <m/>
    <s v="사회복무요원"/>
    <x v="6"/>
    <n v="12"/>
    <x v="2"/>
    <x v="1"/>
    <n v="1"/>
    <n v="0"/>
    <x v="3"/>
    <n v="0"/>
    <n v="1"/>
    <x v="4"/>
    <n v="0.9"/>
    <x v="0"/>
    <x v="0"/>
    <x v="0"/>
    <s v=""/>
    <x v="0"/>
    <x v="0"/>
    <x v="0"/>
    <s v=""/>
    <x v="0"/>
    <s v=""/>
  </r>
  <r>
    <n v="900233"/>
    <x v="232"/>
    <x v="0"/>
    <n v="25"/>
    <x v="0"/>
    <x v="10"/>
    <x v="6"/>
    <s v="행정인턴"/>
    <s v="인턴(수습)"/>
    <s v="비공무원"/>
    <x v="0"/>
    <s v="Y"/>
    <s v="N"/>
    <d v="2024-04-01T00:00:00"/>
    <d v="2021-04-01T00:00:00"/>
    <d v="2022-05-01T00:00:00"/>
    <d v="2022-05-01T00:00:00"/>
    <m/>
    <m/>
    <s v="인턴"/>
    <x v="8"/>
    <n v="13"/>
    <x v="2"/>
    <x v="1"/>
    <n v="1"/>
    <n v="0"/>
    <x v="3"/>
    <n v="5"/>
    <n v="2"/>
    <x v="4"/>
    <n v="4.4000000000000004"/>
    <x v="0"/>
    <x v="0"/>
    <x v="0"/>
    <s v=""/>
    <x v="0"/>
    <x v="0"/>
    <x v="0"/>
    <s v=""/>
    <x v="0"/>
    <s v=""/>
  </r>
  <r>
    <n v="900234"/>
    <x v="233"/>
    <x v="0"/>
    <n v="29"/>
    <x v="0"/>
    <x v="14"/>
    <x v="13"/>
    <s v="행정인턴"/>
    <s v="인턴(수습)"/>
    <s v="비공무원"/>
    <x v="0"/>
    <s v="Y"/>
    <s v="N"/>
    <d v="2023-01-01T00:00:00"/>
    <d v="2026-06-01T00:00:00"/>
    <d v="2026-08-01T00:00:00"/>
    <d v="2026-08-01T00:00:00"/>
    <m/>
    <m/>
    <s v="인턴"/>
    <x v="8"/>
    <n v="13"/>
    <x v="2"/>
    <x v="1"/>
    <n v="1"/>
    <n v="0"/>
    <x v="3"/>
    <n v="0"/>
    <n v="3"/>
    <x v="4"/>
    <n v="0.1"/>
    <x v="0"/>
    <x v="0"/>
    <x v="0"/>
    <s v=""/>
    <x v="0"/>
    <x v="0"/>
    <x v="0"/>
    <s v=""/>
    <x v="0"/>
    <s v=""/>
  </r>
  <r>
    <n v="900235"/>
    <x v="234"/>
    <x v="0"/>
    <n v="50"/>
    <x v="0"/>
    <x v="15"/>
    <x v="8"/>
    <s v="전산주사"/>
    <s v="일반직"/>
    <s v="공무원"/>
    <x v="0"/>
    <s v="Y"/>
    <s v="N"/>
    <d v="2021-07-01T00:00:00"/>
    <d v="2024-05-01T00:00:00"/>
    <d v="2024-05-01T00:00:00"/>
    <d v="2024-05-01T00:00:00"/>
    <n v="6"/>
    <s v="휴직복직[20251019~99991231]"/>
    <s v="6급"/>
    <x v="3"/>
    <n v="4"/>
    <x v="1"/>
    <x v="0"/>
    <n v="1"/>
    <n v="0"/>
    <x v="2"/>
    <n v="2"/>
    <n v="5"/>
    <x v="1"/>
    <n v="2.4"/>
    <x v="0"/>
    <x v="14"/>
    <x v="0"/>
    <s v=""/>
    <x v="0"/>
    <x v="0"/>
    <x v="0"/>
    <s v=""/>
    <x v="0"/>
    <s v=""/>
  </r>
  <r>
    <n v="900236"/>
    <x v="235"/>
    <x v="0"/>
    <n v="49"/>
    <x v="0"/>
    <x v="13"/>
    <x v="0"/>
    <s v="행정주사"/>
    <s v="일반직"/>
    <s v="공무원"/>
    <x v="0"/>
    <s v="N"/>
    <s v="N"/>
    <d v="2012-06-01T00:00:00"/>
    <d v="2012-06-01T00:00:00"/>
    <d v="2015-07-01T00:00:00"/>
    <d v="2015-07-01T00:00:00"/>
    <n v="17"/>
    <m/>
    <s v="6급"/>
    <x v="3"/>
    <n v="4"/>
    <x v="1"/>
    <x v="0"/>
    <n v="1"/>
    <n v="0"/>
    <x v="0"/>
    <n v="14"/>
    <n v="14"/>
    <x v="2"/>
    <n v="11.2"/>
    <x v="2"/>
    <x v="11"/>
    <x v="0"/>
    <s v=""/>
    <x v="0"/>
    <x v="0"/>
    <x v="0"/>
    <s v=""/>
    <x v="0"/>
    <s v=""/>
  </r>
  <r>
    <n v="900237"/>
    <x v="236"/>
    <x v="0"/>
    <n v="46"/>
    <x v="0"/>
    <x v="5"/>
    <x v="9"/>
    <s v="대학회계계약직(사무실무직)"/>
    <s v="대학회계계약직"/>
    <s v="비공무원"/>
    <x v="0"/>
    <s v="Y"/>
    <s v="N"/>
    <d v="2020-04-01T00:00:00"/>
    <d v="2020-04-01T00:00:00"/>
    <d v="2026-01-01T00:00:00"/>
    <d v="2026-01-01T00:00:00"/>
    <n v="9"/>
    <m/>
    <s v="대학회계계약직"/>
    <x v="0"/>
    <n v="11"/>
    <x v="0"/>
    <x v="0"/>
    <n v="1"/>
    <n v="0"/>
    <x v="0"/>
    <n v="6"/>
    <n v="6"/>
    <x v="1"/>
    <n v="0.7"/>
    <x v="0"/>
    <x v="0"/>
    <x v="0"/>
    <s v=""/>
    <x v="0"/>
    <x v="0"/>
    <x v="0"/>
    <s v=""/>
    <x v="0"/>
    <s v=""/>
  </r>
  <r>
    <n v="900238"/>
    <x v="237"/>
    <x v="0"/>
    <n v="23"/>
    <x v="0"/>
    <x v="4"/>
    <x v="10"/>
    <s v="사회복무요원"/>
    <s v="사회복무요원"/>
    <s v="비공무원"/>
    <x v="0"/>
    <s v="N"/>
    <s v="N"/>
    <d v="2026-07-01T00:00:00"/>
    <d v="2026-07-01T00:00:00"/>
    <d v="2026-07-01T00:00:00"/>
    <d v="2026-07-01T00:00:00"/>
    <m/>
    <m/>
    <s v="사회복무요원"/>
    <x v="6"/>
    <n v="12"/>
    <x v="2"/>
    <x v="1"/>
    <n v="1"/>
    <n v="0"/>
    <x v="3"/>
    <n v="0"/>
    <n v="0"/>
    <x v="4"/>
    <n v="0.2"/>
    <x v="0"/>
    <x v="0"/>
    <x v="0"/>
    <s v=""/>
    <x v="0"/>
    <x v="0"/>
    <x v="0"/>
    <s v=""/>
    <x v="0"/>
    <s v=""/>
  </r>
  <r>
    <n v="900239"/>
    <x v="238"/>
    <x v="0"/>
    <n v="45"/>
    <x v="1"/>
    <x v="0"/>
    <x v="11"/>
    <s v="대학회계직6급(사무원)"/>
    <s v="대학회계직"/>
    <s v="비공무원"/>
    <x v="0"/>
    <s v="N"/>
    <s v="N"/>
    <d v="2012-03-01T00:00:00"/>
    <d v="2023-08-01T00:00:00"/>
    <d v="2023-10-01T00:00:00"/>
    <d v="2023-10-01T00:00:00"/>
    <n v="16"/>
    <m/>
    <s v="대학회계직"/>
    <x v="10"/>
    <n v="10"/>
    <x v="3"/>
    <x v="0"/>
    <n v="1"/>
    <n v="0"/>
    <x v="0"/>
    <n v="3"/>
    <n v="14"/>
    <x v="2"/>
    <n v="2.9"/>
    <x v="0"/>
    <x v="0"/>
    <x v="0"/>
    <s v=""/>
    <x v="0"/>
    <x v="0"/>
    <x v="0"/>
    <s v=""/>
    <x v="0"/>
    <s v=""/>
  </r>
  <r>
    <n v="900240"/>
    <x v="239"/>
    <x v="0"/>
    <n v="25"/>
    <x v="0"/>
    <x v="15"/>
    <x v="1"/>
    <s v="행정서기"/>
    <s v="일반직"/>
    <s v="공무원"/>
    <x v="0"/>
    <s v="Y"/>
    <s v="N"/>
    <d v="2025-07-01T00:00:00"/>
    <d v="2025-07-01T00:00:00"/>
    <d v="2025-07-01T00:00:00"/>
    <d v="2025-07-01T00:00:00"/>
    <n v="1"/>
    <m/>
    <s v="8급"/>
    <x v="9"/>
    <n v="6"/>
    <x v="1"/>
    <x v="0"/>
    <n v="1"/>
    <n v="0"/>
    <x v="3"/>
    <n v="1"/>
    <n v="1"/>
    <x v="5"/>
    <n v="1.2"/>
    <x v="0"/>
    <x v="26"/>
    <x v="0"/>
    <s v=""/>
    <x v="0"/>
    <x v="0"/>
    <x v="0"/>
    <s v=""/>
    <x v="0"/>
    <s v=""/>
  </r>
  <r>
    <n v="900241"/>
    <x v="91"/>
    <x v="0"/>
    <n v="43"/>
    <x v="0"/>
    <x v="6"/>
    <x v="11"/>
    <s v="공업서기"/>
    <s v="일반직"/>
    <s v="공무원"/>
    <x v="0"/>
    <s v="Y"/>
    <s v="N"/>
    <d v="2005-08-01T00:00:00"/>
    <d v="2005-08-01T00:00:00"/>
    <d v="2012-02-01T00:00:00"/>
    <d v="2012-02-01T00:00:00"/>
    <n v="24"/>
    <m/>
    <s v="8급"/>
    <x v="9"/>
    <n v="6"/>
    <x v="1"/>
    <x v="0"/>
    <n v="1"/>
    <n v="0"/>
    <x v="0"/>
    <n v="21"/>
    <n v="21"/>
    <x v="0"/>
    <n v="14.6"/>
    <x v="2"/>
    <x v="8"/>
    <x v="0"/>
    <s v=""/>
    <x v="0"/>
    <x v="0"/>
    <x v="0"/>
    <s v=""/>
    <x v="0"/>
    <s v=""/>
  </r>
  <r>
    <n v="900242"/>
    <x v="240"/>
    <x v="0"/>
    <n v="39"/>
    <x v="0"/>
    <x v="9"/>
    <x v="4"/>
    <s v="대학회계계약직(국제전문직)"/>
    <s v="대학회계계약직"/>
    <s v="비공무원"/>
    <x v="0"/>
    <s v="Y"/>
    <s v="N"/>
    <d v="2017-07-01T00:00:00"/>
    <d v="2023-10-01T00:00:00"/>
    <d v="2023-10-01T00:00:00"/>
    <d v="2023-10-01T00:00:00"/>
    <n v="11"/>
    <m/>
    <s v="대학회계계약직"/>
    <x v="0"/>
    <n v="11"/>
    <x v="0"/>
    <x v="0"/>
    <n v="1"/>
    <n v="0"/>
    <x v="1"/>
    <n v="2"/>
    <n v="9"/>
    <x v="2"/>
    <n v="2.9"/>
    <x v="0"/>
    <x v="0"/>
    <x v="0"/>
    <s v=""/>
    <x v="0"/>
    <x v="0"/>
    <x v="0"/>
    <s v=""/>
    <x v="0"/>
    <s v=""/>
  </r>
  <r>
    <n v="900243"/>
    <x v="241"/>
    <x v="0"/>
    <n v="47"/>
    <x v="1"/>
    <x v="3"/>
    <x v="0"/>
    <s v="공업서기보"/>
    <s v="일반직"/>
    <s v="공무원"/>
    <x v="0"/>
    <s v="Y"/>
    <s v="N"/>
    <d v="2013-09-01T00:00:00"/>
    <d v="2013-09-01T00:00:00"/>
    <d v="2018-10-01T00:00:00"/>
    <d v="2018-10-01T00:00:00"/>
    <n v="14"/>
    <m/>
    <s v="9급"/>
    <x v="4"/>
    <n v="7"/>
    <x v="1"/>
    <x v="0"/>
    <n v="1"/>
    <n v="0"/>
    <x v="0"/>
    <n v="13"/>
    <n v="13"/>
    <x v="2"/>
    <n v="7.9"/>
    <x v="1"/>
    <x v="25"/>
    <x v="0"/>
    <s v=""/>
    <x v="0"/>
    <x v="0"/>
    <x v="0"/>
    <s v=""/>
    <x v="0"/>
    <s v=""/>
  </r>
  <r>
    <n v="900244"/>
    <x v="242"/>
    <x v="1"/>
    <n v="24"/>
    <x v="1"/>
    <x v="4"/>
    <x v="12"/>
    <s v="행정서기"/>
    <s v="일반직"/>
    <s v="공무원"/>
    <x v="0"/>
    <s v="Y"/>
    <s v="N"/>
    <d v="2024-06-01T00:00:00"/>
    <d v="2024-06-01T00:00:00"/>
    <d v="2024-06-01T00:00:00"/>
    <d v="2024-06-01T00:00:00"/>
    <n v="4"/>
    <s v="가족돌봄휴직[20251102~20261102]"/>
    <s v="8급"/>
    <x v="9"/>
    <n v="6"/>
    <x v="1"/>
    <x v="0"/>
    <n v="1"/>
    <n v="1"/>
    <x v="3"/>
    <n v="2"/>
    <n v="2"/>
    <x v="5"/>
    <n v="2.2999999999999998"/>
    <x v="0"/>
    <x v="15"/>
    <x v="0"/>
    <d v="2025-11-02T00:00:00"/>
    <x v="3"/>
    <x v="16"/>
    <x v="4"/>
    <n v="56"/>
    <x v="2"/>
    <s v=""/>
  </r>
  <r>
    <n v="900245"/>
    <x v="243"/>
    <x v="0"/>
    <n v="55"/>
    <x v="0"/>
    <x v="11"/>
    <x v="8"/>
    <s v="행정주사"/>
    <s v="일반직"/>
    <s v="공무원"/>
    <x v="0"/>
    <s v="Y"/>
    <s v="N"/>
    <d v="2003-11-01T00:00:00"/>
    <d v="2003-11-01T00:00:00"/>
    <d v="2021-06-01T00:00:00"/>
    <d v="2021-06-01T00:00:00"/>
    <n v="23"/>
    <m/>
    <s v="6급"/>
    <x v="3"/>
    <n v="4"/>
    <x v="1"/>
    <x v="0"/>
    <n v="1"/>
    <n v="0"/>
    <x v="2"/>
    <n v="22"/>
    <n v="22"/>
    <x v="0"/>
    <n v="5.3"/>
    <x v="1"/>
    <x v="5"/>
    <x v="0"/>
    <s v=""/>
    <x v="0"/>
    <x v="0"/>
    <x v="0"/>
    <s v=""/>
    <x v="0"/>
    <s v=""/>
  </r>
  <r>
    <n v="900246"/>
    <x v="244"/>
    <x v="0"/>
    <n v="48"/>
    <x v="0"/>
    <x v="11"/>
    <x v="14"/>
    <s v="대학회계계약직(사무실무직)"/>
    <s v="대학회계계약직"/>
    <s v="비공무원"/>
    <x v="0"/>
    <s v="N"/>
    <s v="N"/>
    <d v="2008-02-01T00:00:00"/>
    <d v="2008-02-01T00:00:00"/>
    <d v="2017-10-01T00:00:00"/>
    <d v="2017-10-01T00:00:00"/>
    <n v="20"/>
    <m/>
    <s v="대학회계계약직"/>
    <x v="0"/>
    <n v="11"/>
    <x v="0"/>
    <x v="0"/>
    <n v="1"/>
    <n v="0"/>
    <x v="0"/>
    <n v="18"/>
    <n v="18"/>
    <x v="0"/>
    <n v="8.9"/>
    <x v="1"/>
    <x v="0"/>
    <x v="0"/>
    <s v=""/>
    <x v="0"/>
    <x v="0"/>
    <x v="0"/>
    <s v=""/>
    <x v="0"/>
    <s v=""/>
  </r>
  <r>
    <n v="900247"/>
    <x v="245"/>
    <x v="0"/>
    <n v="30"/>
    <x v="1"/>
    <x v="12"/>
    <x v="4"/>
    <s v="입학전문직(입학사정관)"/>
    <s v="대학회계계약직"/>
    <s v="비공무원"/>
    <x v="0"/>
    <s v="Y"/>
    <s v="N"/>
    <d v="2021-02-01T00:00:00"/>
    <d v="2021-02-01T00:00:00"/>
    <d v="2021-02-01T00:00:00"/>
    <d v="2021-02-01T00:00:00"/>
    <m/>
    <m/>
    <s v="대학회계계약직"/>
    <x v="0"/>
    <n v="11"/>
    <x v="0"/>
    <x v="0"/>
    <n v="1"/>
    <n v="0"/>
    <x v="1"/>
    <n v="5"/>
    <n v="5"/>
    <x v="4"/>
    <n v="5.6"/>
    <x v="1"/>
    <x v="0"/>
    <x v="0"/>
    <s v=""/>
    <x v="0"/>
    <x v="0"/>
    <x v="0"/>
    <s v=""/>
    <x v="0"/>
    <s v=""/>
  </r>
  <r>
    <n v="900248"/>
    <x v="246"/>
    <x v="0"/>
    <n v="51"/>
    <x v="0"/>
    <x v="0"/>
    <x v="11"/>
    <s v="전문경력관 나군(노무담당)"/>
    <s v="일반직"/>
    <s v="공무원"/>
    <x v="0"/>
    <s v="Y"/>
    <s v="N"/>
    <d v="2019-05-01T00:00:00"/>
    <d v="2019-05-01T00:00:00"/>
    <d v="2023-10-01T00:00:00"/>
    <d v="2023-10-01T00:00:00"/>
    <n v="10"/>
    <m/>
    <s v="전문경력관"/>
    <x v="2"/>
    <n v="9"/>
    <x v="1"/>
    <x v="0"/>
    <n v="1"/>
    <n v="0"/>
    <x v="2"/>
    <n v="7"/>
    <n v="7"/>
    <x v="2"/>
    <n v="2.9"/>
    <x v="0"/>
    <x v="4"/>
    <x v="0"/>
    <s v=""/>
    <x v="0"/>
    <x v="0"/>
    <x v="0"/>
    <s v=""/>
    <x v="0"/>
    <s v=""/>
  </r>
  <r>
    <n v="900249"/>
    <x v="247"/>
    <x v="0"/>
    <n v="50"/>
    <x v="0"/>
    <x v="9"/>
    <x v="13"/>
    <s v="행정서기보"/>
    <s v="일반직"/>
    <s v="공무원"/>
    <x v="0"/>
    <s v="N"/>
    <s v="N"/>
    <d v="2000-06-01T00:00:00"/>
    <d v="2021-01-01T00:00:00"/>
    <d v="2021-07-01T00:00:00"/>
    <d v="2021-07-01T00:00:00"/>
    <n v="28"/>
    <m/>
    <s v="9급"/>
    <x v="4"/>
    <n v="7"/>
    <x v="1"/>
    <x v="0"/>
    <n v="1"/>
    <n v="0"/>
    <x v="2"/>
    <n v="5"/>
    <n v="26"/>
    <x v="0"/>
    <n v="5.2"/>
    <x v="1"/>
    <x v="14"/>
    <x v="0"/>
    <s v=""/>
    <x v="0"/>
    <x v="0"/>
    <x v="0"/>
    <s v=""/>
    <x v="0"/>
    <s v=""/>
  </r>
  <r>
    <n v="900250"/>
    <x v="248"/>
    <x v="0"/>
    <n v="26"/>
    <x v="0"/>
    <x v="9"/>
    <x v="11"/>
    <s v="행정서기"/>
    <s v="일반직"/>
    <s v="공무원"/>
    <x v="0"/>
    <s v="Y"/>
    <s v="N"/>
    <d v="2025-03-01T00:00:00"/>
    <d v="2025-03-01T00:00:00"/>
    <d v="2025-03-01T00:00:00"/>
    <d v="2025-03-01T00:00:00"/>
    <n v="1"/>
    <m/>
    <s v="8급"/>
    <x v="9"/>
    <n v="6"/>
    <x v="1"/>
    <x v="0"/>
    <n v="1"/>
    <n v="0"/>
    <x v="3"/>
    <n v="1"/>
    <n v="1"/>
    <x v="5"/>
    <n v="1.5"/>
    <x v="0"/>
    <x v="10"/>
    <x v="0"/>
    <s v=""/>
    <x v="0"/>
    <x v="0"/>
    <x v="0"/>
    <s v=""/>
    <x v="0"/>
    <s v=""/>
  </r>
  <r>
    <n v="900251"/>
    <x v="249"/>
    <x v="0"/>
    <n v="51"/>
    <x v="1"/>
    <x v="3"/>
    <x v="2"/>
    <s v="대학회계계약직(사무실무직)"/>
    <s v="대학회계계약직"/>
    <s v="비공무원"/>
    <x v="0"/>
    <s v="N"/>
    <s v="N"/>
    <d v="2009-05-01T00:00:00"/>
    <d v="2026-01-01T00:00:00"/>
    <d v="2026-01-01T00:00:00"/>
    <d v="2026-01-01T00:00:00"/>
    <n v="18"/>
    <m/>
    <s v="대학회계계약직"/>
    <x v="0"/>
    <n v="11"/>
    <x v="0"/>
    <x v="0"/>
    <n v="1"/>
    <n v="0"/>
    <x v="2"/>
    <n v="0"/>
    <n v="17"/>
    <x v="2"/>
    <n v="0.7"/>
    <x v="0"/>
    <x v="0"/>
    <x v="0"/>
    <s v=""/>
    <x v="0"/>
    <x v="0"/>
    <x v="0"/>
    <s v=""/>
    <x v="0"/>
    <s v=""/>
  </r>
  <r>
    <n v="900252"/>
    <x v="250"/>
    <x v="0"/>
    <n v="27"/>
    <x v="1"/>
    <x v="10"/>
    <x v="2"/>
    <s v="전산주사보"/>
    <s v="일반직"/>
    <s v="공무원"/>
    <x v="0"/>
    <s v="N"/>
    <s v="N"/>
    <d v="2021-08-01T00:00:00"/>
    <d v="2021-10-01T00:00:00"/>
    <d v="2021-10-01T00:00:00"/>
    <d v="2021-10-01T00:00:00"/>
    <n v="7"/>
    <m/>
    <s v="7급"/>
    <x v="1"/>
    <n v="5"/>
    <x v="1"/>
    <x v="0"/>
    <n v="1"/>
    <n v="0"/>
    <x v="3"/>
    <n v="4"/>
    <n v="5"/>
    <x v="1"/>
    <n v="4.9000000000000004"/>
    <x v="0"/>
    <x v="20"/>
    <x v="0"/>
    <s v=""/>
    <x v="0"/>
    <x v="0"/>
    <x v="0"/>
    <s v=""/>
    <x v="0"/>
    <s v=""/>
  </r>
  <r>
    <n v="900253"/>
    <x v="251"/>
    <x v="0"/>
    <n v="44"/>
    <x v="0"/>
    <x v="13"/>
    <x v="14"/>
    <s v="대학회계계약직(상담전문직)"/>
    <s v="대학회계계약직"/>
    <s v="비공무원"/>
    <x v="0"/>
    <s v="N"/>
    <s v="N"/>
    <d v="2010-10-01T00:00:00"/>
    <d v="2026-09-01T00:00:00"/>
    <d v="2026-09-01T00:00:00"/>
    <d v="2026-09-01T00:00:00"/>
    <n v="18"/>
    <m/>
    <s v="대학회계계약직"/>
    <x v="0"/>
    <n v="11"/>
    <x v="0"/>
    <x v="0"/>
    <n v="1"/>
    <n v="0"/>
    <x v="0"/>
    <n v="0"/>
    <n v="15"/>
    <x v="2"/>
    <n v="0"/>
    <x v="0"/>
    <x v="0"/>
    <x v="0"/>
    <s v=""/>
    <x v="0"/>
    <x v="0"/>
    <x v="0"/>
    <s v=""/>
    <x v="0"/>
    <s v=""/>
  </r>
  <r>
    <n v="900254"/>
    <x v="252"/>
    <x v="0"/>
    <n v="39"/>
    <x v="1"/>
    <x v="5"/>
    <x v="9"/>
    <s v="대학회계직7급(전산원)"/>
    <s v="대학회계직"/>
    <s v="비공무원"/>
    <x v="0"/>
    <s v="Y"/>
    <s v="N"/>
    <d v="2009-09-01T00:00:00"/>
    <d v="2009-09-01T00:00:00"/>
    <d v="2021-07-01T00:00:00"/>
    <d v="2021-07-01T00:00:00"/>
    <n v="18"/>
    <m/>
    <s v="대학회계직"/>
    <x v="10"/>
    <n v="10"/>
    <x v="3"/>
    <x v="0"/>
    <n v="1"/>
    <n v="0"/>
    <x v="1"/>
    <n v="17"/>
    <n v="17"/>
    <x v="2"/>
    <n v="5.2"/>
    <x v="1"/>
    <x v="0"/>
    <x v="0"/>
    <s v=""/>
    <x v="0"/>
    <x v="0"/>
    <x v="0"/>
    <s v=""/>
    <x v="0"/>
    <s v=""/>
  </r>
  <r>
    <n v="900255"/>
    <x v="253"/>
    <x v="0"/>
    <n v="54"/>
    <x v="0"/>
    <x v="0"/>
    <x v="0"/>
    <s v="사서주사"/>
    <s v="일반직"/>
    <s v="공무원"/>
    <x v="0"/>
    <s v="Y"/>
    <s v="N"/>
    <d v="2000-05-01T00:00:00"/>
    <d v="2000-05-01T00:00:00"/>
    <d v="2025-10-01T00:00:00"/>
    <d v="2025-10-01T00:00:00"/>
    <n v="29"/>
    <m/>
    <s v="6급"/>
    <x v="3"/>
    <n v="4"/>
    <x v="1"/>
    <x v="0"/>
    <n v="1"/>
    <n v="0"/>
    <x v="2"/>
    <n v="26"/>
    <n v="26"/>
    <x v="0"/>
    <n v="0.9"/>
    <x v="0"/>
    <x v="28"/>
    <x v="0"/>
    <s v=""/>
    <x v="0"/>
    <x v="0"/>
    <x v="0"/>
    <s v=""/>
    <x v="0"/>
    <s v=""/>
  </r>
  <r>
    <n v="900256"/>
    <x v="254"/>
    <x v="0"/>
    <n v="49"/>
    <x v="1"/>
    <x v="1"/>
    <x v="6"/>
    <s v="사서서기"/>
    <s v="일반직"/>
    <s v="공무원"/>
    <x v="0"/>
    <s v="Y"/>
    <s v="N"/>
    <d v="2000-01-01T00:00:00"/>
    <d v="2000-01-01T00:00:00"/>
    <d v="2026-05-01T00:00:00"/>
    <d v="2026-05-01T00:00:00"/>
    <n v="28"/>
    <m/>
    <s v="8급"/>
    <x v="9"/>
    <n v="6"/>
    <x v="1"/>
    <x v="0"/>
    <n v="1"/>
    <n v="0"/>
    <x v="0"/>
    <n v="26"/>
    <n v="26"/>
    <x v="0"/>
    <n v="0.4"/>
    <x v="0"/>
    <x v="11"/>
    <x v="0"/>
    <s v=""/>
    <x v="0"/>
    <x v="0"/>
    <x v="0"/>
    <s v=""/>
    <x v="0"/>
    <s v=""/>
  </r>
  <r>
    <n v="900257"/>
    <x v="255"/>
    <x v="0"/>
    <n v="41"/>
    <x v="0"/>
    <x v="8"/>
    <x v="8"/>
    <s v="대학회계계약직(보건전문직)"/>
    <s v="대학회계계약직"/>
    <s v="비공무원"/>
    <x v="0"/>
    <s v="N"/>
    <s v="N"/>
    <d v="2016-06-01T00:00:00"/>
    <d v="2016-06-01T00:00:00"/>
    <d v="2016-06-01T00:00:00"/>
    <d v="2016-06-01T00:00:00"/>
    <n v="10"/>
    <m/>
    <s v="대학회계계약직"/>
    <x v="0"/>
    <n v="11"/>
    <x v="0"/>
    <x v="0"/>
    <n v="1"/>
    <n v="0"/>
    <x v="0"/>
    <n v="10"/>
    <n v="10"/>
    <x v="2"/>
    <n v="10.3"/>
    <x v="2"/>
    <x v="0"/>
    <x v="0"/>
    <s v=""/>
    <x v="0"/>
    <x v="0"/>
    <x v="0"/>
    <s v=""/>
    <x v="0"/>
    <s v=""/>
  </r>
  <r>
    <n v="900258"/>
    <x v="256"/>
    <x v="0"/>
    <n v="25"/>
    <x v="1"/>
    <x v="0"/>
    <x v="10"/>
    <s v="사서서기"/>
    <s v="일반직"/>
    <s v="공무원"/>
    <x v="0"/>
    <s v="Y"/>
    <s v="N"/>
    <d v="2023-05-01T00:00:00"/>
    <d v="2023-05-01T00:00:00"/>
    <d v="2023-05-01T00:00:00"/>
    <d v="2023-05-01T00:00:00"/>
    <n v="6"/>
    <m/>
    <s v="8급"/>
    <x v="9"/>
    <n v="6"/>
    <x v="1"/>
    <x v="0"/>
    <n v="1"/>
    <n v="0"/>
    <x v="3"/>
    <n v="3"/>
    <n v="3"/>
    <x v="1"/>
    <n v="3.4"/>
    <x v="0"/>
    <x v="26"/>
    <x v="0"/>
    <s v=""/>
    <x v="0"/>
    <x v="0"/>
    <x v="0"/>
    <s v=""/>
    <x v="0"/>
    <s v=""/>
  </r>
  <r>
    <n v="900259"/>
    <x v="257"/>
    <x v="1"/>
    <n v="52"/>
    <x v="0"/>
    <x v="6"/>
    <x v="10"/>
    <s v="대학회계계약직(사무실무직)"/>
    <s v="대학회계계약직"/>
    <s v="비공무원"/>
    <x v="0"/>
    <s v="N"/>
    <s v="N"/>
    <d v="2005-10-01T00:00:00"/>
    <d v="2005-10-01T00:00:00"/>
    <d v="2012-02-01T00:00:00"/>
    <d v="2012-02-01T00:00:00"/>
    <n v="24"/>
    <s v="육아휴직[20260518~20280518]"/>
    <s v="대학회계계약직"/>
    <x v="0"/>
    <n v="11"/>
    <x v="0"/>
    <x v="0"/>
    <n v="1"/>
    <n v="1"/>
    <x v="2"/>
    <n v="20"/>
    <n v="20"/>
    <x v="0"/>
    <n v="14.6"/>
    <x v="2"/>
    <x v="0"/>
    <x v="0"/>
    <d v="2026-05-18T00:00:00"/>
    <x v="1"/>
    <x v="17"/>
    <x v="13"/>
    <n v="619"/>
    <x v="1"/>
    <s v=""/>
  </r>
  <r>
    <n v="900260"/>
    <x v="258"/>
    <x v="0"/>
    <n v="47"/>
    <x v="0"/>
    <x v="6"/>
    <x v="6"/>
    <s v="대학회계계약직(보건전문직)"/>
    <s v="대학회계계약직"/>
    <s v="비공무원"/>
    <x v="0"/>
    <s v="Y"/>
    <s v="N"/>
    <d v="2006-02-01T00:00:00"/>
    <d v="2023-08-01T00:00:00"/>
    <d v="2023-08-01T00:00:00"/>
    <d v="2023-08-01T00:00:00"/>
    <n v="23"/>
    <s v="휴직복직[20250910~99991231]"/>
    <s v="대학회계계약직"/>
    <x v="0"/>
    <n v="11"/>
    <x v="0"/>
    <x v="0"/>
    <n v="1"/>
    <n v="0"/>
    <x v="0"/>
    <n v="3"/>
    <n v="20"/>
    <x v="0"/>
    <n v="3.1"/>
    <x v="0"/>
    <x v="0"/>
    <x v="0"/>
    <s v=""/>
    <x v="0"/>
    <x v="0"/>
    <x v="0"/>
    <s v=""/>
    <x v="0"/>
    <s v=""/>
  </r>
  <r>
    <n v="900261"/>
    <x v="259"/>
    <x v="0"/>
    <n v="50"/>
    <x v="0"/>
    <x v="7"/>
    <x v="8"/>
    <s v="행정사무관"/>
    <s v="일반직"/>
    <s v="공무원"/>
    <x v="0"/>
    <s v="Y"/>
    <s v="N"/>
    <d v="2000-06-01T00:00:00"/>
    <d v="2000-06-01T00:00:00"/>
    <d v="2015-06-01T00:00:00"/>
    <d v="2015-06-01T00:00:00"/>
    <n v="29"/>
    <m/>
    <s v="5급"/>
    <x v="7"/>
    <n v="3"/>
    <x v="1"/>
    <x v="0"/>
    <n v="1"/>
    <n v="0"/>
    <x v="2"/>
    <n v="26"/>
    <n v="26"/>
    <x v="0"/>
    <n v="11.3"/>
    <x v="2"/>
    <x v="14"/>
    <x v="0"/>
    <s v=""/>
    <x v="0"/>
    <x v="0"/>
    <x v="0"/>
    <s v=""/>
    <x v="0"/>
    <s v=""/>
  </r>
  <r>
    <n v="900262"/>
    <x v="260"/>
    <x v="1"/>
    <n v="33"/>
    <x v="1"/>
    <x v="7"/>
    <x v="1"/>
    <s v="대학회계계약직(사무실무직)"/>
    <s v="대학회계계약직"/>
    <s v="비공무원"/>
    <x v="0"/>
    <s v="Y"/>
    <s v="N"/>
    <d v="2019-10-01T00:00:00"/>
    <d v="2019-10-01T00:00:00"/>
    <d v="2026-05-01T00:00:00"/>
    <d v="2026-05-01T00:00:00"/>
    <n v="7"/>
    <s v="휴직복직[20250905~99991231], 휴직복직[20230926~99991231], 휴직복직[20240815~99991231], 육아휴직[20260224~20270824]"/>
    <s v="대학회계계약직"/>
    <x v="0"/>
    <n v="11"/>
    <x v="0"/>
    <x v="0"/>
    <n v="1"/>
    <n v="1"/>
    <x v="1"/>
    <n v="6"/>
    <n v="6"/>
    <x v="1"/>
    <n v="0.4"/>
    <x v="0"/>
    <x v="0"/>
    <x v="0"/>
    <d v="2026-02-24T00:00:00"/>
    <x v="1"/>
    <x v="18"/>
    <x v="2"/>
    <n v="351"/>
    <x v="1"/>
    <s v=""/>
  </r>
  <r>
    <n v="900263"/>
    <x v="261"/>
    <x v="0"/>
    <n v="39"/>
    <x v="1"/>
    <x v="8"/>
    <x v="3"/>
    <s v="사무운영주사보"/>
    <s v="기능직"/>
    <s v="공무원"/>
    <x v="0"/>
    <s v="Y"/>
    <s v="N"/>
    <d v="2025-12-01T00:00:00"/>
    <d v="2025-12-01T00:00:00"/>
    <d v="2025-12-01T00:00:00"/>
    <d v="2025-12-01T00:00:00"/>
    <n v="4"/>
    <m/>
    <s v="7급"/>
    <x v="1"/>
    <n v="5"/>
    <x v="1"/>
    <x v="0"/>
    <n v="1"/>
    <n v="0"/>
    <x v="1"/>
    <n v="0"/>
    <n v="0"/>
    <x v="5"/>
    <n v="0.8"/>
    <x v="0"/>
    <x v="3"/>
    <x v="0"/>
    <s v=""/>
    <x v="0"/>
    <x v="0"/>
    <x v="0"/>
    <s v=""/>
    <x v="0"/>
    <s v=""/>
  </r>
  <r>
    <n v="900264"/>
    <x v="262"/>
    <x v="0"/>
    <n v="41"/>
    <x v="1"/>
    <x v="15"/>
    <x v="7"/>
    <s v="대학회계계약직(사무실무직)"/>
    <s v="대학회계계약직"/>
    <s v="비공무원"/>
    <x v="0"/>
    <s v="Y"/>
    <s v="N"/>
    <d v="2024-01-01T00:00:00"/>
    <d v="2022-05-01T00:00:00"/>
    <d v="2022-05-01T00:00:00"/>
    <d v="2022-05-01T00:00:00"/>
    <n v="3"/>
    <m/>
    <s v="대학회계계약직"/>
    <x v="0"/>
    <n v="11"/>
    <x v="0"/>
    <x v="0"/>
    <n v="1"/>
    <n v="0"/>
    <x v="0"/>
    <n v="4"/>
    <n v="2"/>
    <x v="5"/>
    <n v="4.4000000000000004"/>
    <x v="0"/>
    <x v="0"/>
    <x v="0"/>
    <s v=""/>
    <x v="0"/>
    <x v="0"/>
    <x v="0"/>
    <s v=""/>
    <x v="0"/>
    <s v=""/>
  </r>
  <r>
    <n v="900265"/>
    <x v="263"/>
    <x v="0"/>
    <n v="43"/>
    <x v="0"/>
    <x v="7"/>
    <x v="10"/>
    <s v="전산주사"/>
    <s v="일반직"/>
    <s v="공무원"/>
    <x v="0"/>
    <s v="N"/>
    <s v="N"/>
    <d v="2008-11-01T00:00:00"/>
    <d v="2008-11-01T00:00:00"/>
    <d v="2019-09-01T00:00:00"/>
    <d v="2019-09-01T00:00:00"/>
    <n v="19"/>
    <m/>
    <s v="6급"/>
    <x v="3"/>
    <n v="4"/>
    <x v="1"/>
    <x v="0"/>
    <n v="1"/>
    <n v="0"/>
    <x v="0"/>
    <n v="17"/>
    <n v="17"/>
    <x v="2"/>
    <n v="7"/>
    <x v="1"/>
    <x v="8"/>
    <x v="0"/>
    <s v=""/>
    <x v="0"/>
    <x v="0"/>
    <x v="0"/>
    <s v=""/>
    <x v="0"/>
    <s v=""/>
  </r>
  <r>
    <n v="900266"/>
    <x v="264"/>
    <x v="0"/>
    <n v="58"/>
    <x v="1"/>
    <x v="0"/>
    <x v="11"/>
    <s v="행정주사"/>
    <s v="일반직"/>
    <s v="공무원"/>
    <x v="0"/>
    <s v="Y"/>
    <s v="N"/>
    <d v="2007-08-01T00:00:00"/>
    <d v="2025-04-01T00:00:00"/>
    <d v="2025-04-01T00:00:00"/>
    <d v="2025-04-01T00:00:00"/>
    <n v="21"/>
    <m/>
    <s v="6급"/>
    <x v="3"/>
    <n v="4"/>
    <x v="1"/>
    <x v="0"/>
    <n v="1"/>
    <n v="0"/>
    <x v="2"/>
    <n v="1"/>
    <n v="19"/>
    <x v="0"/>
    <n v="1.4"/>
    <x v="0"/>
    <x v="34"/>
    <x v="0"/>
    <s v=""/>
    <x v="0"/>
    <x v="0"/>
    <x v="0"/>
    <s v=""/>
    <x v="0"/>
    <s v=""/>
  </r>
  <r>
    <n v="900267"/>
    <x v="265"/>
    <x v="0"/>
    <n v="25"/>
    <x v="0"/>
    <x v="2"/>
    <x v="7"/>
    <s v="사서주사보"/>
    <s v="일반직"/>
    <s v="공무원"/>
    <x v="0"/>
    <s v="Y"/>
    <s v="N"/>
    <d v="2023-04-01T00:00:00"/>
    <d v="2024-03-01T00:00:00"/>
    <d v="2024-03-01T00:00:00"/>
    <d v="2024-03-01T00:00:00"/>
    <n v="3"/>
    <s v="휴직복직[20250804~99991231]"/>
    <s v="7급"/>
    <x v="1"/>
    <n v="5"/>
    <x v="1"/>
    <x v="0"/>
    <n v="1"/>
    <n v="0"/>
    <x v="3"/>
    <n v="2"/>
    <n v="3"/>
    <x v="5"/>
    <n v="2.5"/>
    <x v="0"/>
    <x v="26"/>
    <x v="0"/>
    <s v=""/>
    <x v="0"/>
    <x v="0"/>
    <x v="0"/>
    <s v=""/>
    <x v="0"/>
    <s v=""/>
  </r>
  <r>
    <n v="900268"/>
    <x v="266"/>
    <x v="0"/>
    <n v="53"/>
    <x v="0"/>
    <x v="13"/>
    <x v="11"/>
    <s v="행정주사보"/>
    <s v="일반직"/>
    <s v="공무원"/>
    <x v="0"/>
    <s v="Y"/>
    <s v="N"/>
    <d v="2013-11-01T00:00:00"/>
    <d v="2021-03-01T00:00:00"/>
    <d v="2021-03-01T00:00:00"/>
    <d v="2021-03-01T00:00:00"/>
    <n v="15"/>
    <m/>
    <s v="7급"/>
    <x v="1"/>
    <n v="5"/>
    <x v="1"/>
    <x v="0"/>
    <n v="1"/>
    <n v="0"/>
    <x v="2"/>
    <n v="5"/>
    <n v="12"/>
    <x v="2"/>
    <n v="5.5"/>
    <x v="1"/>
    <x v="2"/>
    <x v="0"/>
    <s v=""/>
    <x v="0"/>
    <x v="0"/>
    <x v="0"/>
    <s v=""/>
    <x v="0"/>
    <s v=""/>
  </r>
  <r>
    <n v="900269"/>
    <x v="267"/>
    <x v="0"/>
    <n v="40"/>
    <x v="0"/>
    <x v="4"/>
    <x v="5"/>
    <s v="전산주사"/>
    <s v="일반직"/>
    <s v="공무원"/>
    <x v="0"/>
    <s v="Y"/>
    <s v="N"/>
    <d v="2010-08-01T00:00:00"/>
    <d v="2021-01-01T00:00:00"/>
    <d v="2023-03-01T00:00:00"/>
    <d v="2023-03-01T00:00:00"/>
    <n v="18"/>
    <m/>
    <s v="6급"/>
    <x v="3"/>
    <n v="4"/>
    <x v="1"/>
    <x v="0"/>
    <n v="1"/>
    <n v="0"/>
    <x v="0"/>
    <n v="5"/>
    <n v="16"/>
    <x v="2"/>
    <n v="3.5"/>
    <x v="0"/>
    <x v="32"/>
    <x v="0"/>
    <s v=""/>
    <x v="0"/>
    <x v="0"/>
    <x v="0"/>
    <s v=""/>
    <x v="0"/>
    <s v=""/>
  </r>
  <r>
    <n v="900270"/>
    <x v="268"/>
    <x v="0"/>
    <n v="49"/>
    <x v="0"/>
    <x v="9"/>
    <x v="13"/>
    <s v="대학회계직7급(사서원)"/>
    <s v="대학회계직"/>
    <s v="비공무원"/>
    <x v="0"/>
    <s v="Y"/>
    <s v="N"/>
    <d v="2021-05-01T00:00:00"/>
    <d v="2021-05-01T00:00:00"/>
    <d v="2025-09-01T00:00:00"/>
    <d v="2025-09-01T00:00:00"/>
    <n v="8"/>
    <m/>
    <s v="대학회계직"/>
    <x v="10"/>
    <n v="10"/>
    <x v="3"/>
    <x v="0"/>
    <n v="1"/>
    <n v="0"/>
    <x v="0"/>
    <n v="5"/>
    <n v="5"/>
    <x v="1"/>
    <n v="1"/>
    <x v="0"/>
    <x v="0"/>
    <x v="0"/>
    <s v=""/>
    <x v="0"/>
    <x v="0"/>
    <x v="0"/>
    <s v=""/>
    <x v="0"/>
    <s v=""/>
  </r>
  <r>
    <n v="900271"/>
    <x v="269"/>
    <x v="0"/>
    <n v="34"/>
    <x v="1"/>
    <x v="0"/>
    <x v="11"/>
    <s v="입학전문직(입학사정관)"/>
    <s v="대학회계계약직"/>
    <s v="비공무원"/>
    <x v="0"/>
    <s v="N"/>
    <s v="N"/>
    <d v="2025-09-01T00:00:00"/>
    <d v="2025-09-01T00:00:00"/>
    <d v="2026-03-01T00:00:00"/>
    <d v="2026-03-01T00:00:00"/>
    <n v="4"/>
    <m/>
    <s v="대학회계계약직"/>
    <x v="0"/>
    <n v="11"/>
    <x v="0"/>
    <x v="0"/>
    <n v="1"/>
    <n v="0"/>
    <x v="1"/>
    <n v="1"/>
    <n v="1"/>
    <x v="5"/>
    <n v="0.5"/>
    <x v="0"/>
    <x v="0"/>
    <x v="0"/>
    <s v=""/>
    <x v="0"/>
    <x v="0"/>
    <x v="0"/>
    <s v=""/>
    <x v="0"/>
    <s v=""/>
  </r>
  <r>
    <n v="900272"/>
    <x v="270"/>
    <x v="0"/>
    <n v="50"/>
    <x v="1"/>
    <x v="8"/>
    <x v="0"/>
    <s v="대학회계계약직(사무실무직)"/>
    <s v="대학회계계약직"/>
    <s v="비공무원"/>
    <x v="0"/>
    <s v="N"/>
    <s v="N"/>
    <d v="2019-07-01T00:00:00"/>
    <d v="2019-07-01T00:00:00"/>
    <d v="2023-03-01T00:00:00"/>
    <d v="2023-03-01T00:00:00"/>
    <n v="7"/>
    <m/>
    <s v="대학회계계약직"/>
    <x v="0"/>
    <n v="11"/>
    <x v="0"/>
    <x v="0"/>
    <n v="1"/>
    <n v="0"/>
    <x v="2"/>
    <n v="7"/>
    <n v="7"/>
    <x v="1"/>
    <n v="3.5"/>
    <x v="0"/>
    <x v="0"/>
    <x v="0"/>
    <s v=""/>
    <x v="0"/>
    <x v="0"/>
    <x v="0"/>
    <s v=""/>
    <x v="0"/>
    <s v=""/>
  </r>
  <r>
    <n v="900273"/>
    <x v="271"/>
    <x v="0"/>
    <n v="45"/>
    <x v="0"/>
    <x v="15"/>
    <x v="3"/>
    <s v="사서주사"/>
    <s v="일반직"/>
    <s v="공무원"/>
    <x v="0"/>
    <s v="Y"/>
    <s v="N"/>
    <d v="2014-02-01T00:00:00"/>
    <d v="2014-02-01T00:00:00"/>
    <d v="2014-02-01T00:00:00"/>
    <d v="2014-02-01T00:00:00"/>
    <n v="12"/>
    <m/>
    <s v="6급"/>
    <x v="3"/>
    <n v="4"/>
    <x v="1"/>
    <x v="0"/>
    <n v="1"/>
    <n v="0"/>
    <x v="0"/>
    <n v="12"/>
    <n v="12"/>
    <x v="2"/>
    <n v="12.6"/>
    <x v="2"/>
    <x v="1"/>
    <x v="0"/>
    <s v=""/>
    <x v="0"/>
    <x v="0"/>
    <x v="0"/>
    <s v=""/>
    <x v="0"/>
    <s v=""/>
  </r>
  <r>
    <n v="900274"/>
    <x v="272"/>
    <x v="0"/>
    <n v="39"/>
    <x v="0"/>
    <x v="2"/>
    <x v="0"/>
    <s v="전산주사보"/>
    <s v="일반직"/>
    <s v="공무원"/>
    <x v="0"/>
    <s v="Y"/>
    <s v="N"/>
    <d v="2025-08-01T00:00:00"/>
    <d v="2023-09-01T00:00:00"/>
    <d v="2023-09-01T00:00:00"/>
    <d v="2023-09-01T00:00:00"/>
    <n v="2"/>
    <m/>
    <s v="7급"/>
    <x v="1"/>
    <n v="5"/>
    <x v="1"/>
    <x v="0"/>
    <n v="1"/>
    <n v="0"/>
    <x v="1"/>
    <n v="3"/>
    <n v="1"/>
    <x v="5"/>
    <n v="3"/>
    <x v="0"/>
    <x v="3"/>
    <x v="0"/>
    <s v=""/>
    <x v="0"/>
    <x v="0"/>
    <x v="0"/>
    <s v=""/>
    <x v="0"/>
    <s v=""/>
  </r>
  <r>
    <n v="900275"/>
    <x v="273"/>
    <x v="0"/>
    <n v="53"/>
    <x v="0"/>
    <x v="0"/>
    <x v="11"/>
    <s v="입학전문직(입학사정관)"/>
    <s v="대학회계계약직"/>
    <s v="비공무원"/>
    <x v="0"/>
    <s v="Y"/>
    <s v="N"/>
    <d v="2000-08-01T00:00:00"/>
    <d v="2000-08-01T00:00:00"/>
    <d v="2026-12-01T00:00:00"/>
    <d v="2026-12-01T00:00:00"/>
    <n v="26"/>
    <m/>
    <s v="대학회계계약직"/>
    <x v="0"/>
    <n v="11"/>
    <x v="0"/>
    <x v="0"/>
    <n v="1"/>
    <n v="0"/>
    <x v="2"/>
    <n v="26"/>
    <n v="26"/>
    <x v="0"/>
    <n v="0.2"/>
    <x v="0"/>
    <x v="0"/>
    <x v="0"/>
    <s v=""/>
    <x v="0"/>
    <x v="0"/>
    <x v="0"/>
    <s v=""/>
    <x v="0"/>
    <s v=""/>
  </r>
  <r>
    <n v="900276"/>
    <x v="274"/>
    <x v="0"/>
    <n v="39"/>
    <x v="0"/>
    <x v="15"/>
    <x v="3"/>
    <s v="행정주사"/>
    <s v="일반직"/>
    <s v="공무원"/>
    <x v="0"/>
    <s v="Y"/>
    <s v="N"/>
    <d v="2009-02-01T00:00:00"/>
    <d v="2009-02-01T00:00:00"/>
    <d v="2012-03-01T00:00:00"/>
    <d v="2012-03-01T00:00:00"/>
    <n v="17"/>
    <m/>
    <s v="6급"/>
    <x v="3"/>
    <n v="4"/>
    <x v="1"/>
    <x v="0"/>
    <n v="1"/>
    <n v="0"/>
    <x v="1"/>
    <n v="17"/>
    <n v="17"/>
    <x v="2"/>
    <n v="14.5"/>
    <x v="2"/>
    <x v="3"/>
    <x v="0"/>
    <s v=""/>
    <x v="0"/>
    <x v="0"/>
    <x v="0"/>
    <s v=""/>
    <x v="0"/>
    <s v=""/>
  </r>
  <r>
    <n v="900277"/>
    <x v="275"/>
    <x v="0"/>
    <n v="26"/>
    <x v="1"/>
    <x v="15"/>
    <x v="14"/>
    <s v="대학회계계약직(전산전문직)"/>
    <s v="대학회계계약직"/>
    <s v="비공무원"/>
    <x v="0"/>
    <s v="Y"/>
    <s v="N"/>
    <d v="2022-10-01T00:00:00"/>
    <d v="2023-12-01T00:00:00"/>
    <d v="2023-12-01T00:00:00"/>
    <d v="2023-12-01T00:00:00"/>
    <n v="6"/>
    <m/>
    <s v="대학회계계약직"/>
    <x v="0"/>
    <n v="11"/>
    <x v="0"/>
    <x v="0"/>
    <n v="1"/>
    <n v="0"/>
    <x v="3"/>
    <n v="2"/>
    <n v="3"/>
    <x v="1"/>
    <n v="2.8"/>
    <x v="0"/>
    <x v="0"/>
    <x v="0"/>
    <s v=""/>
    <x v="0"/>
    <x v="0"/>
    <x v="0"/>
    <s v=""/>
    <x v="0"/>
    <s v=""/>
  </r>
  <r>
    <n v="900278"/>
    <x v="276"/>
    <x v="0"/>
    <n v="50"/>
    <x v="1"/>
    <x v="10"/>
    <x v="11"/>
    <s v="공업주사"/>
    <s v="일반직"/>
    <s v="공무원"/>
    <x v="0"/>
    <s v="N"/>
    <s v="N"/>
    <d v="2009-08-01T00:00:00"/>
    <d v="2009-08-01T00:00:00"/>
    <d v="2012-05-01T00:00:00"/>
    <d v="2012-05-01T00:00:00"/>
    <n v="19"/>
    <s v="휴직복직[20250724~99991231]"/>
    <s v="6급"/>
    <x v="3"/>
    <n v="4"/>
    <x v="1"/>
    <x v="0"/>
    <n v="1"/>
    <n v="0"/>
    <x v="2"/>
    <n v="17"/>
    <n v="17"/>
    <x v="2"/>
    <n v="14.4"/>
    <x v="2"/>
    <x v="14"/>
    <x v="0"/>
    <s v=""/>
    <x v="0"/>
    <x v="0"/>
    <x v="0"/>
    <s v=""/>
    <x v="0"/>
    <s v=""/>
  </r>
  <r>
    <n v="900279"/>
    <x v="277"/>
    <x v="1"/>
    <n v="52"/>
    <x v="1"/>
    <x v="3"/>
    <x v="11"/>
    <s v="행정주사"/>
    <s v="일반직"/>
    <s v="공무원"/>
    <x v="0"/>
    <s v="N"/>
    <s v="N"/>
    <d v="2003-11-01T00:00:00"/>
    <d v="2003-11-01T00:00:00"/>
    <d v="2016-11-01T00:00:00"/>
    <d v="2016-11-01T00:00:00"/>
    <n v="25"/>
    <s v="육아휴직[20260608~20280608], 휴직복직[20260722~99991231], 질병휴직(일반질병)[20260722~20270122]"/>
    <s v="6급"/>
    <x v="3"/>
    <n v="4"/>
    <x v="1"/>
    <x v="0"/>
    <n v="1"/>
    <n v="1"/>
    <x v="2"/>
    <n v="22"/>
    <n v="22"/>
    <x v="0"/>
    <n v="9.9"/>
    <x v="1"/>
    <x v="24"/>
    <x v="0"/>
    <d v="2026-07-22T00:00:00"/>
    <x v="4"/>
    <x v="19"/>
    <x v="6"/>
    <n v="137"/>
    <x v="2"/>
    <s v=""/>
  </r>
  <r>
    <n v="900280"/>
    <x v="278"/>
    <x v="0"/>
    <n v="51"/>
    <x v="0"/>
    <x v="8"/>
    <x v="12"/>
    <s v="행정서기"/>
    <s v="일반직"/>
    <s v="공무원"/>
    <x v="0"/>
    <s v="N"/>
    <s v="N"/>
    <d v="2002-07-01T00:00:00"/>
    <d v="2025-05-01T00:00:00"/>
    <d v="2025-05-01T00:00:00"/>
    <d v="2025-05-01T00:00:00"/>
    <m/>
    <m/>
    <s v="8급"/>
    <x v="9"/>
    <n v="6"/>
    <x v="1"/>
    <x v="0"/>
    <n v="1"/>
    <n v="0"/>
    <x v="2"/>
    <n v="1"/>
    <n v="24"/>
    <x v="4"/>
    <n v="1.4"/>
    <x v="0"/>
    <x v="4"/>
    <x v="0"/>
    <s v=""/>
    <x v="0"/>
    <x v="0"/>
    <x v="0"/>
    <s v=""/>
    <x v="0"/>
    <s v=""/>
  </r>
  <r>
    <n v="900281"/>
    <x v="279"/>
    <x v="0"/>
    <n v="25"/>
    <x v="0"/>
    <x v="4"/>
    <x v="8"/>
    <s v="대학회계직7급(사무원)"/>
    <s v="대학회계직"/>
    <s v="비공무원"/>
    <x v="0"/>
    <s v="Y"/>
    <s v="N"/>
    <d v="2023-01-01T00:00:00"/>
    <d v="2023-01-01T00:00:00"/>
    <d v="2023-01-01T00:00:00"/>
    <d v="2023-01-01T00:00:00"/>
    <n v="5"/>
    <m/>
    <s v="대학회계직"/>
    <x v="10"/>
    <n v="10"/>
    <x v="3"/>
    <x v="0"/>
    <n v="1"/>
    <n v="0"/>
    <x v="3"/>
    <n v="3"/>
    <n v="3"/>
    <x v="1"/>
    <n v="3.7"/>
    <x v="0"/>
    <x v="0"/>
    <x v="0"/>
    <s v=""/>
    <x v="0"/>
    <x v="0"/>
    <x v="0"/>
    <s v=""/>
    <x v="0"/>
    <s v=""/>
  </r>
  <r>
    <n v="900282"/>
    <x v="280"/>
    <x v="0"/>
    <n v="52"/>
    <x v="1"/>
    <x v="2"/>
    <x v="7"/>
    <s v="행정사무관"/>
    <s v="일반직"/>
    <s v="공무원"/>
    <x v="0"/>
    <s v="Y"/>
    <s v="N"/>
    <d v="2013-09-01T00:00:00"/>
    <d v="2013-09-01T00:00:00"/>
    <d v="2017-02-01T00:00:00"/>
    <d v="2017-02-01T00:00:00"/>
    <m/>
    <m/>
    <s v="5급"/>
    <x v="7"/>
    <n v="3"/>
    <x v="1"/>
    <x v="0"/>
    <n v="1"/>
    <n v="0"/>
    <x v="2"/>
    <n v="13"/>
    <n v="13"/>
    <x v="4"/>
    <n v="9.6"/>
    <x v="1"/>
    <x v="24"/>
    <x v="0"/>
    <s v=""/>
    <x v="0"/>
    <x v="0"/>
    <x v="0"/>
    <s v=""/>
    <x v="0"/>
    <s v=""/>
  </r>
  <r>
    <n v="900283"/>
    <x v="281"/>
    <x v="0"/>
    <n v="28"/>
    <x v="0"/>
    <x v="2"/>
    <x v="1"/>
    <s v="대학회계계약직(사무실무직)"/>
    <s v="대학회계계약직"/>
    <s v="비공무원"/>
    <x v="0"/>
    <s v="Y"/>
    <s v="N"/>
    <d v="2024-01-01T00:00:00"/>
    <d v="2024-01-01T00:00:00"/>
    <d v="2025-04-01T00:00:00"/>
    <d v="2025-04-01T00:00:00"/>
    <n v="2"/>
    <m/>
    <s v="대학회계계약직"/>
    <x v="0"/>
    <n v="11"/>
    <x v="0"/>
    <x v="0"/>
    <n v="1"/>
    <n v="0"/>
    <x v="3"/>
    <n v="2"/>
    <n v="2"/>
    <x v="5"/>
    <n v="1.4"/>
    <x v="0"/>
    <x v="0"/>
    <x v="0"/>
    <s v=""/>
    <x v="0"/>
    <x v="0"/>
    <x v="0"/>
    <s v=""/>
    <x v="0"/>
    <s v=""/>
  </r>
  <r>
    <n v="900284"/>
    <x v="282"/>
    <x v="0"/>
    <n v="32"/>
    <x v="0"/>
    <x v="2"/>
    <x v="7"/>
    <s v="공업주사보"/>
    <s v="일반직"/>
    <s v="공무원"/>
    <x v="0"/>
    <s v="N"/>
    <s v="N"/>
    <d v="2017-04-01T00:00:00"/>
    <d v="2017-04-01T00:00:00"/>
    <d v="2026-03-01T00:00:00"/>
    <d v="2026-03-01T00:00:00"/>
    <n v="9"/>
    <m/>
    <s v="7급"/>
    <x v="1"/>
    <n v="5"/>
    <x v="1"/>
    <x v="0"/>
    <n v="1"/>
    <n v="0"/>
    <x v="1"/>
    <n v="9"/>
    <n v="9"/>
    <x v="1"/>
    <n v="0.5"/>
    <x v="0"/>
    <x v="22"/>
    <x v="0"/>
    <s v=""/>
    <x v="0"/>
    <x v="0"/>
    <x v="0"/>
    <s v=""/>
    <x v="0"/>
    <s v=""/>
  </r>
  <r>
    <n v="900285"/>
    <x v="283"/>
    <x v="0"/>
    <n v="30"/>
    <x v="0"/>
    <x v="15"/>
    <x v="0"/>
    <s v="행정서기보"/>
    <s v="일반직"/>
    <s v="공무원"/>
    <x v="0"/>
    <s v="Y"/>
    <s v="N"/>
    <d v="2021-11-01T00:00:00"/>
    <d v="2021-11-01T00:00:00"/>
    <d v="2021-11-01T00:00:00"/>
    <d v="2021-11-01T00:00:00"/>
    <n v="5"/>
    <m/>
    <s v="9급"/>
    <x v="4"/>
    <n v="7"/>
    <x v="1"/>
    <x v="0"/>
    <n v="1"/>
    <n v="0"/>
    <x v="1"/>
    <n v="4"/>
    <n v="4"/>
    <x v="1"/>
    <n v="4.9000000000000004"/>
    <x v="0"/>
    <x v="27"/>
    <x v="0"/>
    <s v=""/>
    <x v="0"/>
    <x v="0"/>
    <x v="0"/>
    <s v=""/>
    <x v="0"/>
    <s v=""/>
  </r>
  <r>
    <n v="900286"/>
    <x v="284"/>
    <x v="0"/>
    <n v="42"/>
    <x v="1"/>
    <x v="14"/>
    <x v="6"/>
    <s v="대학회계계약직(사무실무직)"/>
    <s v="대학회계계약직"/>
    <s v="비공무원"/>
    <x v="0"/>
    <s v="Y"/>
    <s v="N"/>
    <d v="2020-11-01T00:00:00"/>
    <d v="2020-11-01T00:00:00"/>
    <d v="2020-11-01T00:00:00"/>
    <d v="2020-11-01T00:00:00"/>
    <m/>
    <s v="휴직복직[20220810~99991231]"/>
    <s v="대학회계계약직"/>
    <x v="0"/>
    <n v="11"/>
    <x v="0"/>
    <x v="0"/>
    <n v="1"/>
    <n v="0"/>
    <x v="0"/>
    <n v="5"/>
    <n v="5"/>
    <x v="4"/>
    <n v="5.9"/>
    <x v="1"/>
    <x v="0"/>
    <x v="0"/>
    <s v=""/>
    <x v="0"/>
    <x v="0"/>
    <x v="0"/>
    <s v=""/>
    <x v="0"/>
    <s v=""/>
  </r>
  <r>
    <n v="900287"/>
    <x v="285"/>
    <x v="0"/>
    <n v="28"/>
    <x v="0"/>
    <x v="8"/>
    <x v="6"/>
    <s v="행정서기보"/>
    <s v="일반직"/>
    <s v="공무원"/>
    <x v="0"/>
    <s v="Y"/>
    <s v="N"/>
    <d v="2020-02-01T00:00:00"/>
    <d v="2020-02-01T00:00:00"/>
    <d v="2026-03-01T00:00:00"/>
    <d v="2026-03-01T00:00:00"/>
    <n v="7"/>
    <m/>
    <s v="9급"/>
    <x v="4"/>
    <n v="7"/>
    <x v="1"/>
    <x v="0"/>
    <n v="1"/>
    <n v="0"/>
    <x v="3"/>
    <n v="6"/>
    <n v="6"/>
    <x v="1"/>
    <n v="0.5"/>
    <x v="0"/>
    <x v="18"/>
    <x v="0"/>
    <s v=""/>
    <x v="0"/>
    <x v="0"/>
    <x v="0"/>
    <s v=""/>
    <x v="0"/>
    <s v=""/>
  </r>
  <r>
    <n v="900288"/>
    <x v="286"/>
    <x v="0"/>
    <n v="29"/>
    <x v="0"/>
    <x v="4"/>
    <x v="5"/>
    <s v="대학회계직7급(사서원)"/>
    <s v="대학회계직"/>
    <s v="비공무원"/>
    <x v="0"/>
    <s v="Y"/>
    <s v="N"/>
    <d v="2024-03-01T00:00:00"/>
    <d v="2024-03-01T00:00:00"/>
    <d v="2024-03-01T00:00:00"/>
    <d v="2024-03-01T00:00:00"/>
    <n v="2"/>
    <m/>
    <s v="대학회계직"/>
    <x v="10"/>
    <n v="10"/>
    <x v="3"/>
    <x v="0"/>
    <n v="1"/>
    <n v="0"/>
    <x v="3"/>
    <n v="2"/>
    <n v="2"/>
    <x v="5"/>
    <n v="2.5"/>
    <x v="0"/>
    <x v="0"/>
    <x v="0"/>
    <s v=""/>
    <x v="0"/>
    <x v="0"/>
    <x v="0"/>
    <s v=""/>
    <x v="0"/>
    <s v=""/>
  </r>
  <r>
    <n v="900289"/>
    <x v="287"/>
    <x v="0"/>
    <n v="34"/>
    <x v="1"/>
    <x v="13"/>
    <x v="1"/>
    <s v="공업주사보"/>
    <s v="일반직"/>
    <s v="공무원"/>
    <x v="0"/>
    <s v="Y"/>
    <s v="N"/>
    <d v="2016-09-01T00:00:00"/>
    <d v="2016-09-01T00:00:00"/>
    <d v="2017-11-01T00:00:00"/>
    <d v="2017-11-01T00:00:00"/>
    <n v="12"/>
    <m/>
    <s v="7급"/>
    <x v="1"/>
    <n v="5"/>
    <x v="1"/>
    <x v="0"/>
    <n v="1"/>
    <n v="0"/>
    <x v="1"/>
    <n v="10"/>
    <n v="10"/>
    <x v="2"/>
    <n v="8.9"/>
    <x v="1"/>
    <x v="36"/>
    <x v="0"/>
    <s v=""/>
    <x v="0"/>
    <x v="0"/>
    <x v="0"/>
    <s v=""/>
    <x v="0"/>
    <s v=""/>
  </r>
  <r>
    <n v="900290"/>
    <x v="288"/>
    <x v="0"/>
    <n v="46"/>
    <x v="0"/>
    <x v="9"/>
    <x v="10"/>
    <s v="행정주사"/>
    <s v="일반직"/>
    <s v="공무원"/>
    <x v="0"/>
    <s v="N"/>
    <s v="N"/>
    <d v="2008-08-01T00:00:00"/>
    <d v="2023-05-01T00:00:00"/>
    <d v="2023-05-01T00:00:00"/>
    <d v="2023-05-01T00:00:00"/>
    <n v="18"/>
    <m/>
    <s v="6급"/>
    <x v="3"/>
    <n v="4"/>
    <x v="1"/>
    <x v="0"/>
    <n v="1"/>
    <n v="0"/>
    <x v="0"/>
    <n v="3"/>
    <n v="18"/>
    <x v="2"/>
    <n v="3.4"/>
    <x v="0"/>
    <x v="6"/>
    <x v="0"/>
    <s v=""/>
    <x v="0"/>
    <x v="0"/>
    <x v="0"/>
    <s v=""/>
    <x v="0"/>
    <s v=""/>
  </r>
  <r>
    <n v="900291"/>
    <x v="289"/>
    <x v="0"/>
    <n v="28"/>
    <x v="0"/>
    <x v="9"/>
    <x v="0"/>
    <s v="행정서기"/>
    <s v="일반직"/>
    <s v="공무원"/>
    <x v="0"/>
    <s v="Y"/>
    <s v="N"/>
    <d v="2022-12-01T00:00:00"/>
    <d v="2022-12-01T00:00:00"/>
    <d v="2022-12-01T00:00:00"/>
    <d v="2022-12-01T00:00:00"/>
    <n v="5"/>
    <s v="휴직복직[20240613~99991231]"/>
    <s v="8급"/>
    <x v="9"/>
    <n v="6"/>
    <x v="1"/>
    <x v="0"/>
    <n v="1"/>
    <n v="0"/>
    <x v="3"/>
    <n v="3"/>
    <n v="3"/>
    <x v="1"/>
    <n v="3.8"/>
    <x v="0"/>
    <x v="18"/>
    <x v="0"/>
    <s v=""/>
    <x v="0"/>
    <x v="0"/>
    <x v="0"/>
    <s v=""/>
    <x v="0"/>
    <s v=""/>
  </r>
  <r>
    <n v="900292"/>
    <x v="290"/>
    <x v="0"/>
    <n v="48"/>
    <x v="0"/>
    <x v="3"/>
    <x v="14"/>
    <s v="대학회계계약직(보건전문직)"/>
    <s v="대학회계계약직"/>
    <s v="비공무원"/>
    <x v="0"/>
    <s v="Y"/>
    <s v="N"/>
    <d v="2015-12-01T00:00:00"/>
    <d v="2015-12-01T00:00:00"/>
    <d v="2025-04-01T00:00:00"/>
    <d v="2025-04-01T00:00:00"/>
    <n v="13"/>
    <m/>
    <s v="대학회계계약직"/>
    <x v="0"/>
    <n v="11"/>
    <x v="0"/>
    <x v="0"/>
    <n v="1"/>
    <n v="0"/>
    <x v="0"/>
    <n v="10"/>
    <n v="10"/>
    <x v="2"/>
    <n v="1.4"/>
    <x v="0"/>
    <x v="0"/>
    <x v="0"/>
    <s v=""/>
    <x v="0"/>
    <x v="0"/>
    <x v="0"/>
    <s v=""/>
    <x v="0"/>
    <s v=""/>
  </r>
  <r>
    <n v="900293"/>
    <x v="291"/>
    <x v="0"/>
    <n v="55"/>
    <x v="1"/>
    <x v="4"/>
    <x v="2"/>
    <s v="행정주사"/>
    <s v="일반직"/>
    <s v="공무원"/>
    <x v="0"/>
    <s v="N"/>
    <s v="N"/>
    <d v="2014-11-01T00:00:00"/>
    <d v="2014-11-01T00:00:00"/>
    <d v="2015-10-01T00:00:00"/>
    <d v="2015-10-01T00:00:00"/>
    <n v="15"/>
    <m/>
    <s v="6급"/>
    <x v="3"/>
    <n v="4"/>
    <x v="1"/>
    <x v="0"/>
    <n v="1"/>
    <n v="0"/>
    <x v="2"/>
    <n v="11"/>
    <n v="11"/>
    <x v="2"/>
    <n v="10.9"/>
    <x v="2"/>
    <x v="5"/>
    <x v="0"/>
    <s v=""/>
    <x v="0"/>
    <x v="0"/>
    <x v="0"/>
    <s v=""/>
    <x v="0"/>
    <s v=""/>
  </r>
  <r>
    <n v="900294"/>
    <x v="292"/>
    <x v="0"/>
    <n v="57"/>
    <x v="0"/>
    <x v="14"/>
    <x v="2"/>
    <s v="사서주사"/>
    <s v="일반직"/>
    <s v="공무원"/>
    <x v="0"/>
    <s v="N"/>
    <s v="N"/>
    <d v="2000-07-01T00:00:00"/>
    <d v="2000-07-01T00:00:00"/>
    <d v="2014-02-01T00:00:00"/>
    <d v="2014-02-01T00:00:00"/>
    <n v="29"/>
    <m/>
    <s v="6급"/>
    <x v="3"/>
    <n v="4"/>
    <x v="1"/>
    <x v="0"/>
    <n v="1"/>
    <n v="0"/>
    <x v="2"/>
    <n v="26"/>
    <n v="26"/>
    <x v="0"/>
    <n v="12.6"/>
    <x v="2"/>
    <x v="9"/>
    <x v="0"/>
    <s v=""/>
    <x v="0"/>
    <x v="0"/>
    <x v="0"/>
    <s v=""/>
    <x v="0"/>
    <s v=""/>
  </r>
  <r>
    <n v="900295"/>
    <x v="293"/>
    <x v="0"/>
    <n v="26"/>
    <x v="1"/>
    <x v="7"/>
    <x v="4"/>
    <s v="사서서기"/>
    <s v="일반직"/>
    <s v="공무원"/>
    <x v="0"/>
    <s v="Y"/>
    <s v="N"/>
    <d v="2023-03-01T00:00:00"/>
    <d v="2023-03-01T00:00:00"/>
    <d v="2023-03-01T00:00:00"/>
    <d v="2023-03-01T00:00:00"/>
    <n v="4"/>
    <m/>
    <s v="8급"/>
    <x v="9"/>
    <n v="6"/>
    <x v="1"/>
    <x v="0"/>
    <n v="1"/>
    <n v="0"/>
    <x v="3"/>
    <n v="3"/>
    <n v="3"/>
    <x v="5"/>
    <n v="3.5"/>
    <x v="0"/>
    <x v="10"/>
    <x v="0"/>
    <s v=""/>
    <x v="0"/>
    <x v="0"/>
    <x v="0"/>
    <s v=""/>
    <x v="0"/>
    <s v=""/>
  </r>
  <r>
    <n v="900296"/>
    <x v="294"/>
    <x v="0"/>
    <n v="41"/>
    <x v="1"/>
    <x v="13"/>
    <x v="11"/>
    <s v="전산주사"/>
    <s v="일반직"/>
    <s v="공무원"/>
    <x v="0"/>
    <s v="N"/>
    <s v="N"/>
    <d v="2008-10-01T00:00:00"/>
    <d v="2023-02-01T00:00:00"/>
    <d v="2025-02-01T00:00:00"/>
    <d v="2025-02-01T00:00:00"/>
    <n v="19"/>
    <m/>
    <s v="6급"/>
    <x v="3"/>
    <n v="4"/>
    <x v="1"/>
    <x v="0"/>
    <n v="1"/>
    <n v="0"/>
    <x v="0"/>
    <n v="3"/>
    <n v="17"/>
    <x v="2"/>
    <n v="1.6"/>
    <x v="0"/>
    <x v="16"/>
    <x v="0"/>
    <s v=""/>
    <x v="0"/>
    <x v="0"/>
    <x v="0"/>
    <s v=""/>
    <x v="0"/>
    <s v=""/>
  </r>
  <r>
    <n v="900297"/>
    <x v="295"/>
    <x v="0"/>
    <n v="59"/>
    <x v="0"/>
    <x v="13"/>
    <x v="12"/>
    <s v="사서주사"/>
    <s v="일반직"/>
    <s v="공무원"/>
    <x v="0"/>
    <s v="Y"/>
    <s v="N"/>
    <d v="2006-08-01T00:00:00"/>
    <d v="2006-08-01T00:00:00"/>
    <d v="2016-01-01T00:00:00"/>
    <d v="2016-01-01T00:00:00"/>
    <m/>
    <m/>
    <s v="6급"/>
    <x v="3"/>
    <n v="4"/>
    <x v="1"/>
    <x v="0"/>
    <n v="1"/>
    <n v="0"/>
    <x v="2"/>
    <n v="20"/>
    <n v="20"/>
    <x v="4"/>
    <n v="10.7"/>
    <x v="2"/>
    <x v="19"/>
    <x v="0"/>
    <s v=""/>
    <x v="0"/>
    <x v="0"/>
    <x v="0"/>
    <s v=""/>
    <x v="0"/>
    <s v=""/>
  </r>
  <r>
    <n v="900298"/>
    <x v="296"/>
    <x v="0"/>
    <n v="48"/>
    <x v="1"/>
    <x v="4"/>
    <x v="6"/>
    <s v="행정사무관"/>
    <s v="일반직"/>
    <s v="공무원"/>
    <x v="9"/>
    <s v="Y"/>
    <s v="N"/>
    <d v="2018-07-01T00:00:00"/>
    <d v="2018-07-01T00:00:00"/>
    <d v="2022-05-01T00:00:00"/>
    <d v="2022-05-01T00:00:00"/>
    <n v="11"/>
    <m/>
    <s v="5급"/>
    <x v="7"/>
    <n v="3"/>
    <x v="1"/>
    <x v="0"/>
    <n v="1"/>
    <n v="0"/>
    <x v="0"/>
    <n v="8"/>
    <n v="8"/>
    <x v="2"/>
    <n v="4.4000000000000004"/>
    <x v="0"/>
    <x v="23"/>
    <x v="1"/>
    <s v=""/>
    <x v="0"/>
    <x v="0"/>
    <x v="0"/>
    <s v=""/>
    <x v="0"/>
    <s v=""/>
  </r>
  <r>
    <n v="900299"/>
    <x v="297"/>
    <x v="0"/>
    <n v="31"/>
    <x v="1"/>
    <x v="7"/>
    <x v="5"/>
    <s v="행정서기보"/>
    <s v="일반직"/>
    <s v="공무원"/>
    <x v="0"/>
    <s v="N"/>
    <s v="N"/>
    <d v="2018-12-01T00:00:00"/>
    <d v="2018-12-01T00:00:00"/>
    <d v="2022-10-01T00:00:00"/>
    <d v="2022-10-01T00:00:00"/>
    <n v="9"/>
    <m/>
    <s v="9급"/>
    <x v="4"/>
    <n v="7"/>
    <x v="1"/>
    <x v="0"/>
    <n v="1"/>
    <n v="0"/>
    <x v="1"/>
    <n v="7"/>
    <n v="7"/>
    <x v="1"/>
    <n v="3.9"/>
    <x v="0"/>
    <x v="31"/>
    <x v="0"/>
    <s v=""/>
    <x v="0"/>
    <x v="0"/>
    <x v="0"/>
    <s v=""/>
    <x v="0"/>
    <s v=""/>
  </r>
  <r>
    <n v="900300"/>
    <x v="298"/>
    <x v="0"/>
    <n v="26"/>
    <x v="1"/>
    <x v="12"/>
    <x v="5"/>
    <s v="행정인턴"/>
    <s v="인턴(수습)"/>
    <s v="비공무원"/>
    <x v="0"/>
    <s v="N"/>
    <s v="N"/>
    <d v="2022-07-01T00:00:00"/>
    <d v="2024-04-01T00:00:00"/>
    <d v="2024-04-01T00:00:00"/>
    <d v="2024-04-01T00:00:00"/>
    <m/>
    <m/>
    <s v="인턴"/>
    <x v="8"/>
    <n v="13"/>
    <x v="2"/>
    <x v="1"/>
    <n v="1"/>
    <n v="0"/>
    <x v="3"/>
    <n v="2"/>
    <n v="4"/>
    <x v="4"/>
    <n v="2.4"/>
    <x v="0"/>
    <x v="0"/>
    <x v="0"/>
    <s v=""/>
    <x v="0"/>
    <x v="0"/>
    <x v="0"/>
    <s v=""/>
    <x v="0"/>
    <s v=""/>
  </r>
  <r>
    <n v="900301"/>
    <x v="299"/>
    <x v="0"/>
    <n v="32"/>
    <x v="0"/>
    <x v="0"/>
    <x v="9"/>
    <s v="대학회계직7급(사무원)"/>
    <s v="대학회계직"/>
    <s v="비공무원"/>
    <x v="0"/>
    <s v="Y"/>
    <s v="N"/>
    <d v="2018-07-01T00:00:00"/>
    <d v="2018-07-01T00:00:00"/>
    <d v="2018-07-01T00:00:00"/>
    <d v="2018-07-01T00:00:00"/>
    <n v="11"/>
    <m/>
    <s v="대학회계직"/>
    <x v="10"/>
    <n v="10"/>
    <x v="3"/>
    <x v="0"/>
    <n v="1"/>
    <n v="0"/>
    <x v="1"/>
    <n v="8"/>
    <n v="8"/>
    <x v="2"/>
    <n v="8.1999999999999993"/>
    <x v="1"/>
    <x v="0"/>
    <x v="0"/>
    <s v=""/>
    <x v="0"/>
    <x v="0"/>
    <x v="0"/>
    <s v=""/>
    <x v="0"/>
    <s v=""/>
  </r>
  <r>
    <n v="900302"/>
    <x v="300"/>
    <x v="0"/>
    <n v="27"/>
    <x v="0"/>
    <x v="0"/>
    <x v="3"/>
    <s v="대학회계계약직(기술실무직)"/>
    <s v="대학회계계약직"/>
    <s v="비공무원"/>
    <x v="0"/>
    <s v="Y"/>
    <s v="N"/>
    <d v="2025-11-01T00:00:00"/>
    <d v="2025-11-01T00:00:00"/>
    <d v="2025-11-01T00:00:00"/>
    <d v="2025-11-01T00:00:00"/>
    <n v="3"/>
    <m/>
    <s v="대학회계계약직"/>
    <x v="0"/>
    <n v="11"/>
    <x v="0"/>
    <x v="0"/>
    <n v="1"/>
    <n v="0"/>
    <x v="3"/>
    <n v="0"/>
    <n v="0"/>
    <x v="5"/>
    <n v="0.9"/>
    <x v="0"/>
    <x v="0"/>
    <x v="0"/>
    <s v=""/>
    <x v="0"/>
    <x v="0"/>
    <x v="0"/>
    <s v=""/>
    <x v="0"/>
    <s v=""/>
  </r>
  <r>
    <n v="900303"/>
    <x v="301"/>
    <x v="0"/>
    <n v="32"/>
    <x v="1"/>
    <x v="2"/>
    <x v="11"/>
    <s v="대학회계계약직(사무실무직)"/>
    <s v="대학회계계약직"/>
    <s v="비공무원"/>
    <x v="0"/>
    <s v="Y"/>
    <s v="N"/>
    <d v="2022-07-01T00:00:00"/>
    <d v="2022-07-01T00:00:00"/>
    <d v="2022-07-01T00:00:00"/>
    <d v="2022-07-01T00:00:00"/>
    <m/>
    <m/>
    <s v="대학회계계약직"/>
    <x v="0"/>
    <n v="11"/>
    <x v="0"/>
    <x v="0"/>
    <n v="1"/>
    <n v="0"/>
    <x v="1"/>
    <n v="4"/>
    <n v="4"/>
    <x v="4"/>
    <n v="4.2"/>
    <x v="0"/>
    <x v="0"/>
    <x v="0"/>
    <s v=""/>
    <x v="0"/>
    <x v="0"/>
    <x v="0"/>
    <s v=""/>
    <x v="0"/>
    <s v=""/>
  </r>
  <r>
    <n v="900304"/>
    <x v="302"/>
    <x v="0"/>
    <n v="33"/>
    <x v="1"/>
    <x v="12"/>
    <x v="14"/>
    <s v="행정서기보"/>
    <s v="일반직"/>
    <s v="공무원"/>
    <x v="0"/>
    <s v="N"/>
    <s v="N"/>
    <d v="2016-02-01T00:00:00"/>
    <d v="2023-01-01T00:00:00"/>
    <d v="2023-01-01T00:00:00"/>
    <d v="2023-01-01T00:00:00"/>
    <n v="13"/>
    <s v="휴직복직[20220905~99991231]"/>
    <s v="9급"/>
    <x v="4"/>
    <n v="7"/>
    <x v="1"/>
    <x v="0"/>
    <n v="1"/>
    <n v="0"/>
    <x v="1"/>
    <n v="3"/>
    <n v="10"/>
    <x v="2"/>
    <n v="3.7"/>
    <x v="0"/>
    <x v="30"/>
    <x v="0"/>
    <s v=""/>
    <x v="0"/>
    <x v="0"/>
    <x v="0"/>
    <s v=""/>
    <x v="0"/>
    <s v=""/>
  </r>
  <r>
    <n v="900305"/>
    <x v="303"/>
    <x v="0"/>
    <n v="47"/>
    <x v="1"/>
    <x v="13"/>
    <x v="4"/>
    <s v="행정주사보"/>
    <s v="일반직"/>
    <s v="공무원"/>
    <x v="0"/>
    <s v="Y"/>
    <s v="N"/>
    <d v="2003-07-01T00:00:00"/>
    <d v="2003-07-01T00:00:00"/>
    <d v="2012-05-01T00:00:00"/>
    <d v="2012-05-01T00:00:00"/>
    <n v="23"/>
    <m/>
    <s v="7급"/>
    <x v="1"/>
    <n v="5"/>
    <x v="1"/>
    <x v="0"/>
    <n v="1"/>
    <n v="0"/>
    <x v="0"/>
    <n v="23"/>
    <n v="23"/>
    <x v="0"/>
    <n v="14.4"/>
    <x v="2"/>
    <x v="25"/>
    <x v="0"/>
    <s v=""/>
    <x v="0"/>
    <x v="0"/>
    <x v="0"/>
    <s v=""/>
    <x v="0"/>
    <s v=""/>
  </r>
  <r>
    <n v="900306"/>
    <x v="253"/>
    <x v="0"/>
    <n v="55"/>
    <x v="0"/>
    <x v="7"/>
    <x v="9"/>
    <s v="공업주사"/>
    <s v="일반직"/>
    <s v="공무원"/>
    <x v="0"/>
    <s v="N"/>
    <s v="N"/>
    <d v="1996-03-01T00:00:00"/>
    <d v="1996-03-01T00:00:00"/>
    <d v="2013-09-01T00:00:00"/>
    <d v="2013-09-01T00:00:00"/>
    <n v="31"/>
    <m/>
    <s v="6급"/>
    <x v="3"/>
    <n v="4"/>
    <x v="1"/>
    <x v="0"/>
    <n v="1"/>
    <n v="0"/>
    <x v="2"/>
    <n v="30"/>
    <n v="30"/>
    <x v="3"/>
    <n v="13"/>
    <x v="2"/>
    <x v="5"/>
    <x v="0"/>
    <s v=""/>
    <x v="0"/>
    <x v="0"/>
    <x v="0"/>
    <s v=""/>
    <x v="0"/>
    <s v=""/>
  </r>
  <r>
    <n v="900307"/>
    <x v="304"/>
    <x v="0"/>
    <n v="27"/>
    <x v="1"/>
    <x v="2"/>
    <x v="7"/>
    <s v="대학회계직7급(전산원)"/>
    <s v="대학회계직"/>
    <s v="비공무원"/>
    <x v="0"/>
    <s v="Y"/>
    <s v="N"/>
    <d v="2021-08-01T00:00:00"/>
    <d v="2021-08-01T00:00:00"/>
    <d v="2026-09-01T00:00:00"/>
    <d v="2026-09-01T00:00:00"/>
    <n v="7"/>
    <m/>
    <s v="대학회계직"/>
    <x v="10"/>
    <n v="10"/>
    <x v="3"/>
    <x v="0"/>
    <n v="1"/>
    <n v="0"/>
    <x v="3"/>
    <n v="5"/>
    <n v="5"/>
    <x v="1"/>
    <n v="0"/>
    <x v="0"/>
    <x v="0"/>
    <x v="0"/>
    <s v=""/>
    <x v="0"/>
    <x v="0"/>
    <x v="0"/>
    <s v=""/>
    <x v="0"/>
    <s v=""/>
  </r>
  <r>
    <n v="900308"/>
    <x v="305"/>
    <x v="0"/>
    <n v="45"/>
    <x v="1"/>
    <x v="15"/>
    <x v="0"/>
    <s v="행정서기"/>
    <s v="일반직"/>
    <s v="공무원"/>
    <x v="0"/>
    <s v="Y"/>
    <s v="N"/>
    <d v="2007-01-01T00:00:00"/>
    <d v="2026-05-01T00:00:00"/>
    <d v="2026-05-01T00:00:00"/>
    <d v="2026-05-01T00:00:00"/>
    <n v="21"/>
    <m/>
    <s v="8급"/>
    <x v="9"/>
    <n v="6"/>
    <x v="1"/>
    <x v="0"/>
    <n v="1"/>
    <n v="0"/>
    <x v="0"/>
    <n v="0"/>
    <n v="19"/>
    <x v="0"/>
    <n v="0.4"/>
    <x v="0"/>
    <x v="1"/>
    <x v="0"/>
    <s v=""/>
    <x v="0"/>
    <x v="0"/>
    <x v="0"/>
    <s v=""/>
    <x v="0"/>
    <s v=""/>
  </r>
  <r>
    <n v="900309"/>
    <x v="306"/>
    <x v="0"/>
    <n v="50"/>
    <x v="0"/>
    <x v="4"/>
    <x v="14"/>
    <s v="과학기술서기관"/>
    <s v="일반직"/>
    <s v="공무원"/>
    <x v="0"/>
    <s v="Y"/>
    <s v="N"/>
    <d v="2004-05-01T00:00:00"/>
    <d v="2004-05-01T00:00:00"/>
    <d v="2014-06-01T00:00:00"/>
    <d v="2014-06-01T00:00:00"/>
    <n v="24"/>
    <m/>
    <s v="4급"/>
    <x v="5"/>
    <n v="1"/>
    <x v="1"/>
    <x v="0"/>
    <n v="1"/>
    <n v="0"/>
    <x v="2"/>
    <n v="22"/>
    <n v="22"/>
    <x v="0"/>
    <n v="12.3"/>
    <x v="2"/>
    <x v="14"/>
    <x v="0"/>
    <s v=""/>
    <x v="0"/>
    <x v="0"/>
    <x v="0"/>
    <s v=""/>
    <x v="0"/>
    <s v=""/>
  </r>
  <r>
    <n v="900310"/>
    <x v="307"/>
    <x v="0"/>
    <n v="49"/>
    <x v="0"/>
    <x v="5"/>
    <x v="11"/>
    <s v="행정서기보"/>
    <s v="일반직"/>
    <s v="공무원"/>
    <x v="0"/>
    <s v="Y"/>
    <s v="N"/>
    <d v="2001-04-01T00:00:00"/>
    <d v="2001-04-01T00:00:00"/>
    <d v="2014-11-01T00:00:00"/>
    <d v="2014-11-01T00:00:00"/>
    <n v="25"/>
    <m/>
    <s v="9급"/>
    <x v="4"/>
    <n v="7"/>
    <x v="1"/>
    <x v="0"/>
    <n v="1"/>
    <n v="0"/>
    <x v="0"/>
    <n v="25"/>
    <n v="25"/>
    <x v="0"/>
    <n v="11.9"/>
    <x v="2"/>
    <x v="11"/>
    <x v="0"/>
    <s v=""/>
    <x v="0"/>
    <x v="0"/>
    <x v="0"/>
    <s v=""/>
    <x v="0"/>
    <s v=""/>
  </r>
  <r>
    <n v="900311"/>
    <x v="308"/>
    <x v="0"/>
    <n v="33"/>
    <x v="1"/>
    <x v="14"/>
    <x v="11"/>
    <s v="행정주사보"/>
    <s v="일반직"/>
    <s v="공무원"/>
    <x v="0"/>
    <s v="N"/>
    <s v="N"/>
    <d v="2020-03-01T00:00:00"/>
    <d v="2020-03-01T00:00:00"/>
    <d v="2022-07-01T00:00:00"/>
    <d v="2022-07-01T00:00:00"/>
    <n v="8"/>
    <m/>
    <s v="7급"/>
    <x v="1"/>
    <n v="5"/>
    <x v="1"/>
    <x v="0"/>
    <n v="1"/>
    <n v="0"/>
    <x v="1"/>
    <n v="6"/>
    <n v="6"/>
    <x v="1"/>
    <n v="4.2"/>
    <x v="0"/>
    <x v="30"/>
    <x v="0"/>
    <s v=""/>
    <x v="0"/>
    <x v="0"/>
    <x v="0"/>
    <s v=""/>
    <x v="0"/>
    <s v=""/>
  </r>
  <r>
    <n v="900312"/>
    <x v="309"/>
    <x v="0"/>
    <n v="33"/>
    <x v="1"/>
    <x v="9"/>
    <x v="3"/>
    <s v="대학회계계약직(사무실무직)"/>
    <s v="대학회계계약직"/>
    <s v="비공무원"/>
    <x v="0"/>
    <s v="Y"/>
    <s v="N"/>
    <d v="2022-08-01T00:00:00"/>
    <d v="2022-02-01T00:00:00"/>
    <d v="2022-02-01T00:00:00"/>
    <d v="2022-02-01T00:00:00"/>
    <n v="6"/>
    <m/>
    <s v="대학회계계약직"/>
    <x v="0"/>
    <n v="11"/>
    <x v="0"/>
    <x v="0"/>
    <n v="1"/>
    <n v="0"/>
    <x v="1"/>
    <n v="4"/>
    <n v="4"/>
    <x v="1"/>
    <n v="4.5999999999999996"/>
    <x v="0"/>
    <x v="0"/>
    <x v="0"/>
    <s v=""/>
    <x v="0"/>
    <x v="0"/>
    <x v="0"/>
    <s v=""/>
    <x v="0"/>
    <s v=""/>
  </r>
  <r>
    <n v="900313"/>
    <x v="310"/>
    <x v="0"/>
    <n v="30"/>
    <x v="1"/>
    <x v="14"/>
    <x v="14"/>
    <s v="대학회계계약직(사무실무직)"/>
    <s v="대학회계계약직"/>
    <s v="비공무원"/>
    <x v="0"/>
    <s v="N"/>
    <s v="N"/>
    <d v="2020-10-01T00:00:00"/>
    <d v="2020-10-01T00:00:00"/>
    <d v="2026-03-01T00:00:00"/>
    <d v="2026-03-01T00:00:00"/>
    <n v="7"/>
    <m/>
    <s v="대학회계계약직"/>
    <x v="0"/>
    <n v="11"/>
    <x v="0"/>
    <x v="0"/>
    <n v="1"/>
    <n v="0"/>
    <x v="1"/>
    <n v="5"/>
    <n v="5"/>
    <x v="1"/>
    <n v="0.5"/>
    <x v="0"/>
    <x v="0"/>
    <x v="0"/>
    <s v=""/>
    <x v="0"/>
    <x v="0"/>
    <x v="0"/>
    <s v=""/>
    <x v="0"/>
    <s v=""/>
  </r>
  <r>
    <n v="900314"/>
    <x v="311"/>
    <x v="0"/>
    <n v="58"/>
    <x v="1"/>
    <x v="2"/>
    <x v="1"/>
    <s v="전산주사"/>
    <s v="일반직"/>
    <s v="공무원"/>
    <x v="0"/>
    <s v="Y"/>
    <s v="N"/>
    <d v="1991-12-01T00:00:00"/>
    <d v="2021-03-01T00:00:00"/>
    <d v="2021-11-01T00:00:00"/>
    <d v="2021-11-01T00:00:00"/>
    <n v="37"/>
    <m/>
    <s v="6급"/>
    <x v="3"/>
    <n v="4"/>
    <x v="1"/>
    <x v="0"/>
    <n v="1"/>
    <n v="0"/>
    <x v="2"/>
    <n v="5"/>
    <n v="34"/>
    <x v="3"/>
    <n v="4.9000000000000004"/>
    <x v="0"/>
    <x v="34"/>
    <x v="0"/>
    <s v=""/>
    <x v="0"/>
    <x v="0"/>
    <x v="0"/>
    <s v=""/>
    <x v="0"/>
    <s v=""/>
  </r>
  <r>
    <n v="900315"/>
    <x v="312"/>
    <x v="0"/>
    <n v="35"/>
    <x v="1"/>
    <x v="7"/>
    <x v="10"/>
    <s v="사서서기"/>
    <s v="일반직"/>
    <s v="공무원"/>
    <x v="0"/>
    <s v="Y"/>
    <s v="N"/>
    <d v="2015-01-01T00:00:00"/>
    <d v="2026-12-01T00:00:00"/>
    <d v="2026-12-01T00:00:00"/>
    <d v="2026-12-01T00:00:00"/>
    <m/>
    <m/>
    <s v="8급"/>
    <x v="9"/>
    <n v="6"/>
    <x v="1"/>
    <x v="0"/>
    <n v="1"/>
    <n v="0"/>
    <x v="1"/>
    <e v="#NUM!"/>
    <n v="11"/>
    <x v="4"/>
    <n v="0.2"/>
    <x v="0"/>
    <x v="33"/>
    <x v="0"/>
    <s v=""/>
    <x v="0"/>
    <x v="0"/>
    <x v="0"/>
    <s v=""/>
    <x v="0"/>
    <s v=""/>
  </r>
  <r>
    <n v="900316"/>
    <x v="313"/>
    <x v="0"/>
    <n v="44"/>
    <x v="1"/>
    <x v="8"/>
    <x v="10"/>
    <s v="입학전문직(입학사정관)"/>
    <s v="대학회계계약직"/>
    <s v="비공무원"/>
    <x v="0"/>
    <s v="N"/>
    <s v="N"/>
    <d v="2020-04-01T00:00:00"/>
    <d v="2020-04-01T00:00:00"/>
    <d v="2025-03-01T00:00:00"/>
    <d v="2025-03-01T00:00:00"/>
    <n v="7"/>
    <m/>
    <s v="대학회계계약직"/>
    <x v="0"/>
    <n v="11"/>
    <x v="0"/>
    <x v="0"/>
    <n v="1"/>
    <n v="0"/>
    <x v="0"/>
    <n v="6"/>
    <n v="6"/>
    <x v="1"/>
    <n v="1.5"/>
    <x v="0"/>
    <x v="0"/>
    <x v="0"/>
    <s v=""/>
    <x v="0"/>
    <x v="0"/>
    <x v="0"/>
    <s v=""/>
    <x v="0"/>
    <s v=""/>
  </r>
  <r>
    <n v="900317"/>
    <x v="314"/>
    <x v="1"/>
    <n v="39"/>
    <x v="1"/>
    <x v="4"/>
    <x v="13"/>
    <s v="대학회계계약직(사무실무직)"/>
    <s v="대학회계계약직"/>
    <s v="비공무원"/>
    <x v="0"/>
    <s v="Y"/>
    <s v="N"/>
    <d v="2024-11-01T00:00:00"/>
    <d v="2024-11-01T00:00:00"/>
    <d v="2024-11-01T00:00:00"/>
    <d v="2024-11-01T00:00:00"/>
    <m/>
    <s v="육아휴직[20251012~20270412]"/>
    <s v="대학회계계약직"/>
    <x v="0"/>
    <n v="11"/>
    <x v="0"/>
    <x v="0"/>
    <n v="1"/>
    <n v="1"/>
    <x v="1"/>
    <n v="1"/>
    <n v="1"/>
    <x v="4"/>
    <n v="1.9"/>
    <x v="0"/>
    <x v="0"/>
    <x v="0"/>
    <d v="2025-10-12T00:00:00"/>
    <x v="1"/>
    <x v="20"/>
    <x v="3"/>
    <n v="217"/>
    <x v="1"/>
    <s v=""/>
  </r>
  <r>
    <n v="900318"/>
    <x v="315"/>
    <x v="0"/>
    <n v="50"/>
    <x v="0"/>
    <x v="0"/>
    <x v="2"/>
    <s v="대학회계계약직(사무실무직)"/>
    <s v="대학회계계약직"/>
    <s v="비공무원"/>
    <x v="0"/>
    <s v="Y"/>
    <s v="N"/>
    <d v="2018-02-01T00:00:00"/>
    <d v="2018-02-01T00:00:00"/>
    <d v="2023-12-01T00:00:00"/>
    <d v="2023-12-01T00:00:00"/>
    <n v="11"/>
    <m/>
    <s v="대학회계계약직"/>
    <x v="0"/>
    <n v="11"/>
    <x v="0"/>
    <x v="0"/>
    <n v="1"/>
    <n v="0"/>
    <x v="2"/>
    <n v="8"/>
    <n v="8"/>
    <x v="2"/>
    <n v="2.8"/>
    <x v="0"/>
    <x v="0"/>
    <x v="0"/>
    <s v=""/>
    <x v="0"/>
    <x v="0"/>
    <x v="0"/>
    <s v=""/>
    <x v="0"/>
    <s v=""/>
  </r>
  <r>
    <n v="900319"/>
    <x v="316"/>
    <x v="0"/>
    <n v="49"/>
    <x v="1"/>
    <x v="4"/>
    <x v="14"/>
    <s v="행정사무관"/>
    <s v="일반직"/>
    <s v="공무원"/>
    <x v="0"/>
    <s v="N"/>
    <s v="N"/>
    <d v="2021-02-01T00:00:00"/>
    <d v="2025-02-01T00:00:00"/>
    <d v="2025-02-01T00:00:00"/>
    <d v="2025-02-01T00:00:00"/>
    <n v="5"/>
    <m/>
    <s v="5급"/>
    <x v="7"/>
    <n v="3"/>
    <x v="1"/>
    <x v="0"/>
    <n v="1"/>
    <n v="0"/>
    <x v="0"/>
    <n v="1"/>
    <n v="5"/>
    <x v="1"/>
    <n v="1.6"/>
    <x v="0"/>
    <x v="11"/>
    <x v="0"/>
    <s v=""/>
    <x v="0"/>
    <x v="0"/>
    <x v="0"/>
    <s v=""/>
    <x v="0"/>
    <s v=""/>
  </r>
  <r>
    <n v="900320"/>
    <x v="317"/>
    <x v="0"/>
    <n v="53"/>
    <x v="0"/>
    <x v="7"/>
    <x v="5"/>
    <s v="대학회계계약직(사무실무직)"/>
    <s v="대학회계계약직"/>
    <s v="비공무원"/>
    <x v="0"/>
    <s v="N"/>
    <s v="N"/>
    <d v="2009-08-01T00:00:00"/>
    <d v="2009-08-01T00:00:00"/>
    <d v="2020-07-01T00:00:00"/>
    <d v="2020-07-01T00:00:00"/>
    <n v="18"/>
    <m/>
    <s v="대학회계계약직"/>
    <x v="0"/>
    <n v="11"/>
    <x v="0"/>
    <x v="0"/>
    <n v="1"/>
    <n v="0"/>
    <x v="2"/>
    <n v="17"/>
    <n v="17"/>
    <x v="2"/>
    <n v="6.2"/>
    <x v="1"/>
    <x v="0"/>
    <x v="0"/>
    <s v=""/>
    <x v="0"/>
    <x v="0"/>
    <x v="0"/>
    <s v=""/>
    <x v="0"/>
    <s v=""/>
  </r>
  <r>
    <n v="900321"/>
    <x v="318"/>
    <x v="0"/>
    <n v="50"/>
    <x v="1"/>
    <x v="12"/>
    <x v="11"/>
    <s v="행정주사보"/>
    <s v="일반직"/>
    <s v="공무원"/>
    <x v="0"/>
    <s v="Y"/>
    <s v="N"/>
    <d v="2001-08-01T00:00:00"/>
    <d v="2021-07-01T00:00:00"/>
    <d v="2021-07-01T00:00:00"/>
    <d v="2021-07-01T00:00:00"/>
    <n v="27"/>
    <m/>
    <s v="7급"/>
    <x v="1"/>
    <n v="5"/>
    <x v="1"/>
    <x v="0"/>
    <n v="1"/>
    <n v="0"/>
    <x v="2"/>
    <n v="5"/>
    <n v="25"/>
    <x v="0"/>
    <n v="5.2"/>
    <x v="1"/>
    <x v="14"/>
    <x v="0"/>
    <s v=""/>
    <x v="0"/>
    <x v="0"/>
    <x v="0"/>
    <s v=""/>
    <x v="0"/>
    <s v=""/>
  </r>
  <r>
    <n v="900322"/>
    <x v="319"/>
    <x v="1"/>
    <n v="28"/>
    <x v="0"/>
    <x v="9"/>
    <x v="12"/>
    <s v="행정주사보"/>
    <s v="일반직"/>
    <s v="공무원"/>
    <x v="0"/>
    <s v="N"/>
    <s v="N"/>
    <d v="2025-05-01T00:00:00"/>
    <d v="2023-09-01T00:00:00"/>
    <d v="2023-09-01T00:00:00"/>
    <d v="2023-09-01T00:00:00"/>
    <n v="3"/>
    <s v="휴직복직[20251217~99991231], 휴직복직[20260109~99991231], 질병휴직(일반질병)[20260723~20270723]"/>
    <s v="7급"/>
    <x v="1"/>
    <n v="5"/>
    <x v="1"/>
    <x v="0"/>
    <n v="1"/>
    <n v="1"/>
    <x v="3"/>
    <n v="3"/>
    <n v="1"/>
    <x v="5"/>
    <n v="3"/>
    <x v="0"/>
    <x v="18"/>
    <x v="0"/>
    <d v="2026-07-23T00:00:00"/>
    <x v="4"/>
    <x v="21"/>
    <x v="14"/>
    <n v="319"/>
    <x v="1"/>
    <s v=""/>
  </r>
  <r>
    <n v="900323"/>
    <x v="320"/>
    <x v="0"/>
    <n v="36"/>
    <x v="1"/>
    <x v="1"/>
    <x v="7"/>
    <s v="행정주사"/>
    <s v="일반직"/>
    <s v="공무원"/>
    <x v="0"/>
    <s v="Y"/>
    <s v="N"/>
    <d v="2024-12-01T00:00:00"/>
    <d v="2024-12-01T00:00:00"/>
    <d v="2024-12-01T00:00:00"/>
    <d v="2024-12-01T00:00:00"/>
    <n v="3"/>
    <m/>
    <s v="6급"/>
    <x v="3"/>
    <n v="4"/>
    <x v="1"/>
    <x v="0"/>
    <n v="1"/>
    <n v="0"/>
    <x v="1"/>
    <n v="1"/>
    <n v="1"/>
    <x v="5"/>
    <n v="1.8"/>
    <x v="0"/>
    <x v="13"/>
    <x v="0"/>
    <s v=""/>
    <x v="0"/>
    <x v="0"/>
    <x v="0"/>
    <s v=""/>
    <x v="0"/>
    <s v=""/>
  </r>
  <r>
    <n v="900324"/>
    <x v="321"/>
    <x v="0"/>
    <n v="35"/>
    <x v="1"/>
    <x v="9"/>
    <x v="12"/>
    <s v="대학회계계약직(사서실무직)"/>
    <s v="대학회계계약직"/>
    <s v="비공무원"/>
    <x v="0"/>
    <s v="Y"/>
    <s v="N"/>
    <d v="2021-06-01T00:00:00"/>
    <d v="2021-06-01T00:00:00"/>
    <d v="2021-06-01T00:00:00"/>
    <d v="2021-06-01T00:00:00"/>
    <n v="7"/>
    <m/>
    <s v="대학회계계약직"/>
    <x v="0"/>
    <n v="11"/>
    <x v="0"/>
    <x v="0"/>
    <n v="1"/>
    <n v="0"/>
    <x v="1"/>
    <n v="5"/>
    <n v="5"/>
    <x v="1"/>
    <n v="5.3"/>
    <x v="1"/>
    <x v="0"/>
    <x v="0"/>
    <s v=""/>
    <x v="0"/>
    <x v="0"/>
    <x v="0"/>
    <s v=""/>
    <x v="0"/>
    <s v=""/>
  </r>
  <r>
    <n v="900325"/>
    <x v="322"/>
    <x v="0"/>
    <n v="43"/>
    <x v="0"/>
    <x v="8"/>
    <x v="7"/>
    <s v="대학회계계약직(사무실무직)"/>
    <s v="대학회계계약직"/>
    <s v="비공무원"/>
    <x v="0"/>
    <s v="Y"/>
    <s v="N"/>
    <d v="2008-12-01T00:00:00"/>
    <d v="2022-11-01T00:00:00"/>
    <d v="2022-11-01T00:00:00"/>
    <d v="2022-11-01T00:00:00"/>
    <n v="20"/>
    <s v="휴직복직[20250722~99991231]"/>
    <s v="대학회계계약직"/>
    <x v="0"/>
    <n v="11"/>
    <x v="0"/>
    <x v="0"/>
    <n v="1"/>
    <n v="0"/>
    <x v="0"/>
    <n v="3"/>
    <n v="17"/>
    <x v="0"/>
    <n v="3.9"/>
    <x v="0"/>
    <x v="0"/>
    <x v="0"/>
    <s v=""/>
    <x v="0"/>
    <x v="0"/>
    <x v="0"/>
    <s v=""/>
    <x v="0"/>
    <s v=""/>
  </r>
  <r>
    <n v="900326"/>
    <x v="323"/>
    <x v="0"/>
    <n v="33"/>
    <x v="0"/>
    <x v="6"/>
    <x v="10"/>
    <s v="행정주사보"/>
    <s v="일반직"/>
    <s v="공무원"/>
    <x v="0"/>
    <s v="Y"/>
    <s v="N"/>
    <d v="2020-05-01T00:00:00"/>
    <d v="2020-05-01T00:00:00"/>
    <d v="2020-05-01T00:00:00"/>
    <d v="2020-05-01T00:00:00"/>
    <n v="6"/>
    <m/>
    <s v="7급"/>
    <x v="1"/>
    <n v="5"/>
    <x v="1"/>
    <x v="0"/>
    <n v="1"/>
    <n v="0"/>
    <x v="1"/>
    <n v="6"/>
    <n v="6"/>
    <x v="1"/>
    <n v="6.4"/>
    <x v="1"/>
    <x v="30"/>
    <x v="0"/>
    <s v=""/>
    <x v="0"/>
    <x v="0"/>
    <x v="0"/>
    <s v=""/>
    <x v="0"/>
    <s v=""/>
  </r>
  <r>
    <n v="900327"/>
    <x v="324"/>
    <x v="0"/>
    <n v="41"/>
    <x v="1"/>
    <x v="1"/>
    <x v="9"/>
    <s v="공업주사"/>
    <s v="일반직"/>
    <s v="공무원"/>
    <x v="0"/>
    <s v="N"/>
    <s v="N"/>
    <d v="2016-12-01T00:00:00"/>
    <d v="2024-09-01T00:00:00"/>
    <d v="2024-10-01T00:00:00"/>
    <d v="2024-10-01T00:00:00"/>
    <m/>
    <m/>
    <s v="6급"/>
    <x v="3"/>
    <n v="4"/>
    <x v="1"/>
    <x v="0"/>
    <n v="1"/>
    <n v="0"/>
    <x v="0"/>
    <n v="2"/>
    <n v="9"/>
    <x v="4"/>
    <n v="1.9"/>
    <x v="0"/>
    <x v="16"/>
    <x v="0"/>
    <s v=""/>
    <x v="0"/>
    <x v="0"/>
    <x v="0"/>
    <s v=""/>
    <x v="0"/>
    <s v=""/>
  </r>
  <r>
    <n v="900328"/>
    <x v="325"/>
    <x v="0"/>
    <n v="31"/>
    <x v="1"/>
    <x v="13"/>
    <x v="12"/>
    <s v="행정서기"/>
    <s v="일반직"/>
    <s v="공무원"/>
    <x v="0"/>
    <s v="Y"/>
    <s v="N"/>
    <d v="2018-06-01T00:00:00"/>
    <d v="2023-02-01T00:00:00"/>
    <d v="2023-02-01T00:00:00"/>
    <d v="2023-02-01T00:00:00"/>
    <n v="9"/>
    <m/>
    <s v="8급"/>
    <x v="9"/>
    <n v="6"/>
    <x v="1"/>
    <x v="0"/>
    <n v="1"/>
    <n v="0"/>
    <x v="1"/>
    <n v="3"/>
    <n v="8"/>
    <x v="1"/>
    <n v="3.6"/>
    <x v="0"/>
    <x v="31"/>
    <x v="0"/>
    <s v=""/>
    <x v="0"/>
    <x v="0"/>
    <x v="0"/>
    <s v=""/>
    <x v="0"/>
    <s v=""/>
  </r>
  <r>
    <n v="900329"/>
    <x v="326"/>
    <x v="0"/>
    <n v="40"/>
    <x v="0"/>
    <x v="2"/>
    <x v="10"/>
    <s v="행정주사보"/>
    <s v="일반직"/>
    <s v="공무원"/>
    <x v="0"/>
    <s v="Y"/>
    <s v="N"/>
    <d v="2017-06-01T00:00:00"/>
    <d v="2017-06-01T00:00:00"/>
    <d v="2017-06-01T00:00:00"/>
    <d v="2017-06-01T00:00:00"/>
    <n v="11"/>
    <m/>
    <s v="7급"/>
    <x v="1"/>
    <n v="5"/>
    <x v="1"/>
    <x v="0"/>
    <n v="1"/>
    <n v="0"/>
    <x v="0"/>
    <n v="9"/>
    <n v="9"/>
    <x v="2"/>
    <n v="9.3000000000000007"/>
    <x v="1"/>
    <x v="32"/>
    <x v="0"/>
    <s v=""/>
    <x v="0"/>
    <x v="0"/>
    <x v="0"/>
    <s v=""/>
    <x v="0"/>
    <s v=""/>
  </r>
  <r>
    <n v="900330"/>
    <x v="327"/>
    <x v="0"/>
    <n v="50"/>
    <x v="0"/>
    <x v="10"/>
    <x v="7"/>
    <s v="대학회계직6급(사무원)"/>
    <s v="대학회계직"/>
    <s v="비공무원"/>
    <x v="0"/>
    <s v="N"/>
    <s v="N"/>
    <d v="2021-07-01T00:00:00"/>
    <d v="2023-06-01T00:00:00"/>
    <d v="2023-06-01T00:00:00"/>
    <d v="2023-06-01T00:00:00"/>
    <n v="8"/>
    <m/>
    <s v="대학회계직"/>
    <x v="10"/>
    <n v="10"/>
    <x v="3"/>
    <x v="0"/>
    <n v="1"/>
    <n v="0"/>
    <x v="2"/>
    <n v="3"/>
    <n v="5"/>
    <x v="1"/>
    <n v="3.3"/>
    <x v="0"/>
    <x v="0"/>
    <x v="0"/>
    <s v=""/>
    <x v="0"/>
    <x v="0"/>
    <x v="0"/>
    <s v=""/>
    <x v="0"/>
    <s v=""/>
  </r>
  <r>
    <n v="900331"/>
    <x v="328"/>
    <x v="0"/>
    <n v="30"/>
    <x v="1"/>
    <x v="1"/>
    <x v="12"/>
    <s v="대학회계계약직(사무실무직)"/>
    <s v="대학회계계약직"/>
    <s v="비공무원"/>
    <x v="0"/>
    <s v="Y"/>
    <s v="N"/>
    <d v="2020-03-01T00:00:00"/>
    <d v="2020-03-01T00:00:00"/>
    <d v="2020-04-01T00:00:00"/>
    <d v="2020-04-01T00:00:00"/>
    <n v="7"/>
    <m/>
    <s v="대학회계계약직"/>
    <x v="0"/>
    <n v="11"/>
    <x v="0"/>
    <x v="0"/>
    <n v="1"/>
    <n v="0"/>
    <x v="1"/>
    <n v="6"/>
    <n v="6"/>
    <x v="1"/>
    <n v="6.4"/>
    <x v="1"/>
    <x v="0"/>
    <x v="0"/>
    <s v=""/>
    <x v="0"/>
    <x v="0"/>
    <x v="0"/>
    <s v=""/>
    <x v="0"/>
    <s v=""/>
  </r>
  <r>
    <n v="900332"/>
    <x v="329"/>
    <x v="0"/>
    <n v="45"/>
    <x v="0"/>
    <x v="1"/>
    <x v="10"/>
    <s v="행정주사"/>
    <s v="일반직"/>
    <s v="공무원"/>
    <x v="0"/>
    <s v="N"/>
    <s v="N"/>
    <d v="2021-07-01T00:00:00"/>
    <d v="2021-07-01T00:00:00"/>
    <d v="2021-07-01T00:00:00"/>
    <d v="2021-07-01T00:00:00"/>
    <n v="6"/>
    <m/>
    <s v="6급"/>
    <x v="3"/>
    <n v="4"/>
    <x v="1"/>
    <x v="0"/>
    <n v="1"/>
    <n v="0"/>
    <x v="0"/>
    <n v="5"/>
    <n v="5"/>
    <x v="1"/>
    <n v="5.2"/>
    <x v="1"/>
    <x v="1"/>
    <x v="0"/>
    <s v=""/>
    <x v="0"/>
    <x v="0"/>
    <x v="0"/>
    <s v=""/>
    <x v="0"/>
    <s v=""/>
  </r>
  <r>
    <n v="900333"/>
    <x v="330"/>
    <x v="0"/>
    <n v="47"/>
    <x v="0"/>
    <x v="4"/>
    <x v="8"/>
    <s v="행정주사"/>
    <s v="일반직"/>
    <s v="공무원"/>
    <x v="0"/>
    <s v="N"/>
    <s v="N"/>
    <d v="2005-01-01T00:00:00"/>
    <d v="2026-09-01T00:00:00"/>
    <d v="2026-09-01T00:00:00"/>
    <d v="2026-09-01T00:00:00"/>
    <n v="22"/>
    <m/>
    <s v="6급"/>
    <x v="3"/>
    <n v="4"/>
    <x v="1"/>
    <x v="0"/>
    <n v="1"/>
    <n v="0"/>
    <x v="0"/>
    <n v="0"/>
    <n v="21"/>
    <x v="0"/>
    <n v="0"/>
    <x v="0"/>
    <x v="25"/>
    <x v="0"/>
    <s v=""/>
    <x v="0"/>
    <x v="0"/>
    <x v="0"/>
    <s v=""/>
    <x v="0"/>
    <s v=""/>
  </r>
  <r>
    <n v="900334"/>
    <x v="331"/>
    <x v="0"/>
    <n v="40"/>
    <x v="1"/>
    <x v="9"/>
    <x v="7"/>
    <s v="대학회계직7급(사무원)"/>
    <s v="대학회계직"/>
    <s v="비공무원"/>
    <x v="0"/>
    <s v="N"/>
    <s v="N"/>
    <d v="2014-12-01T00:00:00"/>
    <d v="2021-08-01T00:00:00"/>
    <d v="2021-08-01T00:00:00"/>
    <d v="2021-08-01T00:00:00"/>
    <n v="13"/>
    <m/>
    <s v="대학회계직"/>
    <x v="10"/>
    <n v="10"/>
    <x v="3"/>
    <x v="0"/>
    <n v="1"/>
    <n v="0"/>
    <x v="0"/>
    <n v="5"/>
    <n v="11"/>
    <x v="2"/>
    <n v="5.0999999999999996"/>
    <x v="1"/>
    <x v="0"/>
    <x v="0"/>
    <s v=""/>
    <x v="0"/>
    <x v="0"/>
    <x v="0"/>
    <s v=""/>
    <x v="0"/>
    <s v=""/>
  </r>
  <r>
    <n v="900335"/>
    <x v="332"/>
    <x v="0"/>
    <n v="24"/>
    <x v="0"/>
    <x v="5"/>
    <x v="4"/>
    <s v="대학회계직6급(사무원)"/>
    <s v="대학회계직"/>
    <s v="비공무원"/>
    <x v="0"/>
    <s v="Y"/>
    <s v="N"/>
    <d v="2024-07-01T00:00:00"/>
    <d v="2025-02-01T00:00:00"/>
    <d v="2025-02-01T00:00:00"/>
    <d v="2025-02-01T00:00:00"/>
    <n v="5"/>
    <m/>
    <s v="대학회계직"/>
    <x v="10"/>
    <n v="10"/>
    <x v="3"/>
    <x v="0"/>
    <n v="1"/>
    <n v="0"/>
    <x v="3"/>
    <n v="1"/>
    <n v="2"/>
    <x v="1"/>
    <n v="1.6"/>
    <x v="0"/>
    <x v="0"/>
    <x v="0"/>
    <s v=""/>
    <x v="0"/>
    <x v="0"/>
    <x v="0"/>
    <s v=""/>
    <x v="0"/>
    <s v=""/>
  </r>
  <r>
    <n v="900336"/>
    <x v="333"/>
    <x v="0"/>
    <n v="46"/>
    <x v="0"/>
    <x v="11"/>
    <x v="11"/>
    <s v="대학회계계약직(상담전문직)"/>
    <s v="대학회계계약직"/>
    <s v="비공무원"/>
    <x v="0"/>
    <s v="Y"/>
    <s v="N"/>
    <d v="2021-07-01T00:00:00"/>
    <d v="2026-01-01T00:00:00"/>
    <d v="2026-01-01T00:00:00"/>
    <d v="2026-01-01T00:00:00"/>
    <n v="7"/>
    <m/>
    <s v="대학회계계약직"/>
    <x v="0"/>
    <n v="11"/>
    <x v="0"/>
    <x v="0"/>
    <n v="1"/>
    <n v="0"/>
    <x v="0"/>
    <n v="0"/>
    <n v="5"/>
    <x v="1"/>
    <n v="0.7"/>
    <x v="0"/>
    <x v="0"/>
    <x v="0"/>
    <s v=""/>
    <x v="0"/>
    <x v="0"/>
    <x v="0"/>
    <s v=""/>
    <x v="0"/>
    <s v=""/>
  </r>
  <r>
    <n v="900337"/>
    <x v="334"/>
    <x v="0"/>
    <n v="54"/>
    <x v="1"/>
    <x v="12"/>
    <x v="9"/>
    <s v="대학회계계약직(상담전문직)"/>
    <s v="대학회계계약직"/>
    <s v="비공무원"/>
    <x v="0"/>
    <s v="Y"/>
    <s v="N"/>
    <d v="2010-08-01T00:00:00"/>
    <d v="2010-08-01T00:00:00"/>
    <d v="2021-01-01T00:00:00"/>
    <d v="2021-01-01T00:00:00"/>
    <n v="18"/>
    <m/>
    <s v="대학회계계약직"/>
    <x v="0"/>
    <n v="11"/>
    <x v="0"/>
    <x v="0"/>
    <n v="1"/>
    <n v="0"/>
    <x v="2"/>
    <n v="16"/>
    <n v="16"/>
    <x v="2"/>
    <n v="5.7"/>
    <x v="1"/>
    <x v="0"/>
    <x v="0"/>
    <s v=""/>
    <x v="0"/>
    <x v="0"/>
    <x v="0"/>
    <s v=""/>
    <x v="0"/>
    <s v=""/>
  </r>
  <r>
    <n v="900338"/>
    <x v="335"/>
    <x v="1"/>
    <n v="52"/>
    <x v="0"/>
    <x v="4"/>
    <x v="10"/>
    <s v="행정주사"/>
    <s v="일반직"/>
    <s v="공무원"/>
    <x v="0"/>
    <s v="Y"/>
    <s v="N"/>
    <d v="1999-06-01T00:00:00"/>
    <d v="2026-04-01T00:00:00"/>
    <d v="2026-04-01T00:00:00"/>
    <d v="2026-04-01T00:00:00"/>
    <n v="28"/>
    <s v="휴직복직[20240515~99991231], 휴직복직[20231018~99991231], 휴직복직[20241002~99991231], 육아휴직[20251104~20271104]"/>
    <s v="6급"/>
    <x v="3"/>
    <n v="4"/>
    <x v="1"/>
    <x v="0"/>
    <n v="1"/>
    <n v="1"/>
    <x v="2"/>
    <n v="0"/>
    <n v="27"/>
    <x v="0"/>
    <n v="0.4"/>
    <x v="0"/>
    <x v="24"/>
    <x v="0"/>
    <d v="2025-11-04T00:00:00"/>
    <x v="1"/>
    <x v="22"/>
    <x v="10"/>
    <n v="423"/>
    <x v="1"/>
    <s v=""/>
  </r>
  <r>
    <n v="900339"/>
    <x v="336"/>
    <x v="0"/>
    <n v="59"/>
    <x v="1"/>
    <x v="15"/>
    <x v="2"/>
    <s v="행정주사"/>
    <s v="일반직"/>
    <s v="공무원"/>
    <x v="0"/>
    <s v="Y"/>
    <s v="N"/>
    <d v="2010-06-01T00:00:00"/>
    <d v="2010-06-01T00:00:00"/>
    <d v="2020-11-01T00:00:00"/>
    <d v="2020-11-01T00:00:00"/>
    <n v="19"/>
    <m/>
    <s v="6급"/>
    <x v="3"/>
    <n v="4"/>
    <x v="1"/>
    <x v="0"/>
    <n v="1"/>
    <n v="0"/>
    <x v="2"/>
    <n v="16"/>
    <n v="16"/>
    <x v="2"/>
    <n v="5.9"/>
    <x v="1"/>
    <x v="19"/>
    <x v="0"/>
    <s v=""/>
    <x v="0"/>
    <x v="0"/>
    <x v="0"/>
    <s v=""/>
    <x v="0"/>
    <s v=""/>
  </r>
  <r>
    <n v="900340"/>
    <x v="337"/>
    <x v="0"/>
    <n v="46"/>
    <x v="1"/>
    <x v="7"/>
    <x v="8"/>
    <s v="행정주사"/>
    <s v="일반직"/>
    <s v="공무원"/>
    <x v="0"/>
    <s v="Y"/>
    <s v="N"/>
    <d v="2011-09-01T00:00:00"/>
    <d v="2022-05-01T00:00:00"/>
    <d v="2024-10-01T00:00:00"/>
    <d v="2024-10-01T00:00:00"/>
    <m/>
    <m/>
    <s v="6급"/>
    <x v="3"/>
    <n v="4"/>
    <x v="1"/>
    <x v="0"/>
    <n v="1"/>
    <n v="0"/>
    <x v="0"/>
    <n v="4"/>
    <n v="15"/>
    <x v="4"/>
    <n v="1.9"/>
    <x v="0"/>
    <x v="6"/>
    <x v="0"/>
    <s v=""/>
    <x v="0"/>
    <x v="0"/>
    <x v="0"/>
    <s v=""/>
    <x v="0"/>
    <s v=""/>
  </r>
  <r>
    <n v="900341"/>
    <x v="38"/>
    <x v="0"/>
    <n v="44"/>
    <x v="0"/>
    <x v="4"/>
    <x v="11"/>
    <s v="대학회계계약직(사무실무직)"/>
    <s v="대학회계계약직"/>
    <s v="비공무원"/>
    <x v="0"/>
    <s v="Y"/>
    <s v="N"/>
    <d v="2007-01-01T00:00:00"/>
    <d v="2007-01-01T00:00:00"/>
    <d v="2017-01-01T00:00:00"/>
    <d v="2017-01-01T00:00:00"/>
    <n v="22"/>
    <m/>
    <s v="대학회계계약직"/>
    <x v="0"/>
    <n v="11"/>
    <x v="0"/>
    <x v="0"/>
    <n v="1"/>
    <n v="0"/>
    <x v="0"/>
    <n v="19"/>
    <n v="19"/>
    <x v="0"/>
    <n v="9.6999999999999993"/>
    <x v="1"/>
    <x v="0"/>
    <x v="0"/>
    <s v=""/>
    <x v="0"/>
    <x v="0"/>
    <x v="0"/>
    <s v=""/>
    <x v="0"/>
    <s v=""/>
  </r>
  <r>
    <n v="900342"/>
    <x v="338"/>
    <x v="0"/>
    <n v="32"/>
    <x v="1"/>
    <x v="9"/>
    <x v="11"/>
    <s v="대학회계계약직(기술실무직)"/>
    <s v="대학회계계약직"/>
    <s v="비공무원"/>
    <x v="0"/>
    <s v="Y"/>
    <s v="N"/>
    <d v="2024-06-01T00:00:00"/>
    <d v="2024-06-01T00:00:00"/>
    <d v="2026-06-01T00:00:00"/>
    <d v="2026-06-01T00:00:00"/>
    <n v="3"/>
    <m/>
    <s v="대학회계계약직"/>
    <x v="0"/>
    <n v="11"/>
    <x v="0"/>
    <x v="0"/>
    <n v="1"/>
    <n v="0"/>
    <x v="1"/>
    <n v="2"/>
    <n v="2"/>
    <x v="5"/>
    <n v="0.3"/>
    <x v="0"/>
    <x v="0"/>
    <x v="0"/>
    <s v=""/>
    <x v="0"/>
    <x v="0"/>
    <x v="0"/>
    <s v=""/>
    <x v="0"/>
    <s v=""/>
  </r>
  <r>
    <n v="900343"/>
    <x v="339"/>
    <x v="0"/>
    <n v="27"/>
    <x v="1"/>
    <x v="8"/>
    <x v="3"/>
    <s v="대학회계계약직(사무실무직)"/>
    <s v="대학회계계약직"/>
    <s v="비공무원"/>
    <x v="0"/>
    <s v="N"/>
    <s v="N"/>
    <d v="2024-03-01T00:00:00"/>
    <d v="2024-03-01T00:00:00"/>
    <d v="2024-03-01T00:00:00"/>
    <d v="2024-03-01T00:00:00"/>
    <n v="2"/>
    <m/>
    <s v="대학회계계약직"/>
    <x v="0"/>
    <n v="11"/>
    <x v="0"/>
    <x v="0"/>
    <n v="1"/>
    <n v="0"/>
    <x v="3"/>
    <n v="2"/>
    <n v="2"/>
    <x v="5"/>
    <n v="2.5"/>
    <x v="0"/>
    <x v="0"/>
    <x v="0"/>
    <s v=""/>
    <x v="0"/>
    <x v="0"/>
    <x v="0"/>
    <s v=""/>
    <x v="0"/>
    <s v=""/>
  </r>
  <r>
    <n v="900344"/>
    <x v="340"/>
    <x v="0"/>
    <n v="57"/>
    <x v="0"/>
    <x v="14"/>
    <x v="9"/>
    <s v="시설주사"/>
    <s v="일반직"/>
    <s v="공무원"/>
    <x v="0"/>
    <s v="Y"/>
    <s v="N"/>
    <d v="2002-10-01T00:00:00"/>
    <d v="2025-01-01T00:00:00"/>
    <d v="2025-01-01T00:00:00"/>
    <d v="2025-01-01T00:00:00"/>
    <m/>
    <m/>
    <s v="6급"/>
    <x v="3"/>
    <n v="4"/>
    <x v="1"/>
    <x v="0"/>
    <n v="1"/>
    <n v="0"/>
    <x v="2"/>
    <n v="1"/>
    <n v="23"/>
    <x v="4"/>
    <n v="1.7"/>
    <x v="0"/>
    <x v="9"/>
    <x v="0"/>
    <s v=""/>
    <x v="0"/>
    <x v="0"/>
    <x v="0"/>
    <s v=""/>
    <x v="0"/>
    <s v=""/>
  </r>
  <r>
    <n v="900345"/>
    <x v="341"/>
    <x v="0"/>
    <n v="58"/>
    <x v="1"/>
    <x v="15"/>
    <x v="12"/>
    <s v="사서주사"/>
    <s v="일반직"/>
    <s v="공무원"/>
    <x v="0"/>
    <s v="Y"/>
    <s v="N"/>
    <d v="1995-12-01T00:00:00"/>
    <d v="1995-12-01T00:00:00"/>
    <d v="2013-02-01T00:00:00"/>
    <d v="2013-02-01T00:00:00"/>
    <n v="34"/>
    <s v="휴직복직[20221121~99991231]"/>
    <s v="6급"/>
    <x v="3"/>
    <n v="4"/>
    <x v="1"/>
    <x v="0"/>
    <n v="1"/>
    <n v="0"/>
    <x v="2"/>
    <n v="30"/>
    <n v="30"/>
    <x v="3"/>
    <n v="13.6"/>
    <x v="2"/>
    <x v="34"/>
    <x v="0"/>
    <s v=""/>
    <x v="0"/>
    <x v="0"/>
    <x v="0"/>
    <s v=""/>
    <x v="0"/>
    <s v=""/>
  </r>
  <r>
    <n v="900346"/>
    <x v="342"/>
    <x v="0"/>
    <n v="53"/>
    <x v="1"/>
    <x v="14"/>
    <x v="10"/>
    <s v="공업주사"/>
    <s v="일반직"/>
    <s v="공무원"/>
    <x v="0"/>
    <s v="Y"/>
    <s v="N"/>
    <d v="2007-02-01T00:00:00"/>
    <d v="2007-02-01T00:00:00"/>
    <d v="2024-10-01T00:00:00"/>
    <d v="2024-10-01T00:00:00"/>
    <m/>
    <m/>
    <s v="6급"/>
    <x v="3"/>
    <n v="4"/>
    <x v="1"/>
    <x v="0"/>
    <n v="1"/>
    <n v="0"/>
    <x v="2"/>
    <n v="19"/>
    <n v="19"/>
    <x v="4"/>
    <n v="1.9"/>
    <x v="0"/>
    <x v="2"/>
    <x v="0"/>
    <s v=""/>
    <x v="0"/>
    <x v="0"/>
    <x v="0"/>
    <s v=""/>
    <x v="0"/>
    <s v=""/>
  </r>
  <r>
    <n v="900347"/>
    <x v="343"/>
    <x v="0"/>
    <n v="28"/>
    <x v="1"/>
    <x v="4"/>
    <x v="4"/>
    <s v="행정인턴"/>
    <s v="인턴(수습)"/>
    <s v="비공무원"/>
    <x v="0"/>
    <s v="N"/>
    <s v="N"/>
    <d v="2020-10-01T00:00:00"/>
    <d v="2021-04-01T00:00:00"/>
    <d v="2021-04-01T00:00:00"/>
    <d v="2021-04-01T00:00:00"/>
    <m/>
    <m/>
    <s v="인턴"/>
    <x v="8"/>
    <n v="13"/>
    <x v="2"/>
    <x v="1"/>
    <n v="1"/>
    <n v="0"/>
    <x v="3"/>
    <n v="5"/>
    <n v="5"/>
    <x v="4"/>
    <n v="5.4"/>
    <x v="1"/>
    <x v="0"/>
    <x v="0"/>
    <s v=""/>
    <x v="0"/>
    <x v="0"/>
    <x v="0"/>
    <s v=""/>
    <x v="0"/>
    <s v=""/>
  </r>
  <r>
    <n v="900348"/>
    <x v="344"/>
    <x v="0"/>
    <n v="23"/>
    <x v="1"/>
    <x v="1"/>
    <x v="2"/>
    <s v="사회복무요원"/>
    <s v="사회복무요원"/>
    <s v="비공무원"/>
    <x v="0"/>
    <s v="Y"/>
    <s v="N"/>
    <d v="2025-07-01T00:00:00"/>
    <d v="2025-07-01T00:00:00"/>
    <d v="2025-07-01T00:00:00"/>
    <d v="2025-07-01T00:00:00"/>
    <m/>
    <s v="휴직복직[20230724~99991231]"/>
    <s v="사회복무요원"/>
    <x v="6"/>
    <n v="12"/>
    <x v="2"/>
    <x v="1"/>
    <n v="1"/>
    <n v="0"/>
    <x v="3"/>
    <n v="1"/>
    <n v="1"/>
    <x v="4"/>
    <n v="1.2"/>
    <x v="0"/>
    <x v="0"/>
    <x v="0"/>
    <s v=""/>
    <x v="0"/>
    <x v="0"/>
    <x v="0"/>
    <s v=""/>
    <x v="0"/>
    <s v=""/>
  </r>
  <r>
    <n v="900349"/>
    <x v="345"/>
    <x v="0"/>
    <n v="31"/>
    <x v="1"/>
    <x v="0"/>
    <x v="4"/>
    <s v="대학회계계약직(사무실무직)"/>
    <s v="대학회계계약직"/>
    <s v="비공무원"/>
    <x v="0"/>
    <s v="N"/>
    <s v="N"/>
    <d v="2017-08-01T00:00:00"/>
    <d v="2017-08-01T00:00:00"/>
    <d v="2017-08-01T00:00:00"/>
    <d v="2017-08-01T00:00:00"/>
    <n v="9"/>
    <m/>
    <s v="대학회계계약직"/>
    <x v="0"/>
    <n v="11"/>
    <x v="0"/>
    <x v="0"/>
    <n v="1"/>
    <n v="0"/>
    <x v="1"/>
    <n v="9"/>
    <n v="9"/>
    <x v="1"/>
    <n v="9.1"/>
    <x v="1"/>
    <x v="0"/>
    <x v="0"/>
    <s v=""/>
    <x v="0"/>
    <x v="0"/>
    <x v="0"/>
    <s v=""/>
    <x v="0"/>
    <s v=""/>
  </r>
  <r>
    <n v="900350"/>
    <x v="346"/>
    <x v="0"/>
    <n v="41"/>
    <x v="0"/>
    <x v="15"/>
    <x v="12"/>
    <s v="공업서기"/>
    <s v="일반직"/>
    <s v="공무원"/>
    <x v="0"/>
    <s v="N"/>
    <s v="N"/>
    <d v="2008-12-01T00:00:00"/>
    <d v="2008-12-01T00:00:00"/>
    <d v="2015-03-01T00:00:00"/>
    <d v="2015-03-01T00:00:00"/>
    <n v="20"/>
    <m/>
    <s v="8급"/>
    <x v="9"/>
    <n v="6"/>
    <x v="1"/>
    <x v="0"/>
    <n v="1"/>
    <n v="0"/>
    <x v="0"/>
    <n v="17"/>
    <n v="17"/>
    <x v="0"/>
    <n v="11.5"/>
    <x v="2"/>
    <x v="16"/>
    <x v="0"/>
    <s v=""/>
    <x v="0"/>
    <x v="0"/>
    <x v="0"/>
    <s v=""/>
    <x v="0"/>
    <s v=""/>
  </r>
  <r>
    <n v="900351"/>
    <x v="347"/>
    <x v="0"/>
    <n v="43"/>
    <x v="1"/>
    <x v="5"/>
    <x v="8"/>
    <s v="공업주사"/>
    <s v="일반직"/>
    <s v="공무원"/>
    <x v="0"/>
    <s v="Y"/>
    <s v="N"/>
    <d v="2018-09-01T00:00:00"/>
    <d v="2018-09-01T00:00:00"/>
    <d v="2019-05-01T00:00:00"/>
    <d v="2019-05-01T00:00:00"/>
    <n v="8"/>
    <s v="휴직복직[20250203~99991231]"/>
    <s v="6급"/>
    <x v="3"/>
    <n v="4"/>
    <x v="1"/>
    <x v="0"/>
    <n v="1"/>
    <n v="0"/>
    <x v="0"/>
    <n v="8"/>
    <n v="8"/>
    <x v="1"/>
    <n v="7.4"/>
    <x v="1"/>
    <x v="8"/>
    <x v="0"/>
    <s v=""/>
    <x v="0"/>
    <x v="0"/>
    <x v="0"/>
    <s v=""/>
    <x v="0"/>
    <s v=""/>
  </r>
  <r>
    <n v="900352"/>
    <x v="348"/>
    <x v="0"/>
    <n v="39"/>
    <x v="1"/>
    <x v="5"/>
    <x v="9"/>
    <s v="행정서기"/>
    <s v="일반직"/>
    <s v="공무원"/>
    <x v="0"/>
    <s v="N"/>
    <s v="N"/>
    <d v="2009-08-01T00:00:00"/>
    <d v="2009-08-01T00:00:00"/>
    <d v="2018-12-01T00:00:00"/>
    <d v="2018-12-01T00:00:00"/>
    <m/>
    <m/>
    <s v="8급"/>
    <x v="9"/>
    <n v="6"/>
    <x v="1"/>
    <x v="0"/>
    <n v="1"/>
    <n v="0"/>
    <x v="1"/>
    <n v="17"/>
    <n v="17"/>
    <x v="4"/>
    <n v="7.8"/>
    <x v="1"/>
    <x v="3"/>
    <x v="0"/>
    <s v=""/>
    <x v="0"/>
    <x v="0"/>
    <x v="0"/>
    <s v=""/>
    <x v="0"/>
    <s v=""/>
  </r>
  <r>
    <n v="900353"/>
    <x v="349"/>
    <x v="0"/>
    <n v="29"/>
    <x v="0"/>
    <x v="2"/>
    <x v="12"/>
    <s v="대학회계계약직(사무실무직)"/>
    <s v="대학회계계약직"/>
    <s v="비공무원"/>
    <x v="0"/>
    <s v="Y"/>
    <s v="N"/>
    <d v="2019-09-01T00:00:00"/>
    <d v="2019-09-01T00:00:00"/>
    <d v="2019-09-01T00:00:00"/>
    <d v="2019-09-01T00:00:00"/>
    <n v="9"/>
    <m/>
    <s v="대학회계계약직"/>
    <x v="0"/>
    <n v="11"/>
    <x v="0"/>
    <x v="0"/>
    <n v="1"/>
    <n v="0"/>
    <x v="3"/>
    <n v="7"/>
    <n v="7"/>
    <x v="1"/>
    <n v="7"/>
    <x v="1"/>
    <x v="0"/>
    <x v="0"/>
    <s v=""/>
    <x v="0"/>
    <x v="0"/>
    <x v="0"/>
    <s v=""/>
    <x v="0"/>
    <s v=""/>
  </r>
  <r>
    <n v="900354"/>
    <x v="350"/>
    <x v="0"/>
    <n v="54"/>
    <x v="0"/>
    <x v="11"/>
    <x v="9"/>
    <s v="행정주사"/>
    <s v="일반직"/>
    <s v="공무원"/>
    <x v="0"/>
    <s v="Y"/>
    <s v="N"/>
    <d v="2000-01-01T00:00:00"/>
    <d v="2000-01-01T00:00:00"/>
    <d v="2019-09-01T00:00:00"/>
    <d v="2019-09-01T00:00:00"/>
    <n v="26"/>
    <m/>
    <s v="6급"/>
    <x v="3"/>
    <n v="4"/>
    <x v="1"/>
    <x v="0"/>
    <n v="1"/>
    <n v="0"/>
    <x v="2"/>
    <n v="26"/>
    <n v="26"/>
    <x v="0"/>
    <n v="7"/>
    <x v="1"/>
    <x v="28"/>
    <x v="0"/>
    <s v=""/>
    <x v="0"/>
    <x v="0"/>
    <x v="0"/>
    <s v=""/>
    <x v="0"/>
    <s v=""/>
  </r>
  <r>
    <n v="900355"/>
    <x v="351"/>
    <x v="0"/>
    <n v="40"/>
    <x v="0"/>
    <x v="15"/>
    <x v="2"/>
    <s v="공업주사보"/>
    <s v="일반직"/>
    <s v="공무원"/>
    <x v="0"/>
    <s v="N"/>
    <s v="N"/>
    <d v="2025-07-01T00:00:00"/>
    <d v="2025-07-01T00:00:00"/>
    <d v="2025-07-01T00:00:00"/>
    <d v="2025-07-01T00:00:00"/>
    <m/>
    <s v="휴직복직[20230204~99991231]"/>
    <s v="7급"/>
    <x v="1"/>
    <n v="5"/>
    <x v="1"/>
    <x v="0"/>
    <n v="1"/>
    <n v="0"/>
    <x v="0"/>
    <n v="1"/>
    <n v="1"/>
    <x v="4"/>
    <n v="1.2"/>
    <x v="0"/>
    <x v="32"/>
    <x v="0"/>
    <s v=""/>
    <x v="0"/>
    <x v="0"/>
    <x v="0"/>
    <s v=""/>
    <x v="0"/>
    <s v=""/>
  </r>
  <r>
    <n v="900356"/>
    <x v="352"/>
    <x v="0"/>
    <n v="46"/>
    <x v="1"/>
    <x v="3"/>
    <x v="11"/>
    <s v="입학전문직(입학사정관)"/>
    <s v="대학회계계약직"/>
    <s v="비공무원"/>
    <x v="0"/>
    <s v="Y"/>
    <s v="N"/>
    <d v="2018-03-01T00:00:00"/>
    <d v="2018-03-01T00:00:00"/>
    <d v="2018-03-01T00:00:00"/>
    <d v="2018-03-01T00:00:00"/>
    <n v="9"/>
    <m/>
    <s v="대학회계계약직"/>
    <x v="0"/>
    <n v="11"/>
    <x v="0"/>
    <x v="0"/>
    <n v="1"/>
    <n v="0"/>
    <x v="0"/>
    <n v="8"/>
    <n v="8"/>
    <x v="1"/>
    <n v="8.5"/>
    <x v="1"/>
    <x v="0"/>
    <x v="0"/>
    <s v=""/>
    <x v="0"/>
    <x v="0"/>
    <x v="0"/>
    <s v=""/>
    <x v="0"/>
    <s v=""/>
  </r>
  <r>
    <n v="900357"/>
    <x v="353"/>
    <x v="0"/>
    <n v="55"/>
    <x v="0"/>
    <x v="8"/>
    <x v="8"/>
    <s v="행정사무관"/>
    <s v="일반직"/>
    <s v="공무원"/>
    <x v="1"/>
    <s v="N"/>
    <s v="N"/>
    <d v="1998-09-01T00:00:00"/>
    <d v="1998-09-01T00:00:00"/>
    <d v="2016-03-01T00:00:00"/>
    <d v="2016-03-01T00:00:00"/>
    <n v="30"/>
    <m/>
    <s v="5급"/>
    <x v="7"/>
    <n v="3"/>
    <x v="1"/>
    <x v="0"/>
    <n v="1"/>
    <n v="0"/>
    <x v="2"/>
    <n v="28"/>
    <n v="28"/>
    <x v="3"/>
    <n v="10.5"/>
    <x v="2"/>
    <x v="5"/>
    <x v="1"/>
    <s v=""/>
    <x v="0"/>
    <x v="0"/>
    <x v="0"/>
    <s v=""/>
    <x v="0"/>
    <s v=""/>
  </r>
  <r>
    <n v="900358"/>
    <x v="354"/>
    <x v="0"/>
    <n v="47"/>
    <x v="1"/>
    <x v="6"/>
    <x v="0"/>
    <s v="행정서기"/>
    <s v="일반직"/>
    <s v="공무원"/>
    <x v="0"/>
    <s v="Y"/>
    <s v="N"/>
    <d v="2018-05-01T00:00:00"/>
    <d v="2021-04-01T00:00:00"/>
    <d v="2021-04-01T00:00:00"/>
    <d v="2021-04-01T00:00:00"/>
    <n v="11"/>
    <s v="휴직복직[20231204~99991231]"/>
    <s v="8급"/>
    <x v="9"/>
    <n v="6"/>
    <x v="1"/>
    <x v="0"/>
    <n v="1"/>
    <n v="0"/>
    <x v="0"/>
    <n v="5"/>
    <n v="8"/>
    <x v="2"/>
    <n v="5.4"/>
    <x v="1"/>
    <x v="25"/>
    <x v="0"/>
    <s v=""/>
    <x v="0"/>
    <x v="0"/>
    <x v="0"/>
    <s v=""/>
    <x v="0"/>
    <s v=""/>
  </r>
  <r>
    <n v="900359"/>
    <x v="355"/>
    <x v="1"/>
    <n v="59"/>
    <x v="0"/>
    <x v="0"/>
    <x v="5"/>
    <s v="서기관"/>
    <s v="일반직"/>
    <s v="공무원"/>
    <x v="0"/>
    <s v="Y"/>
    <s v="N"/>
    <d v="1991-05-01T00:00:00"/>
    <d v="2023-10-01T00:00:00"/>
    <d v="2023-10-01T00:00:00"/>
    <d v="2023-10-01T00:00:00"/>
    <n v="37"/>
    <s v="육아휴직[20260604~20261204], 육아휴직[20270326~20261106]"/>
    <s v="4급"/>
    <x v="5"/>
    <n v="1"/>
    <x v="1"/>
    <x v="0"/>
    <n v="1"/>
    <n v="1"/>
    <x v="2"/>
    <n v="2"/>
    <n v="35"/>
    <x v="3"/>
    <n v="2.9"/>
    <x v="0"/>
    <x v="19"/>
    <x v="0"/>
    <d v="2026-06-04T00:00:00"/>
    <x v="1"/>
    <x v="23"/>
    <x v="15"/>
    <n v="88"/>
    <x v="2"/>
    <s v="휴직기간 오류(시작&gt;종료)"/>
  </r>
  <r>
    <n v="900360"/>
    <x v="356"/>
    <x v="0"/>
    <n v="30"/>
    <x v="0"/>
    <x v="8"/>
    <x v="8"/>
    <s v="행정서기보"/>
    <s v="일반직"/>
    <s v="공무원"/>
    <x v="0"/>
    <s v="Y"/>
    <s v="N"/>
    <d v="2023-10-01T00:00:00"/>
    <d v="2023-10-01T00:00:00"/>
    <d v="2026-04-01T00:00:00"/>
    <d v="2026-04-01T00:00:00"/>
    <n v="4"/>
    <m/>
    <s v="9급"/>
    <x v="4"/>
    <n v="7"/>
    <x v="1"/>
    <x v="0"/>
    <n v="1"/>
    <n v="0"/>
    <x v="1"/>
    <n v="2"/>
    <n v="2"/>
    <x v="5"/>
    <n v="0.4"/>
    <x v="0"/>
    <x v="27"/>
    <x v="0"/>
    <s v=""/>
    <x v="0"/>
    <x v="0"/>
    <x v="0"/>
    <s v=""/>
    <x v="0"/>
    <s v=""/>
  </r>
  <r>
    <n v="900361"/>
    <x v="357"/>
    <x v="0"/>
    <n v="44"/>
    <x v="1"/>
    <x v="2"/>
    <x v="4"/>
    <s v="행정주사"/>
    <s v="일반직"/>
    <s v="공무원"/>
    <x v="0"/>
    <s v="Y"/>
    <s v="N"/>
    <d v="2018-07-01T00:00:00"/>
    <d v="2018-07-01T00:00:00"/>
    <d v="2018-07-01T00:00:00"/>
    <d v="2018-07-01T00:00:00"/>
    <n v="9"/>
    <m/>
    <s v="6급"/>
    <x v="3"/>
    <n v="4"/>
    <x v="1"/>
    <x v="0"/>
    <n v="1"/>
    <n v="0"/>
    <x v="0"/>
    <n v="8"/>
    <n v="8"/>
    <x v="1"/>
    <n v="8.1999999999999993"/>
    <x v="1"/>
    <x v="7"/>
    <x v="0"/>
    <s v=""/>
    <x v="0"/>
    <x v="0"/>
    <x v="0"/>
    <s v=""/>
    <x v="0"/>
    <s v=""/>
  </r>
  <r>
    <n v="900362"/>
    <x v="358"/>
    <x v="0"/>
    <n v="54"/>
    <x v="0"/>
    <x v="9"/>
    <x v="14"/>
    <s v="대학회계계약직(사무실무직)"/>
    <s v="대학회계계약직"/>
    <s v="비공무원"/>
    <x v="0"/>
    <s v="Y"/>
    <s v="N"/>
    <d v="2006-04-01T00:00:00"/>
    <d v="2006-04-01T00:00:00"/>
    <d v="2025-07-01T00:00:00"/>
    <d v="2025-07-01T00:00:00"/>
    <n v="21"/>
    <s v="휴직복직[20240621~99991231]"/>
    <s v="대학회계계약직"/>
    <x v="0"/>
    <n v="11"/>
    <x v="0"/>
    <x v="0"/>
    <n v="1"/>
    <n v="0"/>
    <x v="2"/>
    <n v="20"/>
    <n v="20"/>
    <x v="0"/>
    <n v="1.2"/>
    <x v="0"/>
    <x v="0"/>
    <x v="0"/>
    <s v=""/>
    <x v="0"/>
    <x v="0"/>
    <x v="0"/>
    <s v=""/>
    <x v="0"/>
    <s v=""/>
  </r>
  <r>
    <n v="900363"/>
    <x v="359"/>
    <x v="1"/>
    <n v="47"/>
    <x v="0"/>
    <x v="3"/>
    <x v="13"/>
    <s v="대학회계계약직(사서실무직)"/>
    <s v="대학회계계약직"/>
    <s v="비공무원"/>
    <x v="0"/>
    <s v="Y"/>
    <s v="N"/>
    <d v="2012-12-01T00:00:00"/>
    <d v="2022-07-01T00:00:00"/>
    <d v="2022-07-01T00:00:00"/>
    <d v="2022-07-01T00:00:00"/>
    <n v="16"/>
    <s v="휴직복직[20231104~99991231], 휴직복직[20230910~99991231], 연수휴직[20260313~20270313]"/>
    <s v="대학회계계약직"/>
    <x v="0"/>
    <n v="11"/>
    <x v="0"/>
    <x v="0"/>
    <n v="1"/>
    <n v="1"/>
    <x v="0"/>
    <n v="4"/>
    <n v="13"/>
    <x v="2"/>
    <n v="4.2"/>
    <x v="0"/>
    <x v="0"/>
    <x v="0"/>
    <d v="2026-03-13T00:00:00"/>
    <x v="2"/>
    <x v="24"/>
    <x v="16"/>
    <n v="187"/>
    <x v="1"/>
    <s v=""/>
  </r>
  <r>
    <n v="900364"/>
    <x v="360"/>
    <x v="0"/>
    <n v="32"/>
    <x v="1"/>
    <x v="1"/>
    <x v="11"/>
    <s v="대학회계계약직(전산전문직)"/>
    <s v="대학회계계약직"/>
    <s v="비공무원"/>
    <x v="0"/>
    <s v="Y"/>
    <s v="N"/>
    <d v="2024-02-01T00:00:00"/>
    <d v="2024-02-01T00:00:00"/>
    <d v="2024-02-01T00:00:00"/>
    <d v="2024-02-01T00:00:00"/>
    <n v="5"/>
    <s v="휴직복직[20250514~99991231]"/>
    <s v="대학회계계약직"/>
    <x v="0"/>
    <n v="11"/>
    <x v="0"/>
    <x v="0"/>
    <n v="1"/>
    <n v="0"/>
    <x v="1"/>
    <n v="2"/>
    <n v="2"/>
    <x v="1"/>
    <n v="2.6"/>
    <x v="0"/>
    <x v="0"/>
    <x v="0"/>
    <s v=""/>
    <x v="0"/>
    <x v="0"/>
    <x v="0"/>
    <s v=""/>
    <x v="0"/>
    <s v=""/>
  </r>
  <r>
    <n v="900365"/>
    <x v="361"/>
    <x v="0"/>
    <n v="43"/>
    <x v="1"/>
    <x v="13"/>
    <x v="6"/>
    <s v="대학회계직7급(사무원)"/>
    <s v="대학회계직"/>
    <s v="비공무원"/>
    <x v="0"/>
    <s v="Y"/>
    <s v="N"/>
    <d v="2023-08-01T00:00:00"/>
    <d v="2023-08-01T00:00:00"/>
    <d v="2023-08-01T00:00:00"/>
    <d v="2023-08-01T00:00:00"/>
    <m/>
    <m/>
    <s v="대학회계직"/>
    <x v="10"/>
    <n v="10"/>
    <x v="3"/>
    <x v="0"/>
    <n v="1"/>
    <n v="0"/>
    <x v="0"/>
    <n v="3"/>
    <n v="3"/>
    <x v="4"/>
    <n v="3.1"/>
    <x v="0"/>
    <x v="0"/>
    <x v="0"/>
    <s v=""/>
    <x v="0"/>
    <x v="0"/>
    <x v="0"/>
    <s v=""/>
    <x v="0"/>
    <s v=""/>
  </r>
  <r>
    <n v="900366"/>
    <x v="362"/>
    <x v="0"/>
    <n v="25"/>
    <x v="1"/>
    <x v="7"/>
    <x v="13"/>
    <s v="행정인턴"/>
    <s v="인턴(수습)"/>
    <s v="비공무원"/>
    <x v="0"/>
    <s v="Y"/>
    <s v="N"/>
    <d v="2023-04-01T00:00:00"/>
    <d v="2023-04-01T00:00:00"/>
    <d v="2023-04-01T00:00:00"/>
    <d v="2023-04-01T00:00:00"/>
    <m/>
    <m/>
    <s v="인턴"/>
    <x v="8"/>
    <n v="13"/>
    <x v="2"/>
    <x v="1"/>
    <n v="1"/>
    <n v="0"/>
    <x v="3"/>
    <n v="3"/>
    <n v="3"/>
    <x v="4"/>
    <n v="3.4"/>
    <x v="0"/>
    <x v="0"/>
    <x v="0"/>
    <s v=""/>
    <x v="0"/>
    <x v="0"/>
    <x v="0"/>
    <s v=""/>
    <x v="0"/>
    <s v=""/>
  </r>
  <r>
    <n v="900367"/>
    <x v="363"/>
    <x v="0"/>
    <n v="37"/>
    <x v="0"/>
    <x v="14"/>
    <x v="9"/>
    <s v="행정주사"/>
    <s v="일반직"/>
    <s v="공무원"/>
    <x v="0"/>
    <s v="Y"/>
    <s v="N"/>
    <d v="2015-03-01T00:00:00"/>
    <d v="2015-03-01T00:00:00"/>
    <d v="2015-03-01T00:00:00"/>
    <d v="2015-03-01T00:00:00"/>
    <n v="13"/>
    <s v="휴직복직[20250313~99991231]"/>
    <s v="6급"/>
    <x v="3"/>
    <n v="4"/>
    <x v="1"/>
    <x v="0"/>
    <n v="1"/>
    <n v="0"/>
    <x v="1"/>
    <n v="11"/>
    <n v="11"/>
    <x v="2"/>
    <n v="11.5"/>
    <x v="2"/>
    <x v="21"/>
    <x v="0"/>
    <s v=""/>
    <x v="0"/>
    <x v="0"/>
    <x v="0"/>
    <s v=""/>
    <x v="0"/>
    <s v=""/>
  </r>
  <r>
    <n v="900368"/>
    <x v="364"/>
    <x v="0"/>
    <n v="57"/>
    <x v="1"/>
    <x v="14"/>
    <x v="12"/>
    <s v="행정주사"/>
    <s v="일반직"/>
    <s v="공무원"/>
    <x v="0"/>
    <s v="Y"/>
    <s v="N"/>
    <d v="2011-01-01T00:00:00"/>
    <d v="2011-01-01T00:00:00"/>
    <d v="2024-04-01T00:00:00"/>
    <d v="2024-04-01T00:00:00"/>
    <n v="16"/>
    <m/>
    <s v="6급"/>
    <x v="3"/>
    <n v="4"/>
    <x v="1"/>
    <x v="0"/>
    <n v="1"/>
    <n v="0"/>
    <x v="2"/>
    <n v="15"/>
    <n v="15"/>
    <x v="2"/>
    <n v="2.4"/>
    <x v="0"/>
    <x v="9"/>
    <x v="0"/>
    <s v=""/>
    <x v="0"/>
    <x v="0"/>
    <x v="0"/>
    <s v=""/>
    <x v="0"/>
    <s v=""/>
  </r>
  <r>
    <n v="900369"/>
    <x v="365"/>
    <x v="0"/>
    <n v="51"/>
    <x v="1"/>
    <x v="14"/>
    <x v="7"/>
    <s v="행정주사"/>
    <s v="일반직"/>
    <s v="공무원"/>
    <x v="0"/>
    <s v="Y"/>
    <s v="N"/>
    <d v="2016-05-01T00:00:00"/>
    <d v="2025-11-01T00:00:00"/>
    <d v="2025-11-01T00:00:00"/>
    <d v="2025-11-01T00:00:00"/>
    <n v="12"/>
    <m/>
    <s v="6급"/>
    <x v="3"/>
    <n v="4"/>
    <x v="1"/>
    <x v="0"/>
    <n v="1"/>
    <n v="0"/>
    <x v="2"/>
    <n v="0"/>
    <n v="10"/>
    <x v="2"/>
    <n v="0.9"/>
    <x v="0"/>
    <x v="4"/>
    <x v="0"/>
    <s v=""/>
    <x v="0"/>
    <x v="0"/>
    <x v="0"/>
    <s v=""/>
    <x v="0"/>
    <s v=""/>
  </r>
  <r>
    <n v="900370"/>
    <x v="366"/>
    <x v="0"/>
    <n v="36"/>
    <x v="1"/>
    <x v="10"/>
    <x v="8"/>
    <s v="행정주사보"/>
    <s v="일반직"/>
    <s v="공무원"/>
    <x v="0"/>
    <s v="N"/>
    <s v="N"/>
    <d v="2018-12-01T00:00:00"/>
    <d v="2018-12-01T00:00:00"/>
    <d v="2018-12-01T00:00:00"/>
    <d v="2018-12-01T00:00:00"/>
    <n v="11"/>
    <m/>
    <s v="7급"/>
    <x v="1"/>
    <n v="5"/>
    <x v="1"/>
    <x v="0"/>
    <n v="1"/>
    <n v="0"/>
    <x v="1"/>
    <n v="7"/>
    <n v="7"/>
    <x v="2"/>
    <n v="7.8"/>
    <x v="1"/>
    <x v="13"/>
    <x v="0"/>
    <s v=""/>
    <x v="0"/>
    <x v="0"/>
    <x v="0"/>
    <s v=""/>
    <x v="0"/>
    <s v=""/>
  </r>
  <r>
    <n v="900371"/>
    <x v="367"/>
    <x v="0"/>
    <n v="20"/>
    <x v="0"/>
    <x v="2"/>
    <x v="3"/>
    <s v="사회복무요원"/>
    <s v="사회복무요원"/>
    <s v="비공무원"/>
    <x v="0"/>
    <s v="N"/>
    <s v="N"/>
    <d v="2026-01-01T00:00:00"/>
    <d v="2026-01-01T00:00:00"/>
    <d v="2026-01-01T00:00:00"/>
    <d v="2026-01-01T00:00:00"/>
    <m/>
    <m/>
    <s v="사회복무요원"/>
    <x v="6"/>
    <n v="12"/>
    <x v="2"/>
    <x v="1"/>
    <n v="1"/>
    <n v="0"/>
    <x v="3"/>
    <n v="0"/>
    <n v="0"/>
    <x v="4"/>
    <n v="0.7"/>
    <x v="0"/>
    <x v="0"/>
    <x v="0"/>
    <s v=""/>
    <x v="0"/>
    <x v="0"/>
    <x v="0"/>
    <s v=""/>
    <x v="0"/>
    <s v=""/>
  </r>
  <r>
    <n v="900372"/>
    <x v="368"/>
    <x v="0"/>
    <n v="53"/>
    <x v="0"/>
    <x v="12"/>
    <x v="11"/>
    <s v="행정주사"/>
    <s v="일반직"/>
    <s v="공무원"/>
    <x v="0"/>
    <s v="Y"/>
    <s v="N"/>
    <d v="2016-03-01T00:00:00"/>
    <d v="2016-03-01T00:00:00"/>
    <d v="2022-01-01T00:00:00"/>
    <d v="2022-01-01T00:00:00"/>
    <n v="11"/>
    <s v="휴직복직[20230110~99991231]"/>
    <s v="6급"/>
    <x v="3"/>
    <n v="4"/>
    <x v="1"/>
    <x v="0"/>
    <n v="1"/>
    <n v="0"/>
    <x v="2"/>
    <n v="10"/>
    <n v="10"/>
    <x v="2"/>
    <n v="4.7"/>
    <x v="0"/>
    <x v="2"/>
    <x v="0"/>
    <s v=""/>
    <x v="0"/>
    <x v="0"/>
    <x v="0"/>
    <s v=""/>
    <x v="0"/>
    <s v=""/>
  </r>
  <r>
    <n v="900373"/>
    <x v="369"/>
    <x v="1"/>
    <n v="30"/>
    <x v="0"/>
    <x v="0"/>
    <x v="4"/>
    <s v="대학회계계약직(사무실무직)"/>
    <s v="대학회계계약직"/>
    <s v="비공무원"/>
    <x v="0"/>
    <s v="Y"/>
    <s v="N"/>
    <d v="2025-06-01T00:00:00"/>
    <d v="2025-06-01T00:00:00"/>
    <d v="2025-06-01T00:00:00"/>
    <d v="2025-06-01T00:00:00"/>
    <n v="3"/>
    <s v="휴직복직[20230526~99991231], 휴직복직[20241113~99991231], 육아휴직[20260125~20261213]"/>
    <s v="대학회계계약직"/>
    <x v="0"/>
    <n v="11"/>
    <x v="0"/>
    <x v="0"/>
    <n v="1"/>
    <n v="1"/>
    <x v="1"/>
    <n v="1"/>
    <n v="1"/>
    <x v="5"/>
    <n v="1.3"/>
    <x v="0"/>
    <x v="0"/>
    <x v="0"/>
    <d v="2026-01-25T00:00:00"/>
    <x v="1"/>
    <x v="25"/>
    <x v="15"/>
    <n v="97"/>
    <x v="2"/>
    <s v=""/>
  </r>
  <r>
    <n v="900374"/>
    <x v="370"/>
    <x v="1"/>
    <n v="51"/>
    <x v="0"/>
    <x v="10"/>
    <x v="1"/>
    <s v="행정사무관"/>
    <s v="일반직"/>
    <s v="공무원"/>
    <x v="0"/>
    <s v="Y"/>
    <s v="N"/>
    <d v="2014-02-01T00:00:00"/>
    <d v="2025-11-01T00:00:00"/>
    <d v="2025-11-01T00:00:00"/>
    <d v="2025-11-01T00:00:00"/>
    <n v="13"/>
    <s v="질병휴직(일반질병)[20260503~20270503]"/>
    <s v="5급"/>
    <x v="7"/>
    <n v="3"/>
    <x v="1"/>
    <x v="0"/>
    <n v="1"/>
    <n v="1"/>
    <x v="2"/>
    <n v="0"/>
    <n v="12"/>
    <x v="2"/>
    <n v="0.9"/>
    <x v="0"/>
    <x v="4"/>
    <x v="0"/>
    <d v="2026-05-03T00:00:00"/>
    <x v="4"/>
    <x v="26"/>
    <x v="1"/>
    <n v="238"/>
    <x v="1"/>
    <s v=""/>
  </r>
  <r>
    <n v="900375"/>
    <x v="371"/>
    <x v="0"/>
    <n v="27"/>
    <x v="1"/>
    <x v="11"/>
    <x v="12"/>
    <s v="대학회계직7급(사무원)"/>
    <s v="대학회계직"/>
    <s v="비공무원"/>
    <x v="0"/>
    <s v="N"/>
    <s v="N"/>
    <d v="2024-06-01T00:00:00"/>
    <d v="2024-06-01T00:00:00"/>
    <d v="2024-06-01T00:00:00"/>
    <d v="2024-06-01T00:00:00"/>
    <n v="5"/>
    <m/>
    <s v="대학회계직"/>
    <x v="10"/>
    <n v="10"/>
    <x v="3"/>
    <x v="0"/>
    <n v="1"/>
    <n v="0"/>
    <x v="3"/>
    <n v="2"/>
    <n v="2"/>
    <x v="1"/>
    <n v="2.2999999999999998"/>
    <x v="0"/>
    <x v="0"/>
    <x v="0"/>
    <s v=""/>
    <x v="0"/>
    <x v="0"/>
    <x v="0"/>
    <s v=""/>
    <x v="0"/>
    <s v=""/>
  </r>
  <r>
    <n v="900376"/>
    <x v="372"/>
    <x v="0"/>
    <n v="21"/>
    <x v="1"/>
    <x v="7"/>
    <x v="7"/>
    <s v="사회복무요원"/>
    <s v="사회복무요원"/>
    <s v="비공무원"/>
    <x v="0"/>
    <s v="Y"/>
    <s v="N"/>
    <d v="2026-07-01T00:00:00"/>
    <d v="2026-07-01T00:00:00"/>
    <d v="2026-07-01T00:00:00"/>
    <d v="2026-07-01T00:00:00"/>
    <m/>
    <m/>
    <s v="사회복무요원"/>
    <x v="6"/>
    <n v="12"/>
    <x v="2"/>
    <x v="1"/>
    <n v="1"/>
    <n v="0"/>
    <x v="3"/>
    <n v="0"/>
    <n v="0"/>
    <x v="4"/>
    <n v="0.2"/>
    <x v="0"/>
    <x v="0"/>
    <x v="0"/>
    <s v=""/>
    <x v="0"/>
    <x v="0"/>
    <x v="0"/>
    <s v=""/>
    <x v="0"/>
    <s v=""/>
  </r>
  <r>
    <n v="900377"/>
    <x v="373"/>
    <x v="0"/>
    <n v="39"/>
    <x v="0"/>
    <x v="9"/>
    <x v="3"/>
    <s v="대학회계계약직(사무실무직)"/>
    <s v="대학회계계약직"/>
    <s v="비공무원"/>
    <x v="0"/>
    <s v="Y"/>
    <s v="N"/>
    <d v="2023-05-01T00:00:00"/>
    <d v="2023-05-01T00:00:00"/>
    <d v="2023-05-01T00:00:00"/>
    <d v="2023-05-01T00:00:00"/>
    <n v="3"/>
    <s v="휴직복직[20250203~99991231]"/>
    <s v="대학회계계약직"/>
    <x v="0"/>
    <n v="11"/>
    <x v="0"/>
    <x v="0"/>
    <n v="1"/>
    <n v="0"/>
    <x v="1"/>
    <n v="3"/>
    <n v="3"/>
    <x v="5"/>
    <n v="3.4"/>
    <x v="0"/>
    <x v="0"/>
    <x v="0"/>
    <s v=""/>
    <x v="0"/>
    <x v="0"/>
    <x v="0"/>
    <s v=""/>
    <x v="0"/>
    <s v=""/>
  </r>
  <r>
    <n v="900378"/>
    <x v="374"/>
    <x v="0"/>
    <n v="55"/>
    <x v="0"/>
    <x v="2"/>
    <x v="2"/>
    <s v="행정서기"/>
    <s v="일반직"/>
    <s v="공무원"/>
    <x v="0"/>
    <s v="Y"/>
    <s v="N"/>
    <d v="1997-06-01T00:00:00"/>
    <d v="1997-06-01T00:00:00"/>
    <d v="2019-10-01T00:00:00"/>
    <d v="2019-10-01T00:00:00"/>
    <n v="30"/>
    <s v="휴직복직[20241016~99991231]"/>
    <s v="8급"/>
    <x v="9"/>
    <n v="6"/>
    <x v="1"/>
    <x v="0"/>
    <n v="1"/>
    <n v="0"/>
    <x v="2"/>
    <n v="29"/>
    <n v="29"/>
    <x v="3"/>
    <n v="6.9"/>
    <x v="1"/>
    <x v="5"/>
    <x v="0"/>
    <s v=""/>
    <x v="0"/>
    <x v="0"/>
    <x v="0"/>
    <s v=""/>
    <x v="0"/>
    <s v=""/>
  </r>
  <r>
    <n v="900379"/>
    <x v="375"/>
    <x v="0"/>
    <n v="59"/>
    <x v="1"/>
    <x v="6"/>
    <x v="3"/>
    <s v="행정주사"/>
    <s v="일반직"/>
    <s v="공무원"/>
    <x v="0"/>
    <s v="Y"/>
    <s v="N"/>
    <d v="1993-03-01T00:00:00"/>
    <d v="1993-03-01T00:00:00"/>
    <d v="2016-07-01T00:00:00"/>
    <d v="2016-07-01T00:00:00"/>
    <n v="33"/>
    <m/>
    <s v="6급"/>
    <x v="3"/>
    <n v="4"/>
    <x v="1"/>
    <x v="0"/>
    <n v="1"/>
    <n v="0"/>
    <x v="2"/>
    <n v="33"/>
    <n v="33"/>
    <x v="3"/>
    <n v="10.199999999999999"/>
    <x v="2"/>
    <x v="19"/>
    <x v="0"/>
    <s v=""/>
    <x v="0"/>
    <x v="0"/>
    <x v="0"/>
    <s v=""/>
    <x v="0"/>
    <s v=""/>
  </r>
  <r>
    <n v="900380"/>
    <x v="376"/>
    <x v="0"/>
    <n v="53"/>
    <x v="0"/>
    <x v="8"/>
    <x v="0"/>
    <s v="대학회계계약직(사무실무직)"/>
    <s v="대학회계계약직"/>
    <s v="비공무원"/>
    <x v="0"/>
    <s v="Y"/>
    <s v="N"/>
    <d v="2018-09-01T00:00:00"/>
    <d v="2018-09-01T00:00:00"/>
    <d v="2022-03-01T00:00:00"/>
    <d v="2022-03-01T00:00:00"/>
    <n v="9"/>
    <m/>
    <s v="대학회계계약직"/>
    <x v="0"/>
    <n v="11"/>
    <x v="0"/>
    <x v="0"/>
    <n v="1"/>
    <n v="0"/>
    <x v="2"/>
    <n v="8"/>
    <n v="8"/>
    <x v="1"/>
    <n v="4.5"/>
    <x v="0"/>
    <x v="0"/>
    <x v="0"/>
    <s v=""/>
    <x v="0"/>
    <x v="0"/>
    <x v="0"/>
    <s v=""/>
    <x v="0"/>
    <s v=""/>
  </r>
  <r>
    <n v="900381"/>
    <x v="377"/>
    <x v="0"/>
    <n v="34"/>
    <x v="1"/>
    <x v="13"/>
    <x v="11"/>
    <s v="대학회계계약직(상담전문직)"/>
    <s v="대학회계계약직"/>
    <s v="비공무원"/>
    <x v="0"/>
    <s v="Y"/>
    <s v="N"/>
    <d v="2019-06-01T00:00:00"/>
    <d v="2023-11-01T00:00:00"/>
    <d v="2025-01-01T00:00:00"/>
    <d v="2025-01-01T00:00:00"/>
    <n v="7"/>
    <m/>
    <s v="대학회계계약직"/>
    <x v="0"/>
    <n v="11"/>
    <x v="0"/>
    <x v="0"/>
    <n v="1"/>
    <n v="0"/>
    <x v="1"/>
    <n v="2"/>
    <n v="7"/>
    <x v="1"/>
    <n v="1.7"/>
    <x v="0"/>
    <x v="0"/>
    <x v="0"/>
    <s v=""/>
    <x v="0"/>
    <x v="0"/>
    <x v="0"/>
    <s v=""/>
    <x v="0"/>
    <s v=""/>
  </r>
  <r>
    <n v="900382"/>
    <x v="378"/>
    <x v="0"/>
    <n v="25"/>
    <x v="0"/>
    <x v="1"/>
    <x v="9"/>
    <s v="사서주사보"/>
    <s v="일반직"/>
    <s v="공무원"/>
    <x v="0"/>
    <s v="Y"/>
    <s v="N"/>
    <d v="2025-05-01T00:00:00"/>
    <d v="2022-06-01T00:00:00"/>
    <d v="2022-06-01T00:00:00"/>
    <d v="2022-06-01T00:00:00"/>
    <n v="1"/>
    <m/>
    <s v="7급"/>
    <x v="1"/>
    <n v="5"/>
    <x v="1"/>
    <x v="0"/>
    <n v="1"/>
    <n v="0"/>
    <x v="3"/>
    <n v="4"/>
    <n v="1"/>
    <x v="5"/>
    <n v="4.3"/>
    <x v="0"/>
    <x v="26"/>
    <x v="0"/>
    <s v=""/>
    <x v="0"/>
    <x v="0"/>
    <x v="0"/>
    <s v=""/>
    <x v="0"/>
    <s v=""/>
  </r>
  <r>
    <n v="900383"/>
    <x v="379"/>
    <x v="0"/>
    <n v="52"/>
    <x v="0"/>
    <x v="13"/>
    <x v="0"/>
    <s v="공업서기"/>
    <s v="일반직"/>
    <s v="공무원"/>
    <x v="0"/>
    <s v="Y"/>
    <s v="N"/>
    <d v="1998-04-01T00:00:00"/>
    <d v="1998-04-01T00:00:00"/>
    <d v="2018-12-01T00:00:00"/>
    <d v="2018-12-01T00:00:00"/>
    <n v="30"/>
    <m/>
    <s v="8급"/>
    <x v="9"/>
    <n v="6"/>
    <x v="1"/>
    <x v="0"/>
    <n v="1"/>
    <n v="0"/>
    <x v="2"/>
    <n v="28"/>
    <n v="28"/>
    <x v="3"/>
    <n v="7.8"/>
    <x v="1"/>
    <x v="24"/>
    <x v="0"/>
    <s v=""/>
    <x v="0"/>
    <x v="0"/>
    <x v="0"/>
    <s v=""/>
    <x v="0"/>
    <s v=""/>
  </r>
  <r>
    <n v="900384"/>
    <x v="380"/>
    <x v="0"/>
    <n v="37"/>
    <x v="0"/>
    <x v="15"/>
    <x v="12"/>
    <s v="대학회계계약직(상담전문직)"/>
    <s v="대학회계계약직"/>
    <s v="비공무원"/>
    <x v="0"/>
    <s v="Y"/>
    <s v="N"/>
    <d v="2011-10-01T00:00:00"/>
    <d v="2011-10-01T00:00:00"/>
    <d v="2019-05-01T00:00:00"/>
    <d v="2019-05-01T00:00:00"/>
    <n v="18"/>
    <m/>
    <s v="대학회계계약직"/>
    <x v="0"/>
    <n v="11"/>
    <x v="0"/>
    <x v="0"/>
    <n v="1"/>
    <n v="0"/>
    <x v="1"/>
    <n v="14"/>
    <n v="14"/>
    <x v="2"/>
    <n v="7.4"/>
    <x v="1"/>
    <x v="0"/>
    <x v="0"/>
    <s v=""/>
    <x v="0"/>
    <x v="0"/>
    <x v="0"/>
    <s v=""/>
    <x v="0"/>
    <s v=""/>
  </r>
  <r>
    <n v="900385"/>
    <x v="381"/>
    <x v="0"/>
    <n v="45"/>
    <x v="0"/>
    <x v="7"/>
    <x v="4"/>
    <s v="사무운영주사"/>
    <s v="기능직"/>
    <s v="공무원"/>
    <x v="0"/>
    <s v="N"/>
    <s v="N"/>
    <d v="2004-11-01T00:00:00"/>
    <d v="2023-06-01T00:00:00"/>
    <d v="2023-06-01T00:00:00"/>
    <d v="2023-06-01T00:00:00"/>
    <n v="23"/>
    <m/>
    <s v="6급"/>
    <x v="3"/>
    <n v="4"/>
    <x v="1"/>
    <x v="0"/>
    <n v="1"/>
    <n v="0"/>
    <x v="0"/>
    <n v="3"/>
    <n v="21"/>
    <x v="0"/>
    <n v="3.3"/>
    <x v="0"/>
    <x v="1"/>
    <x v="0"/>
    <s v=""/>
    <x v="0"/>
    <x v="0"/>
    <x v="0"/>
    <s v=""/>
    <x v="0"/>
    <s v=""/>
  </r>
  <r>
    <n v="900386"/>
    <x v="382"/>
    <x v="0"/>
    <n v="48"/>
    <x v="0"/>
    <x v="4"/>
    <x v="11"/>
    <s v="행정주사"/>
    <s v="일반직"/>
    <s v="공무원"/>
    <x v="0"/>
    <s v="N"/>
    <s v="N"/>
    <d v="2006-10-01T00:00:00"/>
    <d v="2006-10-01T00:00:00"/>
    <d v="2025-03-01T00:00:00"/>
    <d v="2025-03-01T00:00:00"/>
    <n v="20"/>
    <m/>
    <s v="6급"/>
    <x v="3"/>
    <n v="4"/>
    <x v="1"/>
    <x v="0"/>
    <n v="1"/>
    <n v="0"/>
    <x v="0"/>
    <n v="19"/>
    <n v="19"/>
    <x v="0"/>
    <n v="1.5"/>
    <x v="0"/>
    <x v="23"/>
    <x v="0"/>
    <s v=""/>
    <x v="0"/>
    <x v="0"/>
    <x v="0"/>
    <s v=""/>
    <x v="0"/>
    <s v=""/>
  </r>
  <r>
    <n v="900387"/>
    <x v="383"/>
    <x v="0"/>
    <n v="52"/>
    <x v="1"/>
    <x v="5"/>
    <x v="1"/>
    <s v="대학회계직6급(사무원)"/>
    <s v="대학회계직"/>
    <s v="비공무원"/>
    <x v="0"/>
    <s v="Y"/>
    <s v="N"/>
    <d v="2000-05-01T00:00:00"/>
    <d v="2000-05-01T00:00:00"/>
    <d v="2016-04-01T00:00:00"/>
    <d v="2016-04-01T00:00:00"/>
    <n v="29"/>
    <m/>
    <s v="대학회계직"/>
    <x v="10"/>
    <n v="10"/>
    <x v="3"/>
    <x v="0"/>
    <n v="1"/>
    <n v="0"/>
    <x v="2"/>
    <n v="26"/>
    <n v="26"/>
    <x v="0"/>
    <n v="10.4"/>
    <x v="2"/>
    <x v="0"/>
    <x v="0"/>
    <s v=""/>
    <x v="0"/>
    <x v="0"/>
    <x v="0"/>
    <s v=""/>
    <x v="0"/>
    <s v=""/>
  </r>
  <r>
    <n v="900388"/>
    <x v="384"/>
    <x v="0"/>
    <n v="50"/>
    <x v="1"/>
    <x v="6"/>
    <x v="4"/>
    <s v="행정사무관"/>
    <s v="일반직"/>
    <s v="공무원"/>
    <x v="0"/>
    <s v="Y"/>
    <s v="N"/>
    <d v="1999-08-01T00:00:00"/>
    <d v="1999-08-01T00:00:00"/>
    <d v="2016-07-01T00:00:00"/>
    <d v="2016-07-01T00:00:00"/>
    <n v="29"/>
    <m/>
    <s v="5급"/>
    <x v="7"/>
    <n v="3"/>
    <x v="1"/>
    <x v="0"/>
    <n v="1"/>
    <n v="0"/>
    <x v="2"/>
    <n v="27"/>
    <n v="27"/>
    <x v="0"/>
    <n v="10.199999999999999"/>
    <x v="2"/>
    <x v="14"/>
    <x v="0"/>
    <s v=""/>
    <x v="0"/>
    <x v="0"/>
    <x v="0"/>
    <s v=""/>
    <x v="0"/>
    <s v=""/>
  </r>
  <r>
    <n v="900389"/>
    <x v="385"/>
    <x v="0"/>
    <n v="45"/>
    <x v="1"/>
    <x v="7"/>
    <x v="2"/>
    <s v="공업서기"/>
    <s v="일반직"/>
    <s v="공무원"/>
    <x v="0"/>
    <s v="Y"/>
    <s v="N"/>
    <d v="2009-02-01T00:00:00"/>
    <d v="2022-08-01T00:00:00"/>
    <d v="2022-08-01T00:00:00"/>
    <d v="2022-08-01T00:00:00"/>
    <n v="18"/>
    <m/>
    <s v="8급"/>
    <x v="9"/>
    <n v="6"/>
    <x v="1"/>
    <x v="0"/>
    <n v="1"/>
    <n v="0"/>
    <x v="0"/>
    <n v="4"/>
    <n v="17"/>
    <x v="2"/>
    <n v="4.0999999999999996"/>
    <x v="0"/>
    <x v="1"/>
    <x v="0"/>
    <s v=""/>
    <x v="0"/>
    <x v="0"/>
    <x v="0"/>
    <s v=""/>
    <x v="0"/>
    <s v=""/>
  </r>
  <r>
    <n v="900390"/>
    <x v="386"/>
    <x v="0"/>
    <n v="54"/>
    <x v="0"/>
    <x v="1"/>
    <x v="7"/>
    <s v="전산주사"/>
    <s v="일반직"/>
    <s v="공무원"/>
    <x v="0"/>
    <s v="Y"/>
    <s v="N"/>
    <d v="1998-11-01T00:00:00"/>
    <d v="2022-07-01T00:00:00"/>
    <d v="2022-07-01T00:00:00"/>
    <d v="2022-07-01T00:00:00"/>
    <n v="30"/>
    <m/>
    <s v="6급"/>
    <x v="3"/>
    <n v="4"/>
    <x v="1"/>
    <x v="0"/>
    <n v="1"/>
    <n v="0"/>
    <x v="2"/>
    <n v="4"/>
    <n v="27"/>
    <x v="3"/>
    <n v="4.2"/>
    <x v="0"/>
    <x v="28"/>
    <x v="0"/>
    <s v=""/>
    <x v="0"/>
    <x v="0"/>
    <x v="0"/>
    <s v=""/>
    <x v="0"/>
    <s v=""/>
  </r>
  <r>
    <n v="900391"/>
    <x v="387"/>
    <x v="0"/>
    <n v="53"/>
    <x v="1"/>
    <x v="5"/>
    <x v="6"/>
    <s v="행정사무관"/>
    <s v="일반직"/>
    <s v="공무원"/>
    <x v="0"/>
    <s v="Y"/>
    <s v="N"/>
    <d v="2000-03-01T00:00:00"/>
    <d v="2000-03-01T00:00:00"/>
    <d v="2018-04-01T00:00:00"/>
    <d v="2018-04-01T00:00:00"/>
    <n v="27"/>
    <m/>
    <s v="5급"/>
    <x v="7"/>
    <n v="3"/>
    <x v="1"/>
    <x v="0"/>
    <n v="1"/>
    <n v="0"/>
    <x v="2"/>
    <n v="26"/>
    <n v="26"/>
    <x v="0"/>
    <n v="8.4"/>
    <x v="1"/>
    <x v="2"/>
    <x v="0"/>
    <s v=""/>
    <x v="0"/>
    <x v="0"/>
    <x v="0"/>
    <s v=""/>
    <x v="0"/>
    <s v=""/>
  </r>
  <r>
    <n v="900392"/>
    <x v="388"/>
    <x v="0"/>
    <n v="30"/>
    <x v="1"/>
    <x v="5"/>
    <x v="3"/>
    <s v="사서서기"/>
    <s v="일반직"/>
    <s v="공무원"/>
    <x v="0"/>
    <s v="Y"/>
    <s v="N"/>
    <d v="2018-01-01T00:00:00"/>
    <d v="2018-01-01T00:00:00"/>
    <d v="2022-12-01T00:00:00"/>
    <d v="2022-12-01T00:00:00"/>
    <n v="11"/>
    <m/>
    <s v="8급"/>
    <x v="9"/>
    <n v="6"/>
    <x v="1"/>
    <x v="0"/>
    <n v="1"/>
    <n v="0"/>
    <x v="1"/>
    <n v="8"/>
    <n v="8"/>
    <x v="2"/>
    <n v="3.8"/>
    <x v="0"/>
    <x v="27"/>
    <x v="0"/>
    <s v=""/>
    <x v="0"/>
    <x v="0"/>
    <x v="0"/>
    <s v=""/>
    <x v="0"/>
    <s v=""/>
  </r>
  <r>
    <n v="900393"/>
    <x v="389"/>
    <x v="0"/>
    <n v="59"/>
    <x v="0"/>
    <x v="9"/>
    <x v="3"/>
    <s v="전산주사"/>
    <s v="일반직"/>
    <s v="공무원"/>
    <x v="0"/>
    <s v="N"/>
    <s v="N"/>
    <d v="1992-11-01T00:00:00"/>
    <d v="2026-10-01T00:00:00"/>
    <d v="2026-10-01T00:00:00"/>
    <d v="2026-10-01T00:00:00"/>
    <n v="37"/>
    <m/>
    <s v="6급"/>
    <x v="3"/>
    <n v="4"/>
    <x v="1"/>
    <x v="0"/>
    <n v="1"/>
    <n v="0"/>
    <x v="2"/>
    <e v="#NUM!"/>
    <n v="33"/>
    <x v="3"/>
    <n v="0.1"/>
    <x v="0"/>
    <x v="19"/>
    <x v="0"/>
    <s v=""/>
    <x v="0"/>
    <x v="0"/>
    <x v="0"/>
    <s v=""/>
    <x v="0"/>
    <s v=""/>
  </r>
  <r>
    <n v="900394"/>
    <x v="390"/>
    <x v="1"/>
    <n v="52"/>
    <x v="0"/>
    <x v="3"/>
    <x v="13"/>
    <s v="대학회계계약직(사무실무직)"/>
    <s v="대학회계계약직"/>
    <s v="비공무원"/>
    <x v="0"/>
    <s v="N"/>
    <s v="N"/>
    <d v="2010-02-01T00:00:00"/>
    <d v="2023-08-01T00:00:00"/>
    <d v="2023-08-01T00:00:00"/>
    <d v="2023-08-01T00:00:00"/>
    <n v="18"/>
    <s v="휴직복직[20230826~99991231], 질병휴직(일반질병)[20260120~20270120]"/>
    <s v="대학회계계약직"/>
    <x v="0"/>
    <n v="11"/>
    <x v="0"/>
    <x v="0"/>
    <n v="1"/>
    <n v="1"/>
    <x v="2"/>
    <n v="3"/>
    <n v="16"/>
    <x v="2"/>
    <n v="3.1"/>
    <x v="0"/>
    <x v="0"/>
    <x v="0"/>
    <d v="2026-01-20T00:00:00"/>
    <x v="4"/>
    <x v="27"/>
    <x v="6"/>
    <n v="135"/>
    <x v="2"/>
    <s v=""/>
  </r>
  <r>
    <n v="900395"/>
    <x v="391"/>
    <x v="0"/>
    <n v="55"/>
    <x v="0"/>
    <x v="3"/>
    <x v="1"/>
    <s v="사서서기"/>
    <s v="일반직"/>
    <s v="공무원"/>
    <x v="0"/>
    <s v="Y"/>
    <s v="N"/>
    <d v="2003-12-01T00:00:00"/>
    <d v="2003-12-01T00:00:00"/>
    <d v="2012-10-01T00:00:00"/>
    <d v="2012-10-01T00:00:00"/>
    <n v="25"/>
    <m/>
    <s v="8급"/>
    <x v="9"/>
    <n v="6"/>
    <x v="1"/>
    <x v="0"/>
    <n v="1"/>
    <n v="0"/>
    <x v="2"/>
    <n v="22"/>
    <n v="22"/>
    <x v="0"/>
    <n v="13.9"/>
    <x v="2"/>
    <x v="5"/>
    <x v="0"/>
    <s v=""/>
    <x v="0"/>
    <x v="0"/>
    <x v="0"/>
    <s v=""/>
    <x v="0"/>
    <s v=""/>
  </r>
  <r>
    <n v="900396"/>
    <x v="392"/>
    <x v="0"/>
    <n v="53"/>
    <x v="1"/>
    <x v="4"/>
    <x v="9"/>
    <s v="사서주사"/>
    <s v="일반직"/>
    <s v="공무원"/>
    <x v="0"/>
    <s v="Y"/>
    <s v="N"/>
    <d v="2017-11-01T00:00:00"/>
    <d v="2023-11-01T00:00:00"/>
    <d v="2023-11-01T00:00:00"/>
    <d v="2023-11-01T00:00:00"/>
    <n v="10"/>
    <m/>
    <s v="6급"/>
    <x v="3"/>
    <n v="4"/>
    <x v="1"/>
    <x v="0"/>
    <n v="1"/>
    <n v="0"/>
    <x v="2"/>
    <n v="2"/>
    <n v="8"/>
    <x v="2"/>
    <n v="2.9"/>
    <x v="0"/>
    <x v="2"/>
    <x v="0"/>
    <s v=""/>
    <x v="0"/>
    <x v="0"/>
    <x v="0"/>
    <s v=""/>
    <x v="0"/>
    <s v=""/>
  </r>
  <r>
    <n v="900397"/>
    <x v="393"/>
    <x v="0"/>
    <n v="42"/>
    <x v="0"/>
    <x v="1"/>
    <x v="10"/>
    <s v="행정주사"/>
    <s v="일반직"/>
    <s v="공무원"/>
    <x v="0"/>
    <s v="N"/>
    <s v="N"/>
    <d v="2006-12-01T00:00:00"/>
    <d v="2006-12-01T00:00:00"/>
    <d v="2023-04-01T00:00:00"/>
    <d v="2023-04-01T00:00:00"/>
    <n v="23"/>
    <m/>
    <s v="6급"/>
    <x v="3"/>
    <n v="4"/>
    <x v="1"/>
    <x v="0"/>
    <n v="1"/>
    <n v="0"/>
    <x v="0"/>
    <n v="19"/>
    <n v="19"/>
    <x v="0"/>
    <n v="3.4"/>
    <x v="0"/>
    <x v="17"/>
    <x v="0"/>
    <s v=""/>
    <x v="0"/>
    <x v="0"/>
    <x v="0"/>
    <s v=""/>
    <x v="0"/>
    <s v=""/>
  </r>
  <r>
    <n v="900398"/>
    <x v="394"/>
    <x v="0"/>
    <n v="37"/>
    <x v="1"/>
    <x v="10"/>
    <x v="7"/>
    <s v="전산주사"/>
    <s v="일반직"/>
    <s v="공무원"/>
    <x v="0"/>
    <s v="N"/>
    <s v="N"/>
    <d v="2023-10-01T00:00:00"/>
    <d v="2023-10-01T00:00:00"/>
    <d v="2023-10-01T00:00:00"/>
    <d v="2023-10-01T00:00:00"/>
    <n v="3"/>
    <m/>
    <s v="6급"/>
    <x v="3"/>
    <n v="4"/>
    <x v="1"/>
    <x v="0"/>
    <n v="1"/>
    <n v="0"/>
    <x v="1"/>
    <n v="2"/>
    <n v="2"/>
    <x v="5"/>
    <n v="2.9"/>
    <x v="0"/>
    <x v="21"/>
    <x v="0"/>
    <s v=""/>
    <x v="0"/>
    <x v="0"/>
    <x v="0"/>
    <s v=""/>
    <x v="0"/>
    <s v=""/>
  </r>
  <r>
    <n v="900399"/>
    <x v="395"/>
    <x v="0"/>
    <n v="37"/>
    <x v="1"/>
    <x v="15"/>
    <x v="8"/>
    <s v="행정주사"/>
    <s v="일반직"/>
    <s v="공무원"/>
    <x v="0"/>
    <s v="Y"/>
    <s v="N"/>
    <d v="2013-03-01T00:00:00"/>
    <d v="2013-03-01T00:00:00"/>
    <d v="2016-09-01T00:00:00"/>
    <d v="2016-09-01T00:00:00"/>
    <n v="16"/>
    <m/>
    <s v="6급"/>
    <x v="3"/>
    <n v="4"/>
    <x v="1"/>
    <x v="0"/>
    <n v="1"/>
    <n v="0"/>
    <x v="1"/>
    <n v="13"/>
    <n v="13"/>
    <x v="2"/>
    <n v="10"/>
    <x v="2"/>
    <x v="21"/>
    <x v="0"/>
    <s v=""/>
    <x v="0"/>
    <x v="0"/>
    <x v="0"/>
    <s v=""/>
    <x v="0"/>
    <s v=""/>
  </r>
  <r>
    <n v="900400"/>
    <x v="396"/>
    <x v="0"/>
    <n v="42"/>
    <x v="0"/>
    <x v="4"/>
    <x v="5"/>
    <s v="대학회계직6급(사무원)"/>
    <s v="대학회계직"/>
    <s v="비공무원"/>
    <x v="0"/>
    <s v="Y"/>
    <s v="N"/>
    <d v="2025-07-01T00:00:00"/>
    <d v="2025-07-01T00:00:00"/>
    <d v="2025-07-01T00:00:00"/>
    <d v="2025-07-01T00:00:00"/>
    <n v="4"/>
    <m/>
    <s v="대학회계직"/>
    <x v="10"/>
    <n v="10"/>
    <x v="3"/>
    <x v="0"/>
    <n v="1"/>
    <n v="0"/>
    <x v="0"/>
    <n v="1"/>
    <n v="1"/>
    <x v="5"/>
    <n v="1.2"/>
    <x v="0"/>
    <x v="0"/>
    <x v="0"/>
    <s v=""/>
    <x v="0"/>
    <x v="0"/>
    <x v="0"/>
    <s v=""/>
    <x v="0"/>
    <s v=""/>
  </r>
  <r>
    <n v="900401"/>
    <x v="397"/>
    <x v="0"/>
    <n v="54"/>
    <x v="0"/>
    <x v="5"/>
    <x v="8"/>
    <s v="행정주사보"/>
    <s v="일반직"/>
    <s v="공무원"/>
    <x v="0"/>
    <s v="N"/>
    <s v="N"/>
    <d v="2017-10-01T00:00:00"/>
    <d v="2022-02-01T00:00:00"/>
    <d v="2025-08-01T00:00:00"/>
    <d v="2025-08-01T00:00:00"/>
    <n v="9"/>
    <m/>
    <s v="7급"/>
    <x v="1"/>
    <n v="5"/>
    <x v="1"/>
    <x v="0"/>
    <n v="1"/>
    <n v="0"/>
    <x v="2"/>
    <n v="4"/>
    <n v="8"/>
    <x v="1"/>
    <n v="1.1000000000000001"/>
    <x v="0"/>
    <x v="28"/>
    <x v="0"/>
    <s v=""/>
    <x v="0"/>
    <x v="0"/>
    <x v="0"/>
    <s v=""/>
    <x v="0"/>
    <s v=""/>
  </r>
  <r>
    <n v="900402"/>
    <x v="398"/>
    <x v="0"/>
    <n v="49"/>
    <x v="1"/>
    <x v="11"/>
    <x v="8"/>
    <s v="행정주사"/>
    <s v="일반직"/>
    <s v="공무원"/>
    <x v="0"/>
    <s v="Y"/>
    <s v="N"/>
    <d v="2005-07-01T00:00:00"/>
    <d v="2005-07-01T00:00:00"/>
    <d v="2020-06-01T00:00:00"/>
    <d v="2020-06-01T00:00:00"/>
    <n v="22"/>
    <s v="휴직복직[20230116~99991231]"/>
    <s v="6급"/>
    <x v="3"/>
    <n v="4"/>
    <x v="1"/>
    <x v="0"/>
    <n v="1"/>
    <n v="0"/>
    <x v="0"/>
    <n v="21"/>
    <n v="21"/>
    <x v="0"/>
    <n v="6.3"/>
    <x v="1"/>
    <x v="11"/>
    <x v="0"/>
    <s v=""/>
    <x v="0"/>
    <x v="0"/>
    <x v="0"/>
    <s v=""/>
    <x v="0"/>
    <s v=""/>
  </r>
  <r>
    <n v="900403"/>
    <x v="399"/>
    <x v="0"/>
    <n v="47"/>
    <x v="0"/>
    <x v="10"/>
    <x v="2"/>
    <s v="전산주사"/>
    <s v="일반직"/>
    <s v="공무원"/>
    <x v="0"/>
    <s v="N"/>
    <s v="N"/>
    <d v="2006-10-01T00:00:00"/>
    <d v="2021-05-01T00:00:00"/>
    <d v="2021-05-01T00:00:00"/>
    <d v="2021-05-01T00:00:00"/>
    <n v="22"/>
    <s v="휴직복직[20240418~99991231]"/>
    <s v="6급"/>
    <x v="3"/>
    <n v="4"/>
    <x v="1"/>
    <x v="0"/>
    <n v="1"/>
    <n v="0"/>
    <x v="0"/>
    <n v="5"/>
    <n v="19"/>
    <x v="0"/>
    <n v="5.4"/>
    <x v="1"/>
    <x v="25"/>
    <x v="0"/>
    <s v=""/>
    <x v="0"/>
    <x v="0"/>
    <x v="0"/>
    <s v=""/>
    <x v="0"/>
    <s v=""/>
  </r>
  <r>
    <n v="900404"/>
    <x v="400"/>
    <x v="0"/>
    <n v="59"/>
    <x v="1"/>
    <x v="3"/>
    <x v="10"/>
    <s v="행정주사"/>
    <s v="일반직"/>
    <s v="공무원"/>
    <x v="0"/>
    <s v="Y"/>
    <s v="N"/>
    <d v="2006-11-01T00:00:00"/>
    <d v="2006-11-01T00:00:00"/>
    <d v="2021-07-01T00:00:00"/>
    <d v="2021-07-01T00:00:00"/>
    <n v="21"/>
    <m/>
    <s v="6급"/>
    <x v="3"/>
    <n v="4"/>
    <x v="1"/>
    <x v="0"/>
    <n v="1"/>
    <n v="0"/>
    <x v="2"/>
    <n v="19"/>
    <n v="19"/>
    <x v="0"/>
    <n v="5.2"/>
    <x v="1"/>
    <x v="19"/>
    <x v="0"/>
    <s v=""/>
    <x v="0"/>
    <x v="0"/>
    <x v="0"/>
    <s v=""/>
    <x v="0"/>
    <s v=""/>
  </r>
  <r>
    <n v="900405"/>
    <x v="401"/>
    <x v="0"/>
    <n v="25"/>
    <x v="0"/>
    <x v="9"/>
    <x v="1"/>
    <s v="대학회계계약직(사무실무직)"/>
    <s v="대학회계계약직"/>
    <s v="비공무원"/>
    <x v="0"/>
    <s v="Y"/>
    <s v="N"/>
    <d v="2023-01-01T00:00:00"/>
    <d v="2023-01-01T00:00:00"/>
    <d v="2023-01-01T00:00:00"/>
    <d v="2023-01-01T00:00:00"/>
    <m/>
    <m/>
    <s v="대학회계계약직"/>
    <x v="0"/>
    <n v="11"/>
    <x v="0"/>
    <x v="0"/>
    <n v="1"/>
    <n v="0"/>
    <x v="3"/>
    <n v="3"/>
    <n v="3"/>
    <x v="4"/>
    <n v="3.7"/>
    <x v="0"/>
    <x v="0"/>
    <x v="0"/>
    <s v=""/>
    <x v="0"/>
    <x v="0"/>
    <x v="0"/>
    <s v=""/>
    <x v="0"/>
    <s v=""/>
  </r>
  <r>
    <n v="900406"/>
    <x v="402"/>
    <x v="0"/>
    <n v="36"/>
    <x v="0"/>
    <x v="5"/>
    <x v="11"/>
    <s v="대학회계계약직(국제전문직)"/>
    <s v="대학회계계약직"/>
    <s v="비공무원"/>
    <x v="0"/>
    <s v="Y"/>
    <s v="N"/>
    <d v="2019-06-01T00:00:00"/>
    <d v="2026-11-01T00:00:00"/>
    <d v="2026-11-01T00:00:00"/>
    <d v="2026-11-01T00:00:00"/>
    <n v="9"/>
    <m/>
    <s v="대학회계계약직"/>
    <x v="0"/>
    <n v="11"/>
    <x v="0"/>
    <x v="0"/>
    <n v="1"/>
    <n v="0"/>
    <x v="1"/>
    <e v="#NUM!"/>
    <n v="7"/>
    <x v="1"/>
    <n v="0.2"/>
    <x v="0"/>
    <x v="0"/>
    <x v="0"/>
    <s v=""/>
    <x v="0"/>
    <x v="0"/>
    <x v="0"/>
    <s v=""/>
    <x v="0"/>
    <s v=""/>
  </r>
  <r>
    <n v="900407"/>
    <x v="403"/>
    <x v="0"/>
    <n v="33"/>
    <x v="1"/>
    <x v="9"/>
    <x v="4"/>
    <s v="행정주사보"/>
    <s v="일반직"/>
    <s v="공무원"/>
    <x v="0"/>
    <s v="N"/>
    <s v="N"/>
    <d v="2025-05-01T00:00:00"/>
    <d v="2024-11-01T00:00:00"/>
    <d v="2026-02-01T00:00:00"/>
    <d v="2026-02-01T00:00:00"/>
    <n v="2"/>
    <m/>
    <s v="7급"/>
    <x v="1"/>
    <n v="5"/>
    <x v="1"/>
    <x v="0"/>
    <n v="1"/>
    <n v="0"/>
    <x v="1"/>
    <n v="1"/>
    <n v="1"/>
    <x v="5"/>
    <n v="0.6"/>
    <x v="0"/>
    <x v="30"/>
    <x v="0"/>
    <s v=""/>
    <x v="0"/>
    <x v="0"/>
    <x v="0"/>
    <s v=""/>
    <x v="0"/>
    <s v=""/>
  </r>
  <r>
    <n v="900408"/>
    <x v="404"/>
    <x v="0"/>
    <n v="55"/>
    <x v="0"/>
    <x v="10"/>
    <x v="8"/>
    <s v="사서주사보"/>
    <s v="일반직"/>
    <s v="공무원"/>
    <x v="0"/>
    <s v="N"/>
    <s v="N"/>
    <d v="2011-09-01T00:00:00"/>
    <d v="2026-03-01T00:00:00"/>
    <d v="2026-03-01T00:00:00"/>
    <d v="2026-03-01T00:00:00"/>
    <n v="17"/>
    <m/>
    <s v="7급"/>
    <x v="1"/>
    <n v="5"/>
    <x v="1"/>
    <x v="0"/>
    <n v="1"/>
    <n v="0"/>
    <x v="2"/>
    <n v="0"/>
    <n v="15"/>
    <x v="2"/>
    <n v="0.5"/>
    <x v="0"/>
    <x v="5"/>
    <x v="0"/>
    <s v=""/>
    <x v="0"/>
    <x v="0"/>
    <x v="0"/>
    <s v=""/>
    <x v="0"/>
    <s v=""/>
  </r>
  <r>
    <n v="900409"/>
    <x v="405"/>
    <x v="0"/>
    <n v="54"/>
    <x v="0"/>
    <x v="12"/>
    <x v="2"/>
    <s v="행정서기보"/>
    <s v="일반직"/>
    <s v="공무원"/>
    <x v="0"/>
    <s v="N"/>
    <s v="N"/>
    <d v="1999-01-01T00:00:00"/>
    <d v="1999-01-01T00:00:00"/>
    <d v="2015-02-01T00:00:00"/>
    <d v="2015-02-01T00:00:00"/>
    <n v="27"/>
    <m/>
    <s v="9급"/>
    <x v="4"/>
    <n v="7"/>
    <x v="1"/>
    <x v="0"/>
    <n v="1"/>
    <n v="0"/>
    <x v="2"/>
    <n v="27"/>
    <n v="27"/>
    <x v="0"/>
    <n v="11.6"/>
    <x v="2"/>
    <x v="28"/>
    <x v="0"/>
    <s v=""/>
    <x v="0"/>
    <x v="0"/>
    <x v="0"/>
    <s v=""/>
    <x v="0"/>
    <s v=""/>
  </r>
  <r>
    <n v="900410"/>
    <x v="406"/>
    <x v="0"/>
    <n v="55"/>
    <x v="1"/>
    <x v="5"/>
    <x v="0"/>
    <s v="서기관"/>
    <s v="일반직"/>
    <s v="공무원"/>
    <x v="0"/>
    <s v="Y"/>
    <s v="N"/>
    <d v="2001-03-01T00:00:00"/>
    <d v="2023-08-01T00:00:00"/>
    <d v="2024-06-01T00:00:00"/>
    <d v="2024-06-01T00:00:00"/>
    <n v="26"/>
    <m/>
    <s v="4급"/>
    <x v="5"/>
    <n v="1"/>
    <x v="1"/>
    <x v="0"/>
    <n v="1"/>
    <n v="0"/>
    <x v="2"/>
    <n v="3"/>
    <n v="25"/>
    <x v="0"/>
    <n v="2.2999999999999998"/>
    <x v="0"/>
    <x v="5"/>
    <x v="0"/>
    <s v=""/>
    <x v="0"/>
    <x v="0"/>
    <x v="0"/>
    <s v=""/>
    <x v="0"/>
    <s v=""/>
  </r>
  <r>
    <n v="900411"/>
    <x v="407"/>
    <x v="0"/>
    <n v="32"/>
    <x v="1"/>
    <x v="10"/>
    <x v="1"/>
    <s v="전산주사보"/>
    <s v="일반직"/>
    <s v="공무원"/>
    <x v="0"/>
    <s v="N"/>
    <s v="N"/>
    <d v="2025-04-01T00:00:00"/>
    <d v="2025-04-01T00:00:00"/>
    <d v="2025-04-01T00:00:00"/>
    <d v="2025-04-01T00:00:00"/>
    <n v="4"/>
    <m/>
    <s v="7급"/>
    <x v="1"/>
    <n v="5"/>
    <x v="1"/>
    <x v="0"/>
    <n v="1"/>
    <n v="0"/>
    <x v="1"/>
    <n v="1"/>
    <n v="1"/>
    <x v="5"/>
    <n v="1.4"/>
    <x v="0"/>
    <x v="22"/>
    <x v="0"/>
    <s v=""/>
    <x v="0"/>
    <x v="0"/>
    <x v="0"/>
    <s v=""/>
    <x v="0"/>
    <s v=""/>
  </r>
  <r>
    <n v="900412"/>
    <x v="408"/>
    <x v="0"/>
    <n v="33"/>
    <x v="0"/>
    <x v="2"/>
    <x v="3"/>
    <s v="대학회계계약직(기술실무직)"/>
    <s v="대학회계계약직"/>
    <s v="비공무원"/>
    <x v="0"/>
    <s v="Y"/>
    <s v="N"/>
    <d v="2018-08-01T00:00:00"/>
    <d v="2021-06-01T00:00:00"/>
    <d v="2021-06-01T00:00:00"/>
    <d v="2021-06-01T00:00:00"/>
    <n v="8"/>
    <m/>
    <s v="대학회계계약직"/>
    <x v="0"/>
    <n v="11"/>
    <x v="0"/>
    <x v="0"/>
    <n v="1"/>
    <n v="0"/>
    <x v="1"/>
    <n v="5"/>
    <n v="8"/>
    <x v="1"/>
    <n v="5.3"/>
    <x v="1"/>
    <x v="0"/>
    <x v="0"/>
    <s v=""/>
    <x v="0"/>
    <x v="0"/>
    <x v="0"/>
    <s v=""/>
    <x v="0"/>
    <s v=""/>
  </r>
  <r>
    <n v="900413"/>
    <x v="409"/>
    <x v="1"/>
    <n v="40"/>
    <x v="0"/>
    <x v="6"/>
    <x v="0"/>
    <s v="행정서기보"/>
    <s v="일반직"/>
    <s v="공무원"/>
    <x v="0"/>
    <s v="Y"/>
    <s v="N"/>
    <d v="2024-05-01T00:00:00"/>
    <d v="2025-04-01T00:00:00"/>
    <d v="2026-01-01T00:00:00"/>
    <d v="2026-01-01T00:00:00"/>
    <n v="5"/>
    <s v="휴직복직[20250629~99991231], 육아휴직[20260404~20261004]"/>
    <s v="9급"/>
    <x v="4"/>
    <n v="7"/>
    <x v="1"/>
    <x v="0"/>
    <n v="1"/>
    <n v="1"/>
    <x v="0"/>
    <n v="1"/>
    <n v="2"/>
    <x v="1"/>
    <n v="0.7"/>
    <x v="0"/>
    <x v="32"/>
    <x v="0"/>
    <d v="2026-04-04T00:00:00"/>
    <x v="1"/>
    <x v="28"/>
    <x v="7"/>
    <n v="27"/>
    <x v="2"/>
    <s v=""/>
  </r>
  <r>
    <n v="900414"/>
    <x v="410"/>
    <x v="0"/>
    <n v="49"/>
    <x v="1"/>
    <x v="3"/>
    <x v="7"/>
    <s v="대학회계계약직(사무실무직)"/>
    <s v="대학회계계약직"/>
    <s v="비공무원"/>
    <x v="0"/>
    <s v="N"/>
    <s v="N"/>
    <d v="2013-01-01T00:00:00"/>
    <d v="2013-01-01T00:00:00"/>
    <d v="2023-12-01T00:00:00"/>
    <d v="2023-12-01T00:00:00"/>
    <n v="15"/>
    <m/>
    <s v="대학회계계약직"/>
    <x v="0"/>
    <n v="11"/>
    <x v="0"/>
    <x v="0"/>
    <n v="1"/>
    <n v="0"/>
    <x v="0"/>
    <n v="13"/>
    <n v="13"/>
    <x v="2"/>
    <n v="2.8"/>
    <x v="0"/>
    <x v="0"/>
    <x v="0"/>
    <s v=""/>
    <x v="0"/>
    <x v="0"/>
    <x v="0"/>
    <s v=""/>
    <x v="0"/>
    <s v=""/>
  </r>
  <r>
    <n v="900415"/>
    <x v="411"/>
    <x v="0"/>
    <n v="43"/>
    <x v="1"/>
    <x v="3"/>
    <x v="14"/>
    <s v="행정주사"/>
    <s v="일반직"/>
    <s v="공무원"/>
    <x v="0"/>
    <s v="N"/>
    <s v="N"/>
    <d v="2009-05-01T00:00:00"/>
    <d v="2025-02-01T00:00:00"/>
    <d v="2025-02-01T00:00:00"/>
    <d v="2025-02-01T00:00:00"/>
    <n v="17"/>
    <m/>
    <s v="6급"/>
    <x v="3"/>
    <n v="4"/>
    <x v="1"/>
    <x v="0"/>
    <n v="1"/>
    <n v="0"/>
    <x v="0"/>
    <n v="1"/>
    <n v="17"/>
    <x v="2"/>
    <n v="1.6"/>
    <x v="0"/>
    <x v="8"/>
    <x v="0"/>
    <s v=""/>
    <x v="0"/>
    <x v="0"/>
    <x v="0"/>
    <s v=""/>
    <x v="0"/>
    <s v=""/>
  </r>
  <r>
    <n v="900416"/>
    <x v="250"/>
    <x v="0"/>
    <n v="45"/>
    <x v="1"/>
    <x v="13"/>
    <x v="4"/>
    <s v="대학회계계약직(전산전문직)"/>
    <s v="대학회계계약직"/>
    <s v="비공무원"/>
    <x v="0"/>
    <s v="N"/>
    <s v="N"/>
    <d v="2022-05-01T00:00:00"/>
    <d v="2022-05-01T00:00:00"/>
    <d v="2022-05-01T00:00:00"/>
    <d v="2022-05-01T00:00:00"/>
    <n v="4"/>
    <m/>
    <s v="대학회계계약직"/>
    <x v="0"/>
    <n v="11"/>
    <x v="0"/>
    <x v="0"/>
    <n v="1"/>
    <n v="0"/>
    <x v="0"/>
    <n v="4"/>
    <n v="4"/>
    <x v="5"/>
    <n v="4.4000000000000004"/>
    <x v="0"/>
    <x v="0"/>
    <x v="0"/>
    <s v=""/>
    <x v="0"/>
    <x v="0"/>
    <x v="0"/>
    <s v=""/>
    <x v="0"/>
    <s v=""/>
  </r>
  <r>
    <n v="900417"/>
    <x v="412"/>
    <x v="0"/>
    <n v="50"/>
    <x v="1"/>
    <x v="4"/>
    <x v="4"/>
    <s v="대학회계계약직(기술실무직)"/>
    <s v="대학회계계약직"/>
    <s v="비공무원"/>
    <x v="0"/>
    <s v="Y"/>
    <s v="N"/>
    <d v="2012-09-01T00:00:00"/>
    <d v="2026-12-01T00:00:00"/>
    <d v="2026-12-01T00:00:00"/>
    <d v="2026-12-01T00:00:00"/>
    <n v="14"/>
    <s v="휴직복직[20231224~99991231]"/>
    <s v="대학회계계약직"/>
    <x v="0"/>
    <n v="11"/>
    <x v="0"/>
    <x v="0"/>
    <n v="1"/>
    <n v="0"/>
    <x v="2"/>
    <e v="#NUM!"/>
    <n v="14"/>
    <x v="2"/>
    <n v="0.2"/>
    <x v="0"/>
    <x v="0"/>
    <x v="0"/>
    <s v=""/>
    <x v="0"/>
    <x v="0"/>
    <x v="0"/>
    <s v=""/>
    <x v="0"/>
    <s v=""/>
  </r>
  <r>
    <n v="900418"/>
    <x v="413"/>
    <x v="0"/>
    <n v="27"/>
    <x v="1"/>
    <x v="9"/>
    <x v="11"/>
    <s v="대학회계계약직(사무실무직)"/>
    <s v="대학회계계약직"/>
    <s v="비공무원"/>
    <x v="0"/>
    <s v="Y"/>
    <s v="N"/>
    <d v="2024-10-01T00:00:00"/>
    <d v="2024-04-01T00:00:00"/>
    <d v="2024-04-01T00:00:00"/>
    <d v="2024-04-01T00:00:00"/>
    <m/>
    <m/>
    <s v="대학회계계약직"/>
    <x v="0"/>
    <n v="11"/>
    <x v="0"/>
    <x v="0"/>
    <n v="1"/>
    <n v="0"/>
    <x v="3"/>
    <n v="2"/>
    <n v="1"/>
    <x v="4"/>
    <n v="2.4"/>
    <x v="0"/>
    <x v="0"/>
    <x v="0"/>
    <s v=""/>
    <x v="0"/>
    <x v="0"/>
    <x v="0"/>
    <s v=""/>
    <x v="0"/>
    <s v=""/>
  </r>
  <r>
    <n v="900419"/>
    <x v="414"/>
    <x v="0"/>
    <n v="50"/>
    <x v="1"/>
    <x v="15"/>
    <x v="14"/>
    <s v="사서주사보"/>
    <s v="일반직"/>
    <s v="공무원"/>
    <x v="0"/>
    <s v="Y"/>
    <s v="N"/>
    <d v="2010-04-01T00:00:00"/>
    <d v="2010-04-01T00:00:00"/>
    <d v="2021-10-01T00:00:00"/>
    <d v="2021-10-01T00:00:00"/>
    <n v="18"/>
    <m/>
    <s v="7급"/>
    <x v="1"/>
    <n v="5"/>
    <x v="1"/>
    <x v="0"/>
    <n v="1"/>
    <n v="0"/>
    <x v="2"/>
    <n v="16"/>
    <n v="16"/>
    <x v="2"/>
    <n v="4.9000000000000004"/>
    <x v="0"/>
    <x v="14"/>
    <x v="0"/>
    <s v=""/>
    <x v="0"/>
    <x v="0"/>
    <x v="0"/>
    <s v=""/>
    <x v="0"/>
    <s v=""/>
  </r>
  <r>
    <n v="900420"/>
    <x v="415"/>
    <x v="0"/>
    <n v="34"/>
    <x v="1"/>
    <x v="2"/>
    <x v="14"/>
    <s v="행정주사보"/>
    <s v="일반직"/>
    <s v="공무원"/>
    <x v="0"/>
    <s v="Y"/>
    <s v="N"/>
    <d v="2014-08-01T00:00:00"/>
    <d v="2014-08-01T00:00:00"/>
    <d v="2014-08-01T00:00:00"/>
    <d v="2014-08-01T00:00:00"/>
    <n v="12"/>
    <m/>
    <s v="7급"/>
    <x v="1"/>
    <n v="5"/>
    <x v="1"/>
    <x v="0"/>
    <n v="1"/>
    <n v="0"/>
    <x v="1"/>
    <n v="12"/>
    <n v="12"/>
    <x v="2"/>
    <n v="12.1"/>
    <x v="2"/>
    <x v="36"/>
    <x v="0"/>
    <s v=""/>
    <x v="0"/>
    <x v="0"/>
    <x v="0"/>
    <s v=""/>
    <x v="0"/>
    <s v=""/>
  </r>
  <r>
    <n v="900421"/>
    <x v="416"/>
    <x v="0"/>
    <n v="49"/>
    <x v="1"/>
    <x v="14"/>
    <x v="0"/>
    <s v="행정서기"/>
    <s v="일반직"/>
    <s v="공무원"/>
    <x v="0"/>
    <s v="N"/>
    <s v="N"/>
    <d v="2016-01-01T00:00:00"/>
    <d v="2016-01-01T00:00:00"/>
    <d v="2025-01-01T00:00:00"/>
    <d v="2025-01-01T00:00:00"/>
    <n v="13"/>
    <m/>
    <s v="8급"/>
    <x v="9"/>
    <n v="6"/>
    <x v="1"/>
    <x v="0"/>
    <n v="1"/>
    <n v="0"/>
    <x v="0"/>
    <n v="10"/>
    <n v="10"/>
    <x v="2"/>
    <n v="1.7"/>
    <x v="0"/>
    <x v="11"/>
    <x v="0"/>
    <s v=""/>
    <x v="0"/>
    <x v="0"/>
    <x v="0"/>
    <s v=""/>
    <x v="0"/>
    <s v=""/>
  </r>
  <r>
    <n v="900422"/>
    <x v="417"/>
    <x v="0"/>
    <n v="58"/>
    <x v="0"/>
    <x v="7"/>
    <x v="8"/>
    <s v="행정주사"/>
    <s v="일반직"/>
    <s v="공무원"/>
    <x v="0"/>
    <s v="N"/>
    <s v="N"/>
    <d v="1991-05-01T00:00:00"/>
    <d v="1991-05-01T00:00:00"/>
    <d v="2018-06-01T00:00:00"/>
    <d v="2018-06-01T00:00:00"/>
    <n v="37"/>
    <m/>
    <s v="6급"/>
    <x v="3"/>
    <n v="4"/>
    <x v="1"/>
    <x v="0"/>
    <n v="1"/>
    <n v="0"/>
    <x v="2"/>
    <n v="35"/>
    <n v="35"/>
    <x v="3"/>
    <n v="8.3000000000000007"/>
    <x v="1"/>
    <x v="34"/>
    <x v="0"/>
    <s v=""/>
    <x v="0"/>
    <x v="0"/>
    <x v="0"/>
    <s v=""/>
    <x v="0"/>
    <s v=""/>
  </r>
  <r>
    <n v="900423"/>
    <x v="418"/>
    <x v="0"/>
    <n v="24"/>
    <x v="0"/>
    <x v="3"/>
    <x v="4"/>
    <s v="대학회계계약직(사무실무직)"/>
    <s v="대학회계계약직"/>
    <s v="비공무원"/>
    <x v="0"/>
    <s v="Y"/>
    <s v="N"/>
    <d v="2024-02-01T00:00:00"/>
    <d v="2024-02-01T00:00:00"/>
    <d v="2024-02-01T00:00:00"/>
    <d v="2024-02-01T00:00:00"/>
    <n v="5"/>
    <m/>
    <s v="대학회계계약직"/>
    <x v="0"/>
    <n v="11"/>
    <x v="0"/>
    <x v="0"/>
    <n v="1"/>
    <n v="0"/>
    <x v="3"/>
    <n v="2"/>
    <n v="2"/>
    <x v="1"/>
    <n v="2.6"/>
    <x v="0"/>
    <x v="0"/>
    <x v="0"/>
    <s v=""/>
    <x v="0"/>
    <x v="0"/>
    <x v="0"/>
    <s v=""/>
    <x v="0"/>
    <s v=""/>
  </r>
  <r>
    <n v="900424"/>
    <x v="419"/>
    <x v="0"/>
    <n v="26"/>
    <x v="1"/>
    <x v="5"/>
    <x v="7"/>
    <s v="행정인턴"/>
    <s v="인턴(수습)"/>
    <s v="비공무원"/>
    <x v="0"/>
    <s v="Y"/>
    <s v="N"/>
    <d v="2024-06-01T00:00:00"/>
    <d v="2024-06-01T00:00:00"/>
    <d v="2024-06-01T00:00:00"/>
    <d v="2024-06-01T00:00:00"/>
    <m/>
    <m/>
    <s v="인턴"/>
    <x v="8"/>
    <n v="13"/>
    <x v="2"/>
    <x v="1"/>
    <n v="1"/>
    <n v="0"/>
    <x v="3"/>
    <n v="2"/>
    <n v="2"/>
    <x v="4"/>
    <n v="2.2999999999999998"/>
    <x v="0"/>
    <x v="0"/>
    <x v="0"/>
    <s v=""/>
    <x v="0"/>
    <x v="0"/>
    <x v="0"/>
    <s v=""/>
    <x v="0"/>
    <s v=""/>
  </r>
  <r>
    <n v="900425"/>
    <x v="420"/>
    <x v="0"/>
    <n v="39"/>
    <x v="1"/>
    <x v="0"/>
    <x v="1"/>
    <s v="사서주사"/>
    <s v="일반직"/>
    <s v="공무원"/>
    <x v="0"/>
    <s v="Y"/>
    <s v="N"/>
    <d v="2018-05-01T00:00:00"/>
    <d v="2018-05-01T00:00:00"/>
    <d v="2020-11-01T00:00:00"/>
    <d v="2020-11-01T00:00:00"/>
    <n v="8"/>
    <m/>
    <s v="6급"/>
    <x v="3"/>
    <n v="4"/>
    <x v="1"/>
    <x v="0"/>
    <n v="1"/>
    <n v="0"/>
    <x v="1"/>
    <n v="8"/>
    <n v="8"/>
    <x v="1"/>
    <n v="5.9"/>
    <x v="1"/>
    <x v="3"/>
    <x v="0"/>
    <s v=""/>
    <x v="0"/>
    <x v="0"/>
    <x v="0"/>
    <s v=""/>
    <x v="0"/>
    <s v=""/>
  </r>
  <r>
    <n v="900426"/>
    <x v="421"/>
    <x v="1"/>
    <n v="51"/>
    <x v="0"/>
    <x v="10"/>
    <x v="2"/>
    <s v="사서주사보"/>
    <s v="일반직"/>
    <s v="공무원"/>
    <x v="0"/>
    <s v="Y"/>
    <s v="N"/>
    <d v="1998-05-01T00:00:00"/>
    <d v="1998-05-01T00:00:00"/>
    <d v="2021-06-01T00:00:00"/>
    <d v="2021-06-01T00:00:00"/>
    <n v="30"/>
    <s v="휴직복직[20230706~99991231], 휴직복직[20231006~99991231], 유학휴직[20251020~20261020]"/>
    <s v="7급"/>
    <x v="1"/>
    <n v="5"/>
    <x v="1"/>
    <x v="0"/>
    <n v="1"/>
    <n v="1"/>
    <x v="2"/>
    <n v="28"/>
    <n v="28"/>
    <x v="3"/>
    <n v="5.3"/>
    <x v="1"/>
    <x v="4"/>
    <x v="0"/>
    <d v="2025-10-20T00:00:00"/>
    <x v="6"/>
    <x v="29"/>
    <x v="7"/>
    <n v="43"/>
    <x v="2"/>
    <s v=""/>
  </r>
  <r>
    <n v="900427"/>
    <x v="422"/>
    <x v="0"/>
    <n v="21"/>
    <x v="1"/>
    <x v="2"/>
    <x v="13"/>
    <s v="사회복무요원"/>
    <s v="사회복무요원"/>
    <s v="비공무원"/>
    <x v="0"/>
    <s v="N"/>
    <s v="N"/>
    <d v="2026-06-01T00:00:00"/>
    <d v="2026-06-01T00:00:00"/>
    <d v="2026-06-01T00:00:00"/>
    <d v="2026-06-01T00:00:00"/>
    <m/>
    <m/>
    <s v="사회복무요원"/>
    <x v="6"/>
    <n v="12"/>
    <x v="2"/>
    <x v="1"/>
    <n v="1"/>
    <n v="0"/>
    <x v="3"/>
    <n v="0"/>
    <n v="0"/>
    <x v="4"/>
    <n v="0.3"/>
    <x v="0"/>
    <x v="0"/>
    <x v="0"/>
    <s v=""/>
    <x v="0"/>
    <x v="0"/>
    <x v="0"/>
    <s v=""/>
    <x v="0"/>
    <s v=""/>
  </r>
  <r>
    <n v="900428"/>
    <x v="423"/>
    <x v="0"/>
    <n v="47"/>
    <x v="1"/>
    <x v="7"/>
    <x v="9"/>
    <s v="행정서기"/>
    <s v="일반직"/>
    <s v="공무원"/>
    <x v="0"/>
    <s v="Y"/>
    <s v="N"/>
    <d v="2002-06-01T00:00:00"/>
    <d v="2002-06-01T00:00:00"/>
    <d v="2014-02-01T00:00:00"/>
    <d v="2014-02-01T00:00:00"/>
    <n v="27"/>
    <m/>
    <s v="8급"/>
    <x v="9"/>
    <n v="6"/>
    <x v="1"/>
    <x v="0"/>
    <n v="1"/>
    <n v="0"/>
    <x v="0"/>
    <n v="24"/>
    <n v="24"/>
    <x v="0"/>
    <n v="12.6"/>
    <x v="2"/>
    <x v="25"/>
    <x v="0"/>
    <s v=""/>
    <x v="0"/>
    <x v="0"/>
    <x v="0"/>
    <s v=""/>
    <x v="0"/>
    <s v=""/>
  </r>
  <r>
    <n v="900429"/>
    <x v="424"/>
    <x v="0"/>
    <n v="32"/>
    <x v="0"/>
    <x v="10"/>
    <x v="4"/>
    <s v="행정주사보"/>
    <s v="일반직"/>
    <s v="공무원"/>
    <x v="0"/>
    <s v="Y"/>
    <s v="N"/>
    <d v="2019-10-01T00:00:00"/>
    <d v="2019-10-01T00:00:00"/>
    <d v="2026-04-01T00:00:00"/>
    <d v="2026-04-01T00:00:00"/>
    <n v="9"/>
    <m/>
    <s v="7급"/>
    <x v="1"/>
    <n v="5"/>
    <x v="1"/>
    <x v="0"/>
    <n v="1"/>
    <n v="0"/>
    <x v="1"/>
    <n v="6"/>
    <n v="6"/>
    <x v="1"/>
    <n v="0.4"/>
    <x v="0"/>
    <x v="22"/>
    <x v="0"/>
    <s v=""/>
    <x v="0"/>
    <x v="0"/>
    <x v="0"/>
    <s v=""/>
    <x v="0"/>
    <s v=""/>
  </r>
  <r>
    <n v="900430"/>
    <x v="425"/>
    <x v="0"/>
    <n v="39"/>
    <x v="1"/>
    <x v="8"/>
    <x v="5"/>
    <s v="행정주사"/>
    <s v="일반직"/>
    <s v="공무원"/>
    <x v="0"/>
    <s v="N"/>
    <s v="N"/>
    <d v="2010-12-01T00:00:00"/>
    <d v="2010-12-01T00:00:00"/>
    <d v="2026-10-01T00:00:00"/>
    <d v="2026-10-01T00:00:00"/>
    <m/>
    <s v="휴직복직[20240404~99991231]"/>
    <s v="6급"/>
    <x v="3"/>
    <n v="4"/>
    <x v="1"/>
    <x v="0"/>
    <n v="1"/>
    <n v="0"/>
    <x v="1"/>
    <n v="15"/>
    <n v="15"/>
    <x v="4"/>
    <n v="0.1"/>
    <x v="0"/>
    <x v="3"/>
    <x v="0"/>
    <s v=""/>
    <x v="0"/>
    <x v="0"/>
    <x v="0"/>
    <s v=""/>
    <x v="0"/>
    <s v=""/>
  </r>
  <r>
    <n v="900431"/>
    <x v="426"/>
    <x v="0"/>
    <n v="54"/>
    <x v="0"/>
    <x v="1"/>
    <x v="1"/>
    <s v="서기관(일반임기제)"/>
    <s v="일반직"/>
    <s v="공무원"/>
    <x v="0"/>
    <s v="Y"/>
    <s v="N"/>
    <d v="2011-11-01T00:00:00"/>
    <d v="2011-11-01T00:00:00"/>
    <d v="2024-05-01T00:00:00"/>
    <d v="2024-05-01T00:00:00"/>
    <m/>
    <m/>
    <s v="4급(임기제)"/>
    <x v="5"/>
    <n v="2"/>
    <x v="1"/>
    <x v="0"/>
    <n v="1"/>
    <n v="0"/>
    <x v="2"/>
    <n v="14"/>
    <n v="14"/>
    <x v="4"/>
    <n v="2.4"/>
    <x v="0"/>
    <x v="28"/>
    <x v="0"/>
    <s v=""/>
    <x v="0"/>
    <x v="0"/>
    <x v="0"/>
    <s v=""/>
    <x v="0"/>
    <s v=""/>
  </r>
  <r>
    <n v="900432"/>
    <x v="427"/>
    <x v="0"/>
    <n v="53"/>
    <x v="0"/>
    <x v="12"/>
    <x v="12"/>
    <s v="대학회계계약직(사무실무직)"/>
    <s v="대학회계계약직"/>
    <s v="비공무원"/>
    <x v="0"/>
    <s v="N"/>
    <s v="N"/>
    <d v="2002-11-01T00:00:00"/>
    <d v="2002-11-01T00:00:00"/>
    <d v="2016-05-01T00:00:00"/>
    <d v="2016-05-01T00:00:00"/>
    <n v="26"/>
    <m/>
    <s v="대학회계계약직"/>
    <x v="0"/>
    <n v="11"/>
    <x v="0"/>
    <x v="0"/>
    <n v="1"/>
    <n v="0"/>
    <x v="2"/>
    <n v="23"/>
    <n v="23"/>
    <x v="0"/>
    <n v="10.4"/>
    <x v="2"/>
    <x v="0"/>
    <x v="0"/>
    <s v=""/>
    <x v="0"/>
    <x v="0"/>
    <x v="0"/>
    <s v=""/>
    <x v="0"/>
    <s v=""/>
  </r>
  <r>
    <n v="900433"/>
    <x v="428"/>
    <x v="0"/>
    <n v="44"/>
    <x v="0"/>
    <x v="5"/>
    <x v="10"/>
    <s v="행정서기보"/>
    <s v="일반직"/>
    <s v="공무원"/>
    <x v="0"/>
    <s v="Y"/>
    <s v="N"/>
    <d v="2017-01-01T00:00:00"/>
    <d v="2017-01-01T00:00:00"/>
    <d v="2017-01-01T00:00:00"/>
    <d v="2017-01-01T00:00:00"/>
    <n v="12"/>
    <m/>
    <s v="9급"/>
    <x v="4"/>
    <n v="7"/>
    <x v="1"/>
    <x v="0"/>
    <n v="1"/>
    <n v="0"/>
    <x v="0"/>
    <n v="9"/>
    <n v="9"/>
    <x v="2"/>
    <n v="9.6999999999999993"/>
    <x v="1"/>
    <x v="7"/>
    <x v="0"/>
    <s v=""/>
    <x v="0"/>
    <x v="0"/>
    <x v="0"/>
    <s v=""/>
    <x v="0"/>
    <s v=""/>
  </r>
  <r>
    <n v="900434"/>
    <x v="429"/>
    <x v="0"/>
    <n v="35"/>
    <x v="1"/>
    <x v="4"/>
    <x v="9"/>
    <s v="사서서기"/>
    <s v="일반직"/>
    <s v="공무원"/>
    <x v="0"/>
    <s v="Y"/>
    <s v="N"/>
    <d v="2025-11-01T00:00:00"/>
    <d v="2026-12-01T00:00:00"/>
    <d v="2026-12-01T00:00:00"/>
    <d v="2026-12-01T00:00:00"/>
    <n v="4"/>
    <m/>
    <s v="8급"/>
    <x v="9"/>
    <n v="6"/>
    <x v="1"/>
    <x v="0"/>
    <n v="1"/>
    <n v="0"/>
    <x v="1"/>
    <e v="#NUM!"/>
    <n v="0"/>
    <x v="5"/>
    <n v="0.2"/>
    <x v="0"/>
    <x v="33"/>
    <x v="0"/>
    <s v=""/>
    <x v="0"/>
    <x v="0"/>
    <x v="0"/>
    <s v=""/>
    <x v="0"/>
    <s v=""/>
  </r>
  <r>
    <n v="900435"/>
    <x v="430"/>
    <x v="0"/>
    <n v="48"/>
    <x v="1"/>
    <x v="11"/>
    <x v="3"/>
    <s v="대학회계계약직(국제전문직)"/>
    <s v="대학회계계약직"/>
    <s v="비공무원"/>
    <x v="0"/>
    <s v="Y"/>
    <s v="N"/>
    <d v="2021-10-01T00:00:00"/>
    <d v="2022-02-01T00:00:00"/>
    <d v="2026-05-01T00:00:00"/>
    <d v="2026-05-01T00:00:00"/>
    <n v="6"/>
    <m/>
    <s v="대학회계계약직"/>
    <x v="0"/>
    <n v="11"/>
    <x v="0"/>
    <x v="0"/>
    <n v="1"/>
    <n v="0"/>
    <x v="0"/>
    <n v="4"/>
    <n v="4"/>
    <x v="1"/>
    <n v="0.4"/>
    <x v="0"/>
    <x v="0"/>
    <x v="0"/>
    <s v=""/>
    <x v="0"/>
    <x v="0"/>
    <x v="0"/>
    <s v=""/>
    <x v="0"/>
    <s v=""/>
  </r>
  <r>
    <n v="900436"/>
    <x v="431"/>
    <x v="0"/>
    <n v="51"/>
    <x v="1"/>
    <x v="8"/>
    <x v="11"/>
    <s v="서기관"/>
    <s v="일반직"/>
    <s v="공무원"/>
    <x v="0"/>
    <s v="Y"/>
    <s v="N"/>
    <d v="2001-09-01T00:00:00"/>
    <d v="2025-08-01T00:00:00"/>
    <d v="2025-08-01T00:00:00"/>
    <d v="2025-08-01T00:00:00"/>
    <n v="26"/>
    <m/>
    <s v="4급"/>
    <x v="5"/>
    <n v="1"/>
    <x v="1"/>
    <x v="0"/>
    <n v="1"/>
    <n v="0"/>
    <x v="2"/>
    <n v="1"/>
    <n v="25"/>
    <x v="0"/>
    <n v="1.1000000000000001"/>
    <x v="0"/>
    <x v="4"/>
    <x v="0"/>
    <s v=""/>
    <x v="0"/>
    <x v="0"/>
    <x v="0"/>
    <s v=""/>
    <x v="0"/>
    <s v=""/>
  </r>
  <r>
    <n v="900437"/>
    <x v="432"/>
    <x v="0"/>
    <n v="32"/>
    <x v="0"/>
    <x v="4"/>
    <x v="4"/>
    <s v="대학회계계약직(사무실무직)"/>
    <s v="대학회계계약직"/>
    <s v="비공무원"/>
    <x v="0"/>
    <s v="Y"/>
    <s v="N"/>
    <d v="2021-12-01T00:00:00"/>
    <d v="2021-12-01T00:00:00"/>
    <d v="2021-12-01T00:00:00"/>
    <d v="2021-12-01T00:00:00"/>
    <n v="7"/>
    <m/>
    <s v="대학회계계약직"/>
    <x v="0"/>
    <n v="11"/>
    <x v="0"/>
    <x v="0"/>
    <n v="1"/>
    <n v="0"/>
    <x v="1"/>
    <n v="4"/>
    <n v="4"/>
    <x v="1"/>
    <n v="4.8"/>
    <x v="0"/>
    <x v="0"/>
    <x v="0"/>
    <s v=""/>
    <x v="0"/>
    <x v="0"/>
    <x v="0"/>
    <s v=""/>
    <x v="0"/>
    <s v=""/>
  </r>
  <r>
    <n v="900438"/>
    <x v="433"/>
    <x v="0"/>
    <n v="26"/>
    <x v="1"/>
    <x v="10"/>
    <x v="9"/>
    <s v="사회복무요원"/>
    <s v="사회복무요원"/>
    <s v="비공무원"/>
    <x v="0"/>
    <s v="Y"/>
    <s v="N"/>
    <d v="2022-08-01T00:00:00"/>
    <d v="2022-08-01T00:00:00"/>
    <d v="2022-08-01T00:00:00"/>
    <d v="2022-08-01T00:00:00"/>
    <m/>
    <m/>
    <s v="사회복무요원"/>
    <x v="6"/>
    <n v="12"/>
    <x v="2"/>
    <x v="1"/>
    <n v="1"/>
    <n v="0"/>
    <x v="3"/>
    <n v="4"/>
    <n v="4"/>
    <x v="4"/>
    <n v="4.0999999999999996"/>
    <x v="0"/>
    <x v="0"/>
    <x v="0"/>
    <s v=""/>
    <x v="0"/>
    <x v="0"/>
    <x v="0"/>
    <s v=""/>
    <x v="0"/>
    <s v=""/>
  </r>
  <r>
    <n v="900439"/>
    <x v="434"/>
    <x v="0"/>
    <n v="26"/>
    <x v="1"/>
    <x v="9"/>
    <x v="0"/>
    <s v="대학회계계약직(국제전문직)"/>
    <s v="대학회계계약직"/>
    <s v="비공무원"/>
    <x v="0"/>
    <s v="N"/>
    <s v="N"/>
    <d v="2023-04-01T00:00:00"/>
    <d v="2021-12-01T00:00:00"/>
    <d v="2024-07-01T00:00:00"/>
    <d v="2024-07-01T00:00:00"/>
    <n v="5"/>
    <m/>
    <s v="대학회계계약직"/>
    <x v="0"/>
    <n v="11"/>
    <x v="0"/>
    <x v="0"/>
    <n v="1"/>
    <n v="0"/>
    <x v="3"/>
    <n v="4"/>
    <n v="3"/>
    <x v="1"/>
    <n v="2.2000000000000002"/>
    <x v="0"/>
    <x v="0"/>
    <x v="0"/>
    <s v=""/>
    <x v="0"/>
    <x v="0"/>
    <x v="0"/>
    <s v=""/>
    <x v="0"/>
    <s v=""/>
  </r>
  <r>
    <n v="900440"/>
    <x v="435"/>
    <x v="0"/>
    <n v="59"/>
    <x v="0"/>
    <x v="1"/>
    <x v="10"/>
    <s v="행정주사"/>
    <s v="일반직"/>
    <s v="공무원"/>
    <x v="0"/>
    <s v="Y"/>
    <s v="N"/>
    <d v="2001-09-01T00:00:00"/>
    <d v="2001-09-01T00:00:00"/>
    <d v="2023-10-01T00:00:00"/>
    <d v="2023-10-01T00:00:00"/>
    <n v="28"/>
    <m/>
    <s v="6급"/>
    <x v="3"/>
    <n v="4"/>
    <x v="1"/>
    <x v="0"/>
    <n v="1"/>
    <n v="0"/>
    <x v="2"/>
    <n v="25"/>
    <n v="25"/>
    <x v="0"/>
    <n v="2.9"/>
    <x v="0"/>
    <x v="19"/>
    <x v="0"/>
    <s v=""/>
    <x v="0"/>
    <x v="0"/>
    <x v="0"/>
    <s v=""/>
    <x v="0"/>
    <s v=""/>
  </r>
  <r>
    <n v="900441"/>
    <x v="436"/>
    <x v="0"/>
    <n v="46"/>
    <x v="0"/>
    <x v="14"/>
    <x v="14"/>
    <s v="대학회계직7급(사무원)"/>
    <s v="대학회계직"/>
    <s v="비공무원"/>
    <x v="0"/>
    <s v="Y"/>
    <s v="N"/>
    <d v="2017-09-01T00:00:00"/>
    <d v="2017-09-01T00:00:00"/>
    <d v="2025-06-01T00:00:00"/>
    <d v="2025-06-01T00:00:00"/>
    <n v="11"/>
    <s v="휴직복직[20240202~99991231]"/>
    <s v="대학회계직"/>
    <x v="10"/>
    <n v="10"/>
    <x v="3"/>
    <x v="0"/>
    <n v="1"/>
    <n v="0"/>
    <x v="0"/>
    <n v="9"/>
    <n v="9"/>
    <x v="2"/>
    <n v="1.3"/>
    <x v="0"/>
    <x v="0"/>
    <x v="0"/>
    <s v=""/>
    <x v="0"/>
    <x v="0"/>
    <x v="0"/>
    <s v=""/>
    <x v="0"/>
    <s v=""/>
  </r>
  <r>
    <n v="900442"/>
    <x v="437"/>
    <x v="0"/>
    <n v="44"/>
    <x v="0"/>
    <x v="8"/>
    <x v="10"/>
    <s v="행정서기"/>
    <s v="일반직"/>
    <s v="공무원"/>
    <x v="0"/>
    <s v="Y"/>
    <s v="N"/>
    <d v="2007-05-01T00:00:00"/>
    <d v="2007-05-01T00:00:00"/>
    <d v="2014-12-01T00:00:00"/>
    <d v="2014-12-01T00:00:00"/>
    <n v="20"/>
    <m/>
    <s v="8급"/>
    <x v="9"/>
    <n v="6"/>
    <x v="1"/>
    <x v="0"/>
    <n v="1"/>
    <n v="0"/>
    <x v="0"/>
    <n v="19"/>
    <n v="19"/>
    <x v="0"/>
    <n v="11.8"/>
    <x v="2"/>
    <x v="7"/>
    <x v="0"/>
    <s v=""/>
    <x v="0"/>
    <x v="0"/>
    <x v="0"/>
    <s v=""/>
    <x v="0"/>
    <s v=""/>
  </r>
  <r>
    <n v="900443"/>
    <x v="438"/>
    <x v="0"/>
    <n v="53"/>
    <x v="0"/>
    <x v="4"/>
    <x v="0"/>
    <s v="대학회계직6급(사무원)"/>
    <s v="대학회계직"/>
    <s v="비공무원"/>
    <x v="0"/>
    <s v="Y"/>
    <s v="N"/>
    <d v="2013-02-01T00:00:00"/>
    <d v="2013-02-01T00:00:00"/>
    <d v="2013-09-01T00:00:00"/>
    <d v="2013-09-01T00:00:00"/>
    <n v="15"/>
    <m/>
    <s v="대학회계직"/>
    <x v="10"/>
    <n v="10"/>
    <x v="3"/>
    <x v="0"/>
    <n v="1"/>
    <n v="0"/>
    <x v="2"/>
    <n v="13"/>
    <n v="13"/>
    <x v="2"/>
    <n v="13"/>
    <x v="2"/>
    <x v="0"/>
    <x v="0"/>
    <s v=""/>
    <x v="0"/>
    <x v="0"/>
    <x v="0"/>
    <s v=""/>
    <x v="0"/>
    <s v=""/>
  </r>
  <r>
    <n v="900444"/>
    <x v="439"/>
    <x v="0"/>
    <n v="36"/>
    <x v="0"/>
    <x v="4"/>
    <x v="4"/>
    <s v="행정주사보"/>
    <s v="일반직"/>
    <s v="공무원"/>
    <x v="0"/>
    <s v="Y"/>
    <s v="N"/>
    <d v="2025-01-01T00:00:00"/>
    <d v="2025-01-01T00:00:00"/>
    <d v="2025-01-01T00:00:00"/>
    <d v="2025-01-01T00:00:00"/>
    <n v="3"/>
    <m/>
    <s v="7급"/>
    <x v="1"/>
    <n v="5"/>
    <x v="1"/>
    <x v="0"/>
    <n v="1"/>
    <n v="0"/>
    <x v="1"/>
    <n v="1"/>
    <n v="1"/>
    <x v="5"/>
    <n v="1.7"/>
    <x v="0"/>
    <x v="13"/>
    <x v="0"/>
    <s v=""/>
    <x v="0"/>
    <x v="0"/>
    <x v="0"/>
    <s v=""/>
    <x v="0"/>
    <s v=""/>
  </r>
  <r>
    <n v="900445"/>
    <x v="440"/>
    <x v="0"/>
    <n v="27"/>
    <x v="0"/>
    <x v="15"/>
    <x v="10"/>
    <s v="대학회계직7급(사무원)"/>
    <s v="대학회계직"/>
    <s v="비공무원"/>
    <x v="0"/>
    <s v="N"/>
    <s v="N"/>
    <d v="2024-04-01T00:00:00"/>
    <d v="2026-09-01T00:00:00"/>
    <d v="2026-09-01T00:00:00"/>
    <d v="2026-09-01T00:00:00"/>
    <m/>
    <m/>
    <s v="대학회계직"/>
    <x v="10"/>
    <n v="10"/>
    <x v="3"/>
    <x v="0"/>
    <n v="1"/>
    <n v="0"/>
    <x v="3"/>
    <n v="0"/>
    <n v="2"/>
    <x v="4"/>
    <n v="0"/>
    <x v="0"/>
    <x v="0"/>
    <x v="0"/>
    <s v=""/>
    <x v="0"/>
    <x v="0"/>
    <x v="0"/>
    <s v=""/>
    <x v="0"/>
    <s v=""/>
  </r>
  <r>
    <n v="900446"/>
    <x v="441"/>
    <x v="0"/>
    <n v="50"/>
    <x v="0"/>
    <x v="10"/>
    <x v="7"/>
    <s v="공업주사"/>
    <s v="일반직"/>
    <s v="공무원"/>
    <x v="0"/>
    <s v="Y"/>
    <s v="N"/>
    <d v="2000-02-01T00:00:00"/>
    <d v="2000-02-01T00:00:00"/>
    <d v="2022-06-01T00:00:00"/>
    <d v="2022-06-01T00:00:00"/>
    <m/>
    <m/>
    <s v="6급"/>
    <x v="3"/>
    <n v="4"/>
    <x v="1"/>
    <x v="0"/>
    <n v="1"/>
    <n v="0"/>
    <x v="2"/>
    <n v="26"/>
    <n v="26"/>
    <x v="4"/>
    <n v="4.3"/>
    <x v="0"/>
    <x v="14"/>
    <x v="0"/>
    <s v=""/>
    <x v="0"/>
    <x v="0"/>
    <x v="0"/>
    <s v=""/>
    <x v="0"/>
    <s v=""/>
  </r>
  <r>
    <n v="900447"/>
    <x v="442"/>
    <x v="0"/>
    <n v="43"/>
    <x v="0"/>
    <x v="15"/>
    <x v="0"/>
    <s v="행정주사보"/>
    <s v="일반직"/>
    <s v="공무원"/>
    <x v="0"/>
    <s v="Y"/>
    <s v="N"/>
    <d v="2018-07-01T00:00:00"/>
    <d v="2024-11-01T00:00:00"/>
    <d v="2024-11-01T00:00:00"/>
    <d v="2024-11-01T00:00:00"/>
    <n v="8"/>
    <m/>
    <s v="7급"/>
    <x v="1"/>
    <n v="5"/>
    <x v="1"/>
    <x v="0"/>
    <n v="1"/>
    <n v="0"/>
    <x v="0"/>
    <n v="1"/>
    <n v="8"/>
    <x v="1"/>
    <n v="1.9"/>
    <x v="0"/>
    <x v="8"/>
    <x v="0"/>
    <s v=""/>
    <x v="0"/>
    <x v="0"/>
    <x v="0"/>
    <s v=""/>
    <x v="0"/>
    <s v=""/>
  </r>
  <r>
    <n v="900448"/>
    <x v="443"/>
    <x v="0"/>
    <n v="36"/>
    <x v="0"/>
    <x v="14"/>
    <x v="0"/>
    <s v="운전서기"/>
    <s v="일반직"/>
    <s v="공무원"/>
    <x v="0"/>
    <s v="Y"/>
    <s v="N"/>
    <d v="2014-07-01T00:00:00"/>
    <d v="2014-07-01T00:00:00"/>
    <d v="2025-05-01T00:00:00"/>
    <d v="2025-05-01T00:00:00"/>
    <n v="13"/>
    <s v="휴직복직[20231120~99991231]"/>
    <s v="8급"/>
    <x v="9"/>
    <n v="6"/>
    <x v="1"/>
    <x v="0"/>
    <n v="1"/>
    <n v="0"/>
    <x v="1"/>
    <n v="12"/>
    <n v="12"/>
    <x v="2"/>
    <n v="1.4"/>
    <x v="0"/>
    <x v="13"/>
    <x v="0"/>
    <s v=""/>
    <x v="0"/>
    <x v="0"/>
    <x v="0"/>
    <s v=""/>
    <x v="0"/>
    <s v=""/>
  </r>
  <r>
    <n v="900449"/>
    <x v="444"/>
    <x v="0"/>
    <n v="44"/>
    <x v="0"/>
    <x v="15"/>
    <x v="12"/>
    <s v="행정서기"/>
    <s v="일반직"/>
    <s v="공무원"/>
    <x v="0"/>
    <s v="Y"/>
    <s v="N"/>
    <d v="2005-09-01T00:00:00"/>
    <d v="2022-11-01T00:00:00"/>
    <d v="2024-04-01T00:00:00"/>
    <d v="2024-04-01T00:00:00"/>
    <n v="23"/>
    <m/>
    <s v="8급"/>
    <x v="9"/>
    <n v="6"/>
    <x v="1"/>
    <x v="0"/>
    <n v="1"/>
    <n v="0"/>
    <x v="0"/>
    <n v="3"/>
    <n v="21"/>
    <x v="0"/>
    <n v="2.4"/>
    <x v="0"/>
    <x v="7"/>
    <x v="0"/>
    <s v=""/>
    <x v="0"/>
    <x v="0"/>
    <x v="0"/>
    <s v=""/>
    <x v="0"/>
    <s v=""/>
  </r>
  <r>
    <n v="900450"/>
    <x v="445"/>
    <x v="0"/>
    <n v="42"/>
    <x v="1"/>
    <x v="13"/>
    <x v="4"/>
    <s v="행정주사"/>
    <s v="일반직"/>
    <s v="공무원"/>
    <x v="0"/>
    <s v="Y"/>
    <s v="N"/>
    <d v="2014-03-01T00:00:00"/>
    <d v="2014-03-01T00:00:00"/>
    <d v="2020-04-01T00:00:00"/>
    <d v="2020-04-01T00:00:00"/>
    <n v="15"/>
    <s v="휴직복직[20250824~99991231]"/>
    <s v="6급"/>
    <x v="3"/>
    <n v="4"/>
    <x v="1"/>
    <x v="0"/>
    <n v="1"/>
    <n v="0"/>
    <x v="0"/>
    <n v="12"/>
    <n v="12"/>
    <x v="2"/>
    <n v="6.4"/>
    <x v="1"/>
    <x v="17"/>
    <x v="0"/>
    <s v=""/>
    <x v="0"/>
    <x v="0"/>
    <x v="0"/>
    <s v=""/>
    <x v="0"/>
    <s v=""/>
  </r>
  <r>
    <n v="900451"/>
    <x v="446"/>
    <x v="0"/>
    <n v="32"/>
    <x v="1"/>
    <x v="8"/>
    <x v="10"/>
    <s v="공업서기보"/>
    <s v="일반직"/>
    <s v="공무원"/>
    <x v="0"/>
    <s v="Y"/>
    <s v="N"/>
    <d v="2024-06-01T00:00:00"/>
    <d v="2024-06-01T00:00:00"/>
    <d v="2024-06-01T00:00:00"/>
    <d v="2024-06-01T00:00:00"/>
    <n v="3"/>
    <s v="휴직복직[20250805~99991231]"/>
    <s v="9급"/>
    <x v="4"/>
    <n v="7"/>
    <x v="1"/>
    <x v="0"/>
    <n v="1"/>
    <n v="0"/>
    <x v="1"/>
    <n v="2"/>
    <n v="2"/>
    <x v="5"/>
    <n v="2.2999999999999998"/>
    <x v="0"/>
    <x v="22"/>
    <x v="0"/>
    <s v=""/>
    <x v="0"/>
    <x v="0"/>
    <x v="0"/>
    <s v=""/>
    <x v="0"/>
    <s v=""/>
  </r>
  <r>
    <n v="900452"/>
    <x v="447"/>
    <x v="0"/>
    <n v="20"/>
    <x v="0"/>
    <x v="1"/>
    <x v="10"/>
    <s v="사회복무요원"/>
    <s v="사회복무요원"/>
    <s v="비공무원"/>
    <x v="0"/>
    <s v="Y"/>
    <s v="N"/>
    <d v="2026-07-01T00:00:00"/>
    <d v="2026-07-01T00:00:00"/>
    <d v="2026-07-01T00:00:00"/>
    <d v="2026-07-01T00:00:00"/>
    <m/>
    <m/>
    <s v="사회복무요원"/>
    <x v="6"/>
    <n v="12"/>
    <x v="2"/>
    <x v="1"/>
    <n v="1"/>
    <n v="0"/>
    <x v="3"/>
    <n v="0"/>
    <n v="0"/>
    <x v="4"/>
    <n v="0.2"/>
    <x v="0"/>
    <x v="0"/>
    <x v="0"/>
    <s v=""/>
    <x v="0"/>
    <x v="0"/>
    <x v="0"/>
    <s v=""/>
    <x v="0"/>
    <s v=""/>
  </r>
  <r>
    <n v="900453"/>
    <x v="448"/>
    <x v="0"/>
    <n v="52"/>
    <x v="0"/>
    <x v="11"/>
    <x v="2"/>
    <s v="대학회계계약직(사무실무직)"/>
    <s v="대학회계계약직"/>
    <s v="비공무원"/>
    <x v="0"/>
    <s v="N"/>
    <s v="N"/>
    <d v="2000-03-01T00:00:00"/>
    <d v="2000-03-01T00:00:00"/>
    <d v="2018-05-01T00:00:00"/>
    <d v="2018-05-01T00:00:00"/>
    <n v="29"/>
    <m/>
    <s v="대학회계계약직"/>
    <x v="0"/>
    <n v="11"/>
    <x v="0"/>
    <x v="0"/>
    <n v="1"/>
    <n v="0"/>
    <x v="2"/>
    <n v="26"/>
    <n v="26"/>
    <x v="0"/>
    <n v="8.4"/>
    <x v="1"/>
    <x v="0"/>
    <x v="0"/>
    <s v=""/>
    <x v="0"/>
    <x v="0"/>
    <x v="0"/>
    <s v=""/>
    <x v="0"/>
    <s v=""/>
  </r>
  <r>
    <n v="900454"/>
    <x v="449"/>
    <x v="0"/>
    <n v="45"/>
    <x v="1"/>
    <x v="7"/>
    <x v="8"/>
    <s v="행정서기보"/>
    <s v="일반직"/>
    <s v="공무원"/>
    <x v="0"/>
    <s v="Y"/>
    <s v="N"/>
    <d v="2004-10-01T00:00:00"/>
    <d v="2004-10-01T00:00:00"/>
    <d v="2012-01-01T00:00:00"/>
    <d v="2012-01-01T00:00:00"/>
    <n v="23"/>
    <m/>
    <s v="9급"/>
    <x v="4"/>
    <n v="7"/>
    <x v="1"/>
    <x v="0"/>
    <n v="1"/>
    <n v="0"/>
    <x v="0"/>
    <n v="21"/>
    <n v="21"/>
    <x v="0"/>
    <n v="14.7"/>
    <x v="2"/>
    <x v="1"/>
    <x v="0"/>
    <s v=""/>
    <x v="0"/>
    <x v="0"/>
    <x v="0"/>
    <s v=""/>
    <x v="0"/>
    <s v=""/>
  </r>
  <r>
    <n v="900455"/>
    <x v="450"/>
    <x v="0"/>
    <n v="46"/>
    <x v="0"/>
    <x v="15"/>
    <x v="10"/>
    <s v="행정서기"/>
    <s v="일반직"/>
    <s v="공무원"/>
    <x v="0"/>
    <s v="Y"/>
    <s v="N"/>
    <d v="2013-04-01T00:00:00"/>
    <d v="2013-04-01T00:00:00"/>
    <d v="2013-05-01T00:00:00"/>
    <d v="2013-05-01T00:00:00"/>
    <n v="13"/>
    <m/>
    <s v="8급"/>
    <x v="9"/>
    <n v="6"/>
    <x v="1"/>
    <x v="0"/>
    <n v="1"/>
    <n v="0"/>
    <x v="0"/>
    <n v="13"/>
    <n v="13"/>
    <x v="2"/>
    <n v="13.4"/>
    <x v="2"/>
    <x v="6"/>
    <x v="0"/>
    <s v=""/>
    <x v="0"/>
    <x v="0"/>
    <x v="0"/>
    <s v=""/>
    <x v="0"/>
    <s v=""/>
  </r>
  <r>
    <n v="900456"/>
    <x v="451"/>
    <x v="0"/>
    <n v="38"/>
    <x v="0"/>
    <x v="11"/>
    <x v="14"/>
    <s v="공업주사"/>
    <s v="일반직"/>
    <s v="공무원"/>
    <x v="0"/>
    <s v="Y"/>
    <s v="N"/>
    <d v="2010-06-01T00:00:00"/>
    <d v="2023-04-01T00:00:00"/>
    <d v="2023-04-01T00:00:00"/>
    <d v="2023-04-01T00:00:00"/>
    <n v="17"/>
    <m/>
    <s v="6급"/>
    <x v="3"/>
    <n v="4"/>
    <x v="1"/>
    <x v="0"/>
    <n v="1"/>
    <n v="0"/>
    <x v="1"/>
    <n v="3"/>
    <n v="16"/>
    <x v="2"/>
    <n v="3.4"/>
    <x v="0"/>
    <x v="29"/>
    <x v="0"/>
    <s v=""/>
    <x v="0"/>
    <x v="0"/>
    <x v="0"/>
    <s v=""/>
    <x v="0"/>
    <s v=""/>
  </r>
  <r>
    <n v="900457"/>
    <x v="452"/>
    <x v="0"/>
    <n v="53"/>
    <x v="0"/>
    <x v="11"/>
    <x v="0"/>
    <s v="대학회계계약직(전산전문직)"/>
    <s v="대학회계계약직"/>
    <s v="비공무원"/>
    <x v="0"/>
    <s v="N"/>
    <s v="N"/>
    <d v="2004-09-01T00:00:00"/>
    <d v="2024-06-01T00:00:00"/>
    <d v="2024-06-01T00:00:00"/>
    <d v="2024-06-01T00:00:00"/>
    <n v="24"/>
    <m/>
    <s v="대학회계계약직"/>
    <x v="0"/>
    <n v="11"/>
    <x v="0"/>
    <x v="0"/>
    <n v="1"/>
    <n v="0"/>
    <x v="2"/>
    <n v="2"/>
    <n v="22"/>
    <x v="0"/>
    <n v="2.2999999999999998"/>
    <x v="0"/>
    <x v="0"/>
    <x v="0"/>
    <s v=""/>
    <x v="0"/>
    <x v="0"/>
    <x v="0"/>
    <s v=""/>
    <x v="0"/>
    <s v=""/>
  </r>
  <r>
    <n v="900458"/>
    <x v="453"/>
    <x v="0"/>
    <n v="43"/>
    <x v="0"/>
    <x v="4"/>
    <x v="3"/>
    <s v="행정서기보"/>
    <s v="일반직"/>
    <s v="공무원"/>
    <x v="0"/>
    <s v="N"/>
    <s v="N"/>
    <d v="2007-07-01T00:00:00"/>
    <d v="2007-07-01T00:00:00"/>
    <d v="2023-11-01T00:00:00"/>
    <d v="2023-11-01T00:00:00"/>
    <n v="19"/>
    <m/>
    <s v="9급"/>
    <x v="4"/>
    <n v="7"/>
    <x v="1"/>
    <x v="0"/>
    <n v="1"/>
    <n v="0"/>
    <x v="0"/>
    <n v="19"/>
    <n v="19"/>
    <x v="2"/>
    <n v="2.9"/>
    <x v="0"/>
    <x v="8"/>
    <x v="0"/>
    <s v=""/>
    <x v="0"/>
    <x v="0"/>
    <x v="0"/>
    <s v=""/>
    <x v="0"/>
    <s v=""/>
  </r>
  <r>
    <n v="900459"/>
    <x v="454"/>
    <x v="0"/>
    <n v="48"/>
    <x v="0"/>
    <x v="4"/>
    <x v="8"/>
    <s v="행정주사보"/>
    <s v="일반직"/>
    <s v="공무원"/>
    <x v="0"/>
    <s v="Y"/>
    <s v="N"/>
    <d v="2013-02-01T00:00:00"/>
    <d v="2013-02-01T00:00:00"/>
    <d v="2025-11-01T00:00:00"/>
    <d v="2025-11-01T00:00:00"/>
    <n v="16"/>
    <s v="휴직복직[20241208~99991231]"/>
    <s v="7급"/>
    <x v="1"/>
    <n v="5"/>
    <x v="1"/>
    <x v="0"/>
    <n v="1"/>
    <n v="0"/>
    <x v="0"/>
    <n v="13"/>
    <n v="13"/>
    <x v="2"/>
    <n v="0.9"/>
    <x v="0"/>
    <x v="23"/>
    <x v="0"/>
    <s v=""/>
    <x v="0"/>
    <x v="0"/>
    <x v="0"/>
    <s v=""/>
    <x v="0"/>
    <s v=""/>
  </r>
  <r>
    <n v="900460"/>
    <x v="455"/>
    <x v="0"/>
    <n v="49"/>
    <x v="0"/>
    <x v="15"/>
    <x v="14"/>
    <s v="대학회계계약직(사무실무직)"/>
    <s v="대학회계계약직"/>
    <s v="비공무원"/>
    <x v="0"/>
    <s v="N"/>
    <s v="N"/>
    <d v="2011-11-01T00:00:00"/>
    <d v="2011-11-01T00:00:00"/>
    <d v="2016-08-01T00:00:00"/>
    <d v="2016-08-01T00:00:00"/>
    <n v="16"/>
    <m/>
    <s v="대학회계계약직"/>
    <x v="0"/>
    <n v="11"/>
    <x v="0"/>
    <x v="0"/>
    <n v="1"/>
    <n v="0"/>
    <x v="0"/>
    <n v="14"/>
    <n v="14"/>
    <x v="2"/>
    <n v="10.1"/>
    <x v="2"/>
    <x v="0"/>
    <x v="0"/>
    <s v=""/>
    <x v="0"/>
    <x v="0"/>
    <x v="0"/>
    <s v=""/>
    <x v="0"/>
    <s v=""/>
  </r>
  <r>
    <n v="900461"/>
    <x v="456"/>
    <x v="0"/>
    <n v="42"/>
    <x v="0"/>
    <x v="8"/>
    <x v="0"/>
    <s v="공업주사보"/>
    <s v="일반직"/>
    <s v="공무원"/>
    <x v="0"/>
    <s v="Y"/>
    <s v="N"/>
    <d v="2022-06-01T00:00:00"/>
    <d v="2022-06-01T00:00:00"/>
    <d v="2022-06-01T00:00:00"/>
    <d v="2022-06-01T00:00:00"/>
    <n v="6"/>
    <m/>
    <s v="7급"/>
    <x v="1"/>
    <n v="5"/>
    <x v="1"/>
    <x v="0"/>
    <n v="1"/>
    <n v="0"/>
    <x v="0"/>
    <n v="4"/>
    <n v="4"/>
    <x v="1"/>
    <n v="4.3"/>
    <x v="0"/>
    <x v="17"/>
    <x v="0"/>
    <s v=""/>
    <x v="0"/>
    <x v="0"/>
    <x v="0"/>
    <s v=""/>
    <x v="0"/>
    <s v=""/>
  </r>
  <r>
    <n v="900462"/>
    <x v="457"/>
    <x v="0"/>
    <n v="55"/>
    <x v="1"/>
    <x v="8"/>
    <x v="3"/>
    <s v="행정주사보"/>
    <s v="일반직"/>
    <s v="공무원"/>
    <x v="0"/>
    <s v="Y"/>
    <s v="N"/>
    <d v="2000-11-01T00:00:00"/>
    <d v="2000-11-01T00:00:00"/>
    <d v="2022-11-01T00:00:00"/>
    <d v="2022-11-01T00:00:00"/>
    <n v="27"/>
    <s v="휴직복직[20240409~99991231]"/>
    <s v="7급"/>
    <x v="1"/>
    <n v="5"/>
    <x v="1"/>
    <x v="0"/>
    <n v="1"/>
    <n v="0"/>
    <x v="2"/>
    <n v="25"/>
    <n v="25"/>
    <x v="0"/>
    <n v="3.9"/>
    <x v="0"/>
    <x v="5"/>
    <x v="0"/>
    <s v=""/>
    <x v="0"/>
    <x v="0"/>
    <x v="0"/>
    <s v=""/>
    <x v="0"/>
    <s v=""/>
  </r>
  <r>
    <n v="900463"/>
    <x v="458"/>
    <x v="0"/>
    <n v="29"/>
    <x v="1"/>
    <x v="8"/>
    <x v="7"/>
    <s v="행정서기보"/>
    <s v="일반직"/>
    <s v="공무원"/>
    <x v="0"/>
    <s v="Y"/>
    <s v="N"/>
    <d v="2021-06-01T00:00:00"/>
    <d v="2021-06-01T00:00:00"/>
    <d v="2021-06-01T00:00:00"/>
    <d v="2021-06-01T00:00:00"/>
    <n v="7"/>
    <m/>
    <s v="9급"/>
    <x v="4"/>
    <n v="7"/>
    <x v="1"/>
    <x v="0"/>
    <n v="1"/>
    <n v="0"/>
    <x v="3"/>
    <n v="5"/>
    <n v="5"/>
    <x v="1"/>
    <n v="5.3"/>
    <x v="1"/>
    <x v="35"/>
    <x v="0"/>
    <s v=""/>
    <x v="0"/>
    <x v="0"/>
    <x v="0"/>
    <s v=""/>
    <x v="0"/>
    <s v=""/>
  </r>
  <r>
    <n v="900464"/>
    <x v="459"/>
    <x v="0"/>
    <n v="28"/>
    <x v="1"/>
    <x v="15"/>
    <x v="4"/>
    <s v="대학회계계약직(사무실무직)"/>
    <s v="대학회계계약직"/>
    <s v="비공무원"/>
    <x v="0"/>
    <s v="Y"/>
    <s v="N"/>
    <d v="2023-03-01T00:00:00"/>
    <d v="2023-03-01T00:00:00"/>
    <d v="2023-03-01T00:00:00"/>
    <d v="2023-03-01T00:00:00"/>
    <n v="4"/>
    <m/>
    <s v="대학회계계약직"/>
    <x v="0"/>
    <n v="11"/>
    <x v="0"/>
    <x v="0"/>
    <n v="1"/>
    <n v="0"/>
    <x v="3"/>
    <n v="3"/>
    <n v="3"/>
    <x v="5"/>
    <n v="3.5"/>
    <x v="0"/>
    <x v="0"/>
    <x v="0"/>
    <s v=""/>
    <x v="0"/>
    <x v="0"/>
    <x v="0"/>
    <s v=""/>
    <x v="0"/>
    <s v=""/>
  </r>
  <r>
    <n v="900465"/>
    <x v="460"/>
    <x v="0"/>
    <n v="52"/>
    <x v="1"/>
    <x v="3"/>
    <x v="9"/>
    <s v="사서사무관"/>
    <s v="일반직"/>
    <s v="공무원"/>
    <x v="10"/>
    <s v="Y"/>
    <s v="N"/>
    <d v="2006-10-01T00:00:00"/>
    <d v="2006-10-01T00:00:00"/>
    <d v="2014-11-01T00:00:00"/>
    <d v="2014-11-01T00:00:00"/>
    <n v="23"/>
    <m/>
    <s v="5급"/>
    <x v="7"/>
    <n v="3"/>
    <x v="1"/>
    <x v="0"/>
    <n v="1"/>
    <n v="0"/>
    <x v="2"/>
    <n v="19"/>
    <n v="19"/>
    <x v="0"/>
    <n v="11.9"/>
    <x v="2"/>
    <x v="24"/>
    <x v="1"/>
    <s v=""/>
    <x v="0"/>
    <x v="0"/>
    <x v="0"/>
    <s v=""/>
    <x v="0"/>
    <s v=""/>
  </r>
  <r>
    <n v="900466"/>
    <x v="461"/>
    <x v="0"/>
    <n v="45"/>
    <x v="1"/>
    <x v="11"/>
    <x v="0"/>
    <s v="사무운영주사"/>
    <s v="기능직"/>
    <s v="공무원"/>
    <x v="0"/>
    <s v="Y"/>
    <s v="N"/>
    <d v="2005-02-01T00:00:00"/>
    <d v="2005-02-01T00:00:00"/>
    <d v="2018-03-01T00:00:00"/>
    <d v="2018-03-01T00:00:00"/>
    <n v="21"/>
    <m/>
    <s v="6급"/>
    <x v="3"/>
    <n v="4"/>
    <x v="1"/>
    <x v="0"/>
    <n v="1"/>
    <n v="0"/>
    <x v="0"/>
    <n v="21"/>
    <n v="21"/>
    <x v="0"/>
    <n v="8.5"/>
    <x v="1"/>
    <x v="1"/>
    <x v="0"/>
    <s v=""/>
    <x v="0"/>
    <x v="0"/>
    <x v="0"/>
    <s v=""/>
    <x v="0"/>
    <s v=""/>
  </r>
  <r>
    <n v="900467"/>
    <x v="462"/>
    <x v="0"/>
    <n v="49"/>
    <x v="1"/>
    <x v="4"/>
    <x v="12"/>
    <s v="행정사무관"/>
    <s v="일반직"/>
    <s v="공무원"/>
    <x v="0"/>
    <s v="Y"/>
    <s v="N"/>
    <d v="2020-06-01T00:00:00"/>
    <d v="2023-04-01T00:00:00"/>
    <d v="2025-05-01T00:00:00"/>
    <d v="2025-05-01T00:00:00"/>
    <m/>
    <m/>
    <s v="5급"/>
    <x v="7"/>
    <n v="3"/>
    <x v="1"/>
    <x v="0"/>
    <n v="1"/>
    <n v="0"/>
    <x v="0"/>
    <n v="3"/>
    <n v="6"/>
    <x v="4"/>
    <n v="1.4"/>
    <x v="0"/>
    <x v="11"/>
    <x v="0"/>
    <s v=""/>
    <x v="0"/>
    <x v="0"/>
    <x v="0"/>
    <s v=""/>
    <x v="0"/>
    <s v=""/>
  </r>
  <r>
    <n v="900468"/>
    <x v="463"/>
    <x v="0"/>
    <n v="25"/>
    <x v="0"/>
    <x v="4"/>
    <x v="13"/>
    <s v="행정인턴"/>
    <s v="인턴(수습)"/>
    <s v="비공무원"/>
    <x v="0"/>
    <s v="N"/>
    <s v="N"/>
    <d v="2025-04-01T00:00:00"/>
    <d v="2025-04-01T00:00:00"/>
    <d v="2025-04-01T00:00:00"/>
    <d v="2025-04-01T00:00:00"/>
    <m/>
    <m/>
    <s v="인턴"/>
    <x v="8"/>
    <n v="13"/>
    <x v="2"/>
    <x v="1"/>
    <n v="1"/>
    <n v="0"/>
    <x v="3"/>
    <n v="1"/>
    <n v="1"/>
    <x v="4"/>
    <n v="1.4"/>
    <x v="0"/>
    <x v="0"/>
    <x v="0"/>
    <s v=""/>
    <x v="0"/>
    <x v="0"/>
    <x v="0"/>
    <s v=""/>
    <x v="0"/>
    <s v=""/>
  </r>
  <r>
    <n v="900469"/>
    <x v="464"/>
    <x v="0"/>
    <n v="49"/>
    <x v="0"/>
    <x v="0"/>
    <x v="10"/>
    <s v="행정사무관"/>
    <s v="일반직"/>
    <s v="공무원"/>
    <x v="11"/>
    <s v="Y"/>
    <s v="N"/>
    <d v="2021-06-01T00:00:00"/>
    <d v="2021-06-01T00:00:00"/>
    <d v="2021-06-01T00:00:00"/>
    <d v="2021-06-01T00:00:00"/>
    <n v="7"/>
    <m/>
    <s v="5급"/>
    <x v="7"/>
    <n v="3"/>
    <x v="1"/>
    <x v="0"/>
    <n v="1"/>
    <n v="0"/>
    <x v="0"/>
    <n v="5"/>
    <n v="5"/>
    <x v="1"/>
    <n v="5.3"/>
    <x v="1"/>
    <x v="11"/>
    <x v="1"/>
    <s v=""/>
    <x v="0"/>
    <x v="0"/>
    <x v="0"/>
    <s v=""/>
    <x v="0"/>
    <s v=""/>
  </r>
  <r>
    <n v="900470"/>
    <x v="465"/>
    <x v="0"/>
    <n v="51"/>
    <x v="0"/>
    <x v="9"/>
    <x v="3"/>
    <s v="행정주사"/>
    <s v="일반직"/>
    <s v="공무원"/>
    <x v="0"/>
    <s v="Y"/>
    <s v="N"/>
    <d v="2016-03-01T00:00:00"/>
    <d v="2016-03-01T00:00:00"/>
    <d v="2021-09-01T00:00:00"/>
    <d v="2021-09-01T00:00:00"/>
    <n v="12"/>
    <m/>
    <s v="6급"/>
    <x v="3"/>
    <n v="4"/>
    <x v="1"/>
    <x v="0"/>
    <n v="1"/>
    <n v="0"/>
    <x v="2"/>
    <n v="10"/>
    <n v="10"/>
    <x v="2"/>
    <n v="5"/>
    <x v="1"/>
    <x v="4"/>
    <x v="0"/>
    <s v=""/>
    <x v="0"/>
    <x v="0"/>
    <x v="0"/>
    <s v=""/>
    <x v="0"/>
    <s v=""/>
  </r>
  <r>
    <n v="900471"/>
    <x v="466"/>
    <x v="1"/>
    <n v="45"/>
    <x v="1"/>
    <x v="4"/>
    <x v="8"/>
    <s v="대학회계직7급(사무원)"/>
    <s v="대학회계직"/>
    <s v="비공무원"/>
    <x v="0"/>
    <s v="Y"/>
    <s v="N"/>
    <d v="2014-11-01T00:00:00"/>
    <d v="2026-02-01T00:00:00"/>
    <d v="2026-02-01T00:00:00"/>
    <d v="2026-02-01T00:00:00"/>
    <n v="14"/>
    <s v="휴직복직[20251112~99991231], 휴직복직[20231116~99991231], 휴직복직[20251005~99991231], 육아휴직[20260328~20270328]"/>
    <s v="대학회계직"/>
    <x v="10"/>
    <n v="10"/>
    <x v="3"/>
    <x v="0"/>
    <n v="1"/>
    <n v="1"/>
    <x v="0"/>
    <n v="0"/>
    <n v="11"/>
    <x v="2"/>
    <n v="0.6"/>
    <x v="0"/>
    <x v="0"/>
    <x v="0"/>
    <d v="2026-03-28T00:00:00"/>
    <x v="1"/>
    <x v="30"/>
    <x v="16"/>
    <n v="202"/>
    <x v="1"/>
    <s v=""/>
  </r>
  <r>
    <n v="900472"/>
    <x v="467"/>
    <x v="0"/>
    <n v="50"/>
    <x v="0"/>
    <x v="4"/>
    <x v="10"/>
    <s v="대학회계계약직(사무실무직)"/>
    <s v="대학회계계약직"/>
    <s v="비공무원"/>
    <x v="0"/>
    <s v="N"/>
    <s v="N"/>
    <d v="2000-10-01T00:00:00"/>
    <d v="2022-12-01T00:00:00"/>
    <d v="2022-12-01T00:00:00"/>
    <d v="2022-12-01T00:00:00"/>
    <n v="29"/>
    <m/>
    <s v="대학회계계약직"/>
    <x v="0"/>
    <n v="11"/>
    <x v="0"/>
    <x v="0"/>
    <n v="1"/>
    <n v="0"/>
    <x v="2"/>
    <n v="3"/>
    <n v="25"/>
    <x v="0"/>
    <n v="3.8"/>
    <x v="0"/>
    <x v="0"/>
    <x v="0"/>
    <s v=""/>
    <x v="0"/>
    <x v="0"/>
    <x v="0"/>
    <s v=""/>
    <x v="0"/>
    <s v=""/>
  </r>
  <r>
    <n v="900473"/>
    <x v="468"/>
    <x v="1"/>
    <n v="50"/>
    <x v="1"/>
    <x v="10"/>
    <x v="10"/>
    <s v="행정주사보"/>
    <s v="일반직"/>
    <s v="공무원"/>
    <x v="0"/>
    <s v="Y"/>
    <s v="N"/>
    <d v="2010-04-01T00:00:00"/>
    <d v="2010-04-01T00:00:00"/>
    <d v="2013-07-01T00:00:00"/>
    <d v="2013-07-01T00:00:00"/>
    <n v="18"/>
    <s v="휴직복직[20240619~99991231], 육아휴직[20260529~20261129]"/>
    <s v="7급"/>
    <x v="1"/>
    <n v="5"/>
    <x v="1"/>
    <x v="0"/>
    <n v="1"/>
    <n v="1"/>
    <x v="2"/>
    <n v="16"/>
    <n v="16"/>
    <x v="2"/>
    <n v="13.2"/>
    <x v="2"/>
    <x v="14"/>
    <x v="0"/>
    <d v="2026-05-29T00:00:00"/>
    <x v="1"/>
    <x v="5"/>
    <x v="4"/>
    <n v="83"/>
    <x v="2"/>
    <s v=""/>
  </r>
  <r>
    <n v="900474"/>
    <x v="469"/>
    <x v="0"/>
    <n v="28"/>
    <x v="1"/>
    <x v="2"/>
    <x v="14"/>
    <s v="공업주사보"/>
    <s v="일반직"/>
    <s v="공무원"/>
    <x v="0"/>
    <s v="Y"/>
    <s v="N"/>
    <d v="2023-12-01T00:00:00"/>
    <d v="2026-09-01T00:00:00"/>
    <d v="2026-09-01T00:00:00"/>
    <d v="2026-09-01T00:00:00"/>
    <n v="3"/>
    <m/>
    <s v="7급"/>
    <x v="1"/>
    <n v="5"/>
    <x v="1"/>
    <x v="0"/>
    <n v="1"/>
    <n v="0"/>
    <x v="3"/>
    <n v="0"/>
    <n v="2"/>
    <x v="5"/>
    <n v="0"/>
    <x v="0"/>
    <x v="18"/>
    <x v="0"/>
    <s v=""/>
    <x v="0"/>
    <x v="0"/>
    <x v="0"/>
    <s v=""/>
    <x v="0"/>
    <s v=""/>
  </r>
  <r>
    <n v="900475"/>
    <x v="470"/>
    <x v="1"/>
    <n v="53"/>
    <x v="0"/>
    <x v="14"/>
    <x v="0"/>
    <s v="행정서기보"/>
    <s v="일반직"/>
    <s v="공무원"/>
    <x v="0"/>
    <s v="N"/>
    <s v="N"/>
    <d v="1995-03-01T00:00:00"/>
    <d v="1995-03-01T00:00:00"/>
    <d v="2015-03-01T00:00:00"/>
    <d v="2015-03-01T00:00:00"/>
    <n v="31"/>
    <s v="휴직복직[20230820~99991231], 육아휴직[20251030~20271030]"/>
    <s v="9급"/>
    <x v="4"/>
    <n v="7"/>
    <x v="1"/>
    <x v="0"/>
    <n v="1"/>
    <n v="1"/>
    <x v="2"/>
    <n v="31"/>
    <n v="31"/>
    <x v="3"/>
    <n v="11.5"/>
    <x v="2"/>
    <x v="2"/>
    <x v="0"/>
    <d v="2025-10-30T00:00:00"/>
    <x v="1"/>
    <x v="31"/>
    <x v="11"/>
    <n v="418"/>
    <x v="1"/>
    <s v=""/>
  </r>
  <r>
    <n v="900476"/>
    <x v="471"/>
    <x v="0"/>
    <n v="24"/>
    <x v="0"/>
    <x v="14"/>
    <x v="11"/>
    <s v="행정서기"/>
    <s v="일반직"/>
    <s v="공무원"/>
    <x v="0"/>
    <s v="N"/>
    <s v="N"/>
    <d v="2024-07-01T00:00:00"/>
    <d v="2024-07-01T00:00:00"/>
    <d v="2025-04-01T00:00:00"/>
    <d v="2025-04-01T00:00:00"/>
    <n v="2"/>
    <m/>
    <s v="8급"/>
    <x v="9"/>
    <n v="6"/>
    <x v="1"/>
    <x v="0"/>
    <n v="1"/>
    <n v="0"/>
    <x v="3"/>
    <n v="2"/>
    <n v="2"/>
    <x v="5"/>
    <n v="1.4"/>
    <x v="0"/>
    <x v="15"/>
    <x v="0"/>
    <s v=""/>
    <x v="0"/>
    <x v="0"/>
    <x v="0"/>
    <s v=""/>
    <x v="0"/>
    <s v=""/>
  </r>
  <r>
    <n v="900477"/>
    <x v="472"/>
    <x v="0"/>
    <n v="25"/>
    <x v="1"/>
    <x v="6"/>
    <x v="12"/>
    <s v="사회복무요원"/>
    <s v="사회복무요원"/>
    <s v="비공무원"/>
    <x v="0"/>
    <s v="Y"/>
    <s v="N"/>
    <d v="2025-08-01T00:00:00"/>
    <d v="2025-08-01T00:00:00"/>
    <d v="2025-08-01T00:00:00"/>
    <d v="2025-08-01T00:00:00"/>
    <m/>
    <m/>
    <s v="사회복무요원"/>
    <x v="6"/>
    <n v="12"/>
    <x v="2"/>
    <x v="1"/>
    <n v="1"/>
    <n v="0"/>
    <x v="3"/>
    <n v="1"/>
    <n v="1"/>
    <x v="4"/>
    <n v="1.1000000000000001"/>
    <x v="0"/>
    <x v="0"/>
    <x v="0"/>
    <s v=""/>
    <x v="0"/>
    <x v="0"/>
    <x v="0"/>
    <s v=""/>
    <x v="0"/>
    <s v=""/>
  </r>
  <r>
    <n v="900478"/>
    <x v="473"/>
    <x v="0"/>
    <n v="23"/>
    <x v="0"/>
    <x v="5"/>
    <x v="2"/>
    <s v="행정인턴"/>
    <s v="인턴(수습)"/>
    <s v="비공무원"/>
    <x v="0"/>
    <s v="Y"/>
    <s v="N"/>
    <d v="2025-05-01T00:00:00"/>
    <d v="2025-05-01T00:00:00"/>
    <d v="2025-05-01T00:00:00"/>
    <d v="2025-05-01T00:00:00"/>
    <m/>
    <m/>
    <s v="인턴"/>
    <x v="8"/>
    <n v="13"/>
    <x v="2"/>
    <x v="1"/>
    <n v="1"/>
    <n v="0"/>
    <x v="3"/>
    <n v="1"/>
    <n v="1"/>
    <x v="4"/>
    <n v="1.4"/>
    <x v="0"/>
    <x v="0"/>
    <x v="0"/>
    <s v=""/>
    <x v="0"/>
    <x v="0"/>
    <x v="0"/>
    <s v=""/>
    <x v="0"/>
    <s v=""/>
  </r>
  <r>
    <n v="900479"/>
    <x v="474"/>
    <x v="0"/>
    <n v="45"/>
    <x v="1"/>
    <x v="6"/>
    <x v="4"/>
    <s v="대학회계계약직(사무실무직)"/>
    <s v="대학회계계약직"/>
    <s v="비공무원"/>
    <x v="0"/>
    <s v="Y"/>
    <s v="N"/>
    <d v="2009-02-01T00:00:00"/>
    <d v="2009-02-01T00:00:00"/>
    <d v="2026-07-01T00:00:00"/>
    <d v="2026-07-01T00:00:00"/>
    <n v="20"/>
    <m/>
    <s v="대학회계계약직"/>
    <x v="0"/>
    <n v="11"/>
    <x v="0"/>
    <x v="0"/>
    <n v="1"/>
    <n v="0"/>
    <x v="0"/>
    <n v="17"/>
    <n v="17"/>
    <x v="0"/>
    <n v="0.2"/>
    <x v="0"/>
    <x v="0"/>
    <x v="0"/>
    <s v=""/>
    <x v="0"/>
    <x v="0"/>
    <x v="0"/>
    <s v="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49AC0-22C2-47BF-9239-84859162CE9B}" name="ptCross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>
  <location ref="B19:P231" firstHeaderRow="1" firstDataRow="2" firstDataCol="2"/>
  <pivotFields count="42"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defaultSubtotal="0">
      <items count="16">
        <item x="15"/>
        <item x="8"/>
        <item x="6"/>
        <item x="0"/>
        <item x="7"/>
        <item x="12"/>
        <item x="13"/>
        <item x="4"/>
        <item x="2"/>
        <item x="5"/>
        <item x="10"/>
        <item x="1"/>
        <item x="9"/>
        <item x="11"/>
        <item x="14"/>
        <item x="3"/>
      </items>
    </pivotField>
    <pivotField axis="axisRow" compact="0" outline="0" showAll="0" defaultSubtotal="0">
      <items count="15">
        <item x="3"/>
        <item x="7"/>
        <item x="4"/>
        <item x="12"/>
        <item x="1"/>
        <item x="13"/>
        <item x="2"/>
        <item x="11"/>
        <item x="14"/>
        <item x="8"/>
        <item x="9"/>
        <item x="0"/>
        <item x="5"/>
        <item x="10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12">
        <item x="5"/>
        <item x="7"/>
        <item x="3"/>
        <item x="1"/>
        <item x="9"/>
        <item x="4"/>
        <item x="11"/>
        <item x="2"/>
        <item x="10"/>
        <item x="0"/>
        <item x="6"/>
        <item x="8"/>
      </items>
    </pivotField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x="2"/>
        <item x="0"/>
        <item x="3"/>
        <item x="1"/>
        <item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2">
    <field x="5"/>
    <field x="6"/>
  </rowFields>
  <rowItems count="21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3"/>
    </i>
    <i r="1">
      <x v="14"/>
    </i>
    <i>
      <x v="1"/>
      <x/>
    </i>
    <i r="1">
      <x v="1"/>
    </i>
    <i r="1">
      <x v="3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>
      <x v="6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7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>
      <x v="11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t="grand">
      <x/>
    </i>
  </rowItems>
  <colFields count="1">
    <field x="2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인원" fld="0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1801B-C54A-489A-9075-B1765E762471}" name="ptSoon" cacheId="77" applyNumberFormats="0" applyBorderFormats="0" applyFontFormats="0" applyPatternFormats="0" applyAlignmentFormats="0" applyWidthHeightFormats="1" dataCaption="값" updatedVersion="7" minRefreshableVersion="3" showCalcMbrs="0" useAutoFormatting="1" colGrandTotals="0" itemPrintTitles="1" createdVersion="3" indent="0" compact="0" compactData="0" multipleFieldFilters="0">
  <location ref="B25:H39" firstHeaderRow="1" firstDataRow="1" firstDataCol="6" rowPageCount="1" colPageCount="1"/>
  <pivotFields count="42">
    <pivotField compact="0" outline="0" showAll="0"/>
    <pivotField axis="axisRow" compact="0" outline="0" showAll="0" defaultSubtotal="0">
      <items count="475">
        <item x="421"/>
        <item x="385"/>
        <item x="1"/>
        <item x="109"/>
        <item x="264"/>
        <item x="139"/>
        <item x="83"/>
        <item x="406"/>
        <item x="409"/>
        <item x="258"/>
        <item x="244"/>
        <item x="135"/>
        <item x="52"/>
        <item x="265"/>
        <item x="325"/>
        <item x="89"/>
        <item x="361"/>
        <item x="215"/>
        <item x="77"/>
        <item x="411"/>
        <item x="49"/>
        <item x="364"/>
        <item x="136"/>
        <item x="437"/>
        <item x="169"/>
        <item x="163"/>
        <item x="311"/>
        <item x="305"/>
        <item x="129"/>
        <item x="459"/>
        <item x="6"/>
        <item x="222"/>
        <item x="178"/>
        <item x="249"/>
        <item x="220"/>
        <item x="456"/>
        <item x="355"/>
        <item x="309"/>
        <item x="338"/>
        <item x="405"/>
        <item x="91"/>
        <item x="224"/>
        <item x="234"/>
        <item x="55"/>
        <item x="408"/>
        <item x="469"/>
        <item x="87"/>
        <item x="214"/>
        <item x="58"/>
        <item x="407"/>
        <item x="242"/>
        <item x="381"/>
        <item x="66"/>
        <item x="419"/>
        <item x="280"/>
        <item x="442"/>
        <item x="360"/>
        <item x="173"/>
        <item x="344"/>
        <item x="124"/>
        <item x="413"/>
        <item x="189"/>
        <item x="445"/>
        <item x="439"/>
        <item x="179"/>
        <item x="374"/>
        <item x="472"/>
        <item x="121"/>
        <item x="428"/>
        <item x="379"/>
        <item x="23"/>
        <item x="20"/>
        <item x="400"/>
        <item x="111"/>
        <item x="427"/>
        <item x="71"/>
        <item x="157"/>
        <item x="328"/>
        <item x="434"/>
        <item x="337"/>
        <item x="193"/>
        <item x="148"/>
        <item x="85"/>
        <item x="245"/>
        <item x="158"/>
        <item x="128"/>
        <item x="37"/>
        <item x="331"/>
        <item x="333"/>
        <item x="98"/>
        <item x="130"/>
        <item x="281"/>
        <item x="64"/>
        <item x="156"/>
        <item x="302"/>
        <item x="3"/>
        <item x="95"/>
        <item x="470"/>
        <item x="230"/>
        <item x="468"/>
        <item x="313"/>
        <item x="57"/>
        <item x="453"/>
        <item x="167"/>
        <item x="441"/>
        <item x="76"/>
        <item x="209"/>
        <item x="292"/>
        <item x="288"/>
        <item x="114"/>
        <item x="286"/>
        <item x="450"/>
        <item x="63"/>
        <item x="213"/>
        <item x="150"/>
        <item x="4"/>
        <item x="133"/>
        <item x="398"/>
        <item x="391"/>
        <item x="382"/>
        <item x="200"/>
        <item x="320"/>
        <item x="203"/>
        <item x="2"/>
        <item x="452"/>
        <item x="12"/>
        <item x="9"/>
        <item x="176"/>
        <item x="141"/>
        <item x="120"/>
        <item x="75"/>
        <item x="180"/>
        <item x="206"/>
        <item x="466"/>
        <item x="7"/>
        <item x="101"/>
        <item x="240"/>
        <item x="132"/>
        <item x="46"/>
        <item x="127"/>
        <item x="380"/>
        <item x="412"/>
        <item x="254"/>
        <item x="138"/>
        <item x="297"/>
        <item x="177"/>
        <item x="321"/>
        <item x="147"/>
        <item x="377"/>
        <item x="152"/>
        <item x="118"/>
        <item x="435"/>
        <item x="166"/>
        <item x="8"/>
        <item x="347"/>
        <item x="161"/>
        <item x="47"/>
        <item x="350"/>
        <item x="36"/>
        <item x="30"/>
        <item x="253"/>
        <item x="440"/>
        <item x="80"/>
        <item x="56"/>
        <item x="415"/>
        <item x="315"/>
        <item x="389"/>
        <item x="231"/>
        <item x="221"/>
        <item x="403"/>
        <item x="423"/>
        <item x="307"/>
        <item x="285"/>
        <item x="94"/>
        <item x="296"/>
        <item x="339"/>
        <item x="241"/>
        <item x="43"/>
        <item x="92"/>
        <item x="447"/>
        <item x="354"/>
        <item x="336"/>
        <item x="449"/>
        <item x="26"/>
        <item x="422"/>
        <item x="426"/>
        <item x="74"/>
        <item x="266"/>
        <item x="123"/>
        <item x="154"/>
        <item x="420"/>
        <item x="368"/>
        <item x="373"/>
        <item x="358"/>
        <item x="259"/>
        <item x="267"/>
        <item x="27"/>
        <item x="463"/>
        <item x="471"/>
        <item x="29"/>
        <item x="455"/>
        <item x="182"/>
        <item x="366"/>
        <item x="289"/>
        <item x="290"/>
        <item x="378"/>
        <item x="82"/>
        <item x="371"/>
        <item x="171"/>
        <item x="233"/>
        <item x="461"/>
        <item x="168"/>
        <item x="256"/>
        <item x="362"/>
        <item x="232"/>
        <item x="68"/>
        <item x="223"/>
        <item x="429"/>
        <item x="192"/>
        <item x="15"/>
        <item x="301"/>
        <item x="239"/>
        <item x="81"/>
        <item x="164"/>
        <item x="28"/>
        <item x="372"/>
        <item x="303"/>
        <item x="219"/>
        <item x="145"/>
        <item x="218"/>
        <item x="467"/>
        <item x="399"/>
        <item x="414"/>
        <item x="271"/>
        <item x="69"/>
        <item x="262"/>
        <item x="432"/>
        <item x="387"/>
        <item x="443"/>
        <item x="184"/>
        <item x="282"/>
        <item x="326"/>
        <item x="22"/>
        <item x="228"/>
        <item x="393"/>
        <item x="357"/>
        <item x="227"/>
        <item x="229"/>
        <item x="274"/>
        <item x="299"/>
        <item x="125"/>
        <item x="204"/>
        <item x="117"/>
        <item x="272"/>
        <item x="376"/>
        <item x="25"/>
        <item x="103"/>
        <item x="45"/>
        <item x="397"/>
        <item x="100"/>
        <item x="205"/>
        <item x="90"/>
        <item x="322"/>
        <item x="61"/>
        <item x="390"/>
        <item x="174"/>
        <item x="32"/>
        <item x="306"/>
        <item x="211"/>
        <item x="430"/>
        <item x="335"/>
        <item x="392"/>
        <item x="294"/>
        <item x="235"/>
        <item x="67"/>
        <item x="404"/>
        <item x="396"/>
        <item x="96"/>
        <item x="352"/>
        <item x="196"/>
        <item x="53"/>
        <item x="13"/>
        <item x="38"/>
        <item x="394"/>
        <item x="144"/>
        <item x="356"/>
        <item x="279"/>
        <item x="188"/>
        <item x="122"/>
        <item x="270"/>
        <item x="10"/>
        <item x="51"/>
        <item x="343"/>
        <item x="24"/>
        <item x="160"/>
        <item x="50"/>
        <item x="386"/>
        <item x="250"/>
        <item x="248"/>
        <item x="462"/>
        <item x="388"/>
        <item x="97"/>
        <item x="255"/>
        <item x="116"/>
        <item x="295"/>
        <item x="284"/>
        <item x="327"/>
        <item x="273"/>
        <item x="454"/>
        <item x="33"/>
        <item x="39"/>
        <item x="134"/>
        <item x="329"/>
        <item x="278"/>
        <item x="416"/>
        <item x="217"/>
        <item x="277"/>
        <item x="86"/>
        <item x="417"/>
        <item x="137"/>
        <item x="345"/>
        <item x="112"/>
        <item x="334"/>
        <item x="402"/>
        <item x="464"/>
        <item x="433"/>
        <item x="62"/>
        <item x="186"/>
        <item x="237"/>
        <item x="93"/>
        <item x="225"/>
        <item x="283"/>
        <item x="348"/>
        <item x="474"/>
        <item x="330"/>
        <item x="261"/>
        <item x="251"/>
        <item x="11"/>
        <item x="181"/>
        <item x="191"/>
        <item x="140"/>
        <item x="175"/>
        <item x="70"/>
        <item x="31"/>
        <item x="276"/>
        <item x="340"/>
        <item x="260"/>
        <item x="353"/>
        <item x="115"/>
        <item x="314"/>
        <item x="268"/>
        <item x="269"/>
        <item x="375"/>
        <item x="185"/>
        <item x="126"/>
        <item x="212"/>
        <item x="19"/>
        <item x="465"/>
        <item x="252"/>
        <item x="79"/>
        <item x="369"/>
        <item x="202"/>
        <item x="365"/>
        <item x="451"/>
        <item x="310"/>
        <item x="298"/>
        <item x="59"/>
        <item x="21"/>
        <item x="198"/>
        <item x="238"/>
        <item x="436"/>
        <item x="312"/>
        <item x="40"/>
        <item x="199"/>
        <item x="316"/>
        <item x="257"/>
        <item x="119"/>
        <item x="14"/>
        <item x="318"/>
        <item x="291"/>
        <item x="183"/>
        <item x="210"/>
        <item x="324"/>
        <item x="341"/>
        <item x="383"/>
        <item x="349"/>
        <item x="149"/>
        <item x="208"/>
        <item x="187"/>
        <item x="446"/>
        <item x="44"/>
        <item x="146"/>
        <item x="162"/>
        <item x="18"/>
        <item x="170"/>
        <item x="370"/>
        <item x="195"/>
        <item x="17"/>
        <item x="384"/>
        <item x="346"/>
        <item x="73"/>
        <item x="104"/>
        <item x="359"/>
        <item x="363"/>
        <item x="300"/>
        <item x="35"/>
        <item x="113"/>
        <item x="247"/>
        <item x="194"/>
        <item x="431"/>
        <item x="444"/>
        <item x="102"/>
        <item x="34"/>
        <item x="48"/>
        <item x="246"/>
        <item x="99"/>
        <item x="155"/>
        <item x="473"/>
        <item x="448"/>
        <item x="287"/>
        <item x="293"/>
        <item x="142"/>
        <item x="88"/>
        <item x="165"/>
        <item x="190"/>
        <item x="197"/>
        <item x="216"/>
        <item x="65"/>
        <item x="107"/>
        <item x="54"/>
        <item x="460"/>
        <item x="108"/>
        <item x="41"/>
        <item x="458"/>
        <item x="172"/>
        <item x="84"/>
        <item x="424"/>
        <item x="410"/>
        <item x="418"/>
        <item x="243"/>
        <item x="425"/>
        <item x="143"/>
        <item x="201"/>
        <item x="72"/>
        <item x="159"/>
        <item x="131"/>
        <item x="401"/>
        <item x="367"/>
        <item x="438"/>
        <item x="308"/>
        <item x="78"/>
        <item x="105"/>
        <item x="110"/>
        <item x="323"/>
        <item x="236"/>
        <item x="304"/>
        <item x="16"/>
        <item x="342"/>
        <item x="319"/>
        <item x="153"/>
        <item x="317"/>
        <item x="457"/>
        <item x="275"/>
        <item x="226"/>
        <item x="106"/>
        <item x="395"/>
        <item x="0"/>
        <item x="42"/>
        <item x="263"/>
        <item x="332"/>
        <item x="151"/>
        <item x="5"/>
        <item x="60"/>
        <item x="351"/>
        <item x="207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6">
        <item x="15"/>
        <item x="8"/>
        <item x="6"/>
        <item x="0"/>
        <item x="7"/>
        <item x="12"/>
        <item x="13"/>
        <item x="4"/>
        <item x="2"/>
        <item x="5"/>
        <item x="10"/>
        <item x="1"/>
        <item x="9"/>
        <item x="11"/>
        <item x="14"/>
        <item x="3"/>
      </items>
    </pivotField>
    <pivotField axis="axisRow" compact="0" outline="0" showAll="0" defaultSubtotal="0">
      <items count="15">
        <item x="3"/>
        <item x="7"/>
        <item x="4"/>
        <item x="12"/>
        <item x="1"/>
        <item x="13"/>
        <item x="2"/>
        <item x="11"/>
        <item x="14"/>
        <item x="8"/>
        <item x="9"/>
        <item x="0"/>
        <item x="5"/>
        <item x="10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7"/>
        <item x="3"/>
        <item x="1"/>
        <item x="9"/>
        <item x="4"/>
        <item x="0"/>
        <item x="10"/>
        <item x="6"/>
        <item x="11"/>
        <item x="8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7">
        <item x="0"/>
        <item x="3"/>
        <item x="5"/>
        <item x="2"/>
        <item x="6"/>
        <item x="1"/>
        <item x="4"/>
      </items>
    </pivotField>
    <pivotField axis="axisRow" compact="0" outline="0" showAll="0" defaultSubtotal="0">
      <items count="32">
        <item x="0"/>
        <item x="28"/>
        <item x="29"/>
        <item x="8"/>
        <item x="16"/>
        <item x="5"/>
        <item x="23"/>
        <item x="25"/>
        <item x="7"/>
        <item x="27"/>
        <item x="19"/>
        <item x="11"/>
        <item x="24"/>
        <item x="30"/>
        <item x="20"/>
        <item x="10"/>
        <item x="4"/>
        <item x="26"/>
        <item x="2"/>
        <item x="1"/>
        <item x="14"/>
        <item x="6"/>
        <item x="21"/>
        <item x="3"/>
        <item x="18"/>
        <item x="13"/>
        <item x="31"/>
        <item x="22"/>
        <item x="12"/>
        <item x="9"/>
        <item x="15"/>
        <item x="17"/>
      </items>
    </pivotField>
    <pivotField compact="0" outline="0" showAll="0"/>
    <pivotField dataField="1"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</pivotFields>
  <rowFields count="6">
    <field x="36"/>
    <field x="5"/>
    <field x="6"/>
    <field x="1"/>
    <field x="20"/>
    <field x="35"/>
  </rowFields>
  <rowItems count="14">
    <i>
      <x v="1"/>
      <x v="2"/>
      <x v="11"/>
      <x v="8"/>
      <x v="5"/>
      <x v="5"/>
    </i>
    <i>
      <x v="2"/>
      <x v="10"/>
      <x v="6"/>
      <x/>
      <x v="3"/>
      <x v="4"/>
    </i>
    <i>
      <x v="3"/>
      <x v="10"/>
      <x v="1"/>
      <x v="137"/>
      <x v="2"/>
      <x v="5"/>
    </i>
    <i>
      <x v="4"/>
      <x v="7"/>
      <x v="3"/>
      <x v="50"/>
      <x v="4"/>
      <x v="1"/>
    </i>
    <i>
      <x v="5"/>
      <x v="6"/>
      <x v="14"/>
      <x v="105"/>
      <x v="2"/>
      <x v="5"/>
    </i>
    <i r="1">
      <x v="10"/>
      <x v="13"/>
      <x v="99"/>
      <x v="3"/>
      <x v="5"/>
    </i>
    <i>
      <x v="6"/>
      <x v="3"/>
      <x v="12"/>
      <x v="36"/>
      <x/>
      <x v="5"/>
    </i>
    <i>
      <x v="7"/>
      <x v="3"/>
      <x v="2"/>
      <x v="360"/>
      <x v="6"/>
      <x v="5"/>
    </i>
    <i>
      <x v="8"/>
      <x v="6"/>
      <x v="10"/>
      <x v="67"/>
      <x v="7"/>
      <x v="5"/>
    </i>
    <i r="1">
      <x v="11"/>
      <x/>
      <x v="116"/>
      <x v="2"/>
      <x v="5"/>
    </i>
    <i>
      <x v="9"/>
      <x v="15"/>
      <x v="5"/>
      <x v="264"/>
      <x v="6"/>
      <x v="6"/>
    </i>
    <i>
      <x v="10"/>
      <x v="15"/>
      <x v="7"/>
      <x v="316"/>
      <x v="2"/>
      <x v="6"/>
    </i>
    <i>
      <x v="11"/>
      <x v="15"/>
      <x v="9"/>
      <x v="284"/>
      <x v="6"/>
      <x v="1"/>
    </i>
    <i t="grand">
      <x/>
    </i>
  </rowItems>
  <colItems count="1">
    <i/>
  </colItems>
  <pageFields count="1">
    <pageField fld="39" item="1" hier="-1"/>
  </pageFields>
  <dataFields count="1">
    <dataField name="잔여일수" fld="38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01DCC-4C7A-4A2E-A196-4860F2CE9500}" name="ptLeaveRateTbl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>
  <location ref="K42:N54" firstHeaderRow="1" firstDataRow="2" firstDataCol="1" rowPageCount="1" colPageCount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7"/>
        <item x="3"/>
        <item x="1"/>
        <item x="9"/>
        <item x="4"/>
        <item x="11"/>
        <item x="2"/>
        <item x="10"/>
        <item x="0"/>
        <item x="6"/>
        <item x="8"/>
      </items>
    </pivotField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2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3" item="1" hier="-1"/>
  </pageFields>
  <dataFields count="3">
    <dataField name="인원" fld="24" baseField="0" baseItem="0" numFmtId="3"/>
    <dataField name="휴직" fld="25" baseField="0" baseItem="0" numFmtId="3"/>
    <dataField name="휴직률 " fld="41" baseField="0" baseItem="0" numFmtId="176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C0D5-E9B9-4D5C-8723-2039DDEB1FA6}" name="ptReasonGrade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>
  <location ref="B8:K16" firstHeaderRow="1" firstDataRow="2" firstDataCol="1" rowPageCount="1" colPageCount="1"/>
  <pivotFields count="42"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12">
        <item x="5"/>
        <item x="7"/>
        <item x="3"/>
        <item x="1"/>
        <item x="9"/>
        <item x="4"/>
        <item x="0"/>
        <item x="10"/>
        <item x="6"/>
        <item x="11"/>
        <item x="8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 defaultSubtotal="0">
      <items count="7">
        <item x="0"/>
        <item x="3"/>
        <item x="5"/>
        <item x="2"/>
        <item x="6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35"/>
  </rowFields>
  <rowItems count="7">
    <i>
      <x v="5"/>
    </i>
    <i>
      <x v="6"/>
    </i>
    <i>
      <x v="1"/>
    </i>
    <i>
      <x v="3"/>
    </i>
    <i>
      <x v="4"/>
    </i>
    <i>
      <x v="2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" item="1" hier="-1"/>
  </pageFields>
  <dataFields count="1">
    <dataField name="인원" fld="0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8CFF3-A6C6-40A9-AC98-B6B582AE2E3E}" name="ptPost" cacheId="77" applyNumberFormats="0" applyBorderFormats="0" applyFontFormats="0" applyPatternFormats="0" applyAlignmentFormats="0" applyWidthHeightFormats="1" dataCaption="값" updatedVersion="7" minRefreshableVersion="3" showCalcMbrs="0" useAutoFormatting="1" colGrandTotals="0" itemPrintTitles="1" createdVersion="3" indent="0" compact="0" compactData="0" multipleFieldFilters="0">
  <location ref="B65:F78" firstHeaderRow="1" firstDataRow="1" firstDataCol="4" rowPageCount="1" colPageCount="1"/>
  <pivotFields count="42">
    <pivotField dataField="1" compact="0" outline="0" showAll="0"/>
    <pivotField axis="axisRow" compact="0" outline="0" showAll="0" defaultSubtotal="0">
      <items count="475">
        <item x="421"/>
        <item x="385"/>
        <item x="1"/>
        <item x="109"/>
        <item x="264"/>
        <item x="139"/>
        <item x="83"/>
        <item x="406"/>
        <item x="409"/>
        <item x="258"/>
        <item x="244"/>
        <item x="135"/>
        <item x="52"/>
        <item x="265"/>
        <item x="325"/>
        <item x="89"/>
        <item x="361"/>
        <item x="215"/>
        <item x="77"/>
        <item x="411"/>
        <item x="49"/>
        <item x="364"/>
        <item x="136"/>
        <item x="437"/>
        <item x="169"/>
        <item x="163"/>
        <item x="311"/>
        <item x="305"/>
        <item x="129"/>
        <item x="459"/>
        <item x="6"/>
        <item x="222"/>
        <item x="178"/>
        <item x="249"/>
        <item x="220"/>
        <item x="456"/>
        <item x="355"/>
        <item x="309"/>
        <item x="338"/>
        <item x="405"/>
        <item x="91"/>
        <item x="224"/>
        <item x="234"/>
        <item x="55"/>
        <item x="408"/>
        <item x="469"/>
        <item x="87"/>
        <item x="214"/>
        <item x="58"/>
        <item x="407"/>
        <item x="242"/>
        <item x="381"/>
        <item x="66"/>
        <item x="419"/>
        <item x="280"/>
        <item x="442"/>
        <item x="360"/>
        <item x="173"/>
        <item x="344"/>
        <item x="124"/>
        <item x="413"/>
        <item x="189"/>
        <item x="445"/>
        <item x="439"/>
        <item x="179"/>
        <item x="374"/>
        <item x="472"/>
        <item x="121"/>
        <item x="428"/>
        <item x="379"/>
        <item x="23"/>
        <item x="20"/>
        <item x="400"/>
        <item x="111"/>
        <item x="427"/>
        <item x="71"/>
        <item x="157"/>
        <item x="328"/>
        <item x="434"/>
        <item x="337"/>
        <item x="193"/>
        <item x="148"/>
        <item x="85"/>
        <item x="245"/>
        <item x="158"/>
        <item x="128"/>
        <item x="37"/>
        <item x="331"/>
        <item x="333"/>
        <item x="98"/>
        <item x="130"/>
        <item x="281"/>
        <item x="64"/>
        <item x="156"/>
        <item x="302"/>
        <item x="3"/>
        <item x="95"/>
        <item x="470"/>
        <item x="230"/>
        <item x="468"/>
        <item x="313"/>
        <item x="57"/>
        <item x="453"/>
        <item x="167"/>
        <item x="441"/>
        <item x="76"/>
        <item x="209"/>
        <item x="292"/>
        <item x="288"/>
        <item x="114"/>
        <item x="286"/>
        <item x="450"/>
        <item x="63"/>
        <item x="213"/>
        <item x="150"/>
        <item x="4"/>
        <item x="133"/>
        <item x="398"/>
        <item x="391"/>
        <item x="382"/>
        <item x="200"/>
        <item x="320"/>
        <item x="203"/>
        <item x="2"/>
        <item x="452"/>
        <item x="12"/>
        <item x="9"/>
        <item x="176"/>
        <item x="141"/>
        <item x="120"/>
        <item x="75"/>
        <item x="180"/>
        <item x="206"/>
        <item x="466"/>
        <item x="7"/>
        <item x="101"/>
        <item x="240"/>
        <item x="132"/>
        <item x="46"/>
        <item x="127"/>
        <item x="380"/>
        <item x="412"/>
        <item x="254"/>
        <item x="138"/>
        <item x="297"/>
        <item x="177"/>
        <item x="321"/>
        <item x="147"/>
        <item x="377"/>
        <item x="152"/>
        <item x="118"/>
        <item x="435"/>
        <item x="166"/>
        <item x="8"/>
        <item x="347"/>
        <item x="161"/>
        <item x="47"/>
        <item x="350"/>
        <item x="36"/>
        <item x="30"/>
        <item x="253"/>
        <item x="440"/>
        <item x="80"/>
        <item x="56"/>
        <item x="415"/>
        <item x="315"/>
        <item x="389"/>
        <item x="231"/>
        <item x="221"/>
        <item x="403"/>
        <item x="423"/>
        <item x="307"/>
        <item x="285"/>
        <item x="94"/>
        <item x="296"/>
        <item x="339"/>
        <item x="241"/>
        <item x="43"/>
        <item x="92"/>
        <item x="447"/>
        <item x="354"/>
        <item x="336"/>
        <item x="449"/>
        <item x="26"/>
        <item x="422"/>
        <item x="426"/>
        <item x="74"/>
        <item x="266"/>
        <item x="123"/>
        <item x="154"/>
        <item x="420"/>
        <item x="368"/>
        <item x="373"/>
        <item x="358"/>
        <item x="259"/>
        <item x="267"/>
        <item x="27"/>
        <item x="463"/>
        <item x="471"/>
        <item x="29"/>
        <item x="455"/>
        <item x="182"/>
        <item x="366"/>
        <item x="289"/>
        <item x="290"/>
        <item x="378"/>
        <item x="82"/>
        <item x="371"/>
        <item x="171"/>
        <item x="233"/>
        <item x="461"/>
        <item x="168"/>
        <item x="256"/>
        <item x="362"/>
        <item x="232"/>
        <item x="68"/>
        <item x="223"/>
        <item x="429"/>
        <item x="192"/>
        <item x="15"/>
        <item x="301"/>
        <item x="239"/>
        <item x="81"/>
        <item x="164"/>
        <item x="28"/>
        <item x="372"/>
        <item x="303"/>
        <item x="219"/>
        <item x="145"/>
        <item x="218"/>
        <item x="467"/>
        <item x="399"/>
        <item x="414"/>
        <item x="271"/>
        <item x="69"/>
        <item x="262"/>
        <item x="432"/>
        <item x="387"/>
        <item x="443"/>
        <item x="184"/>
        <item x="282"/>
        <item x="326"/>
        <item x="22"/>
        <item x="228"/>
        <item x="393"/>
        <item x="357"/>
        <item x="227"/>
        <item x="229"/>
        <item x="274"/>
        <item x="299"/>
        <item x="125"/>
        <item x="204"/>
        <item x="117"/>
        <item x="272"/>
        <item x="376"/>
        <item x="25"/>
        <item x="103"/>
        <item x="45"/>
        <item x="397"/>
        <item x="100"/>
        <item x="205"/>
        <item x="90"/>
        <item x="322"/>
        <item x="61"/>
        <item x="390"/>
        <item x="174"/>
        <item x="32"/>
        <item x="306"/>
        <item x="211"/>
        <item x="430"/>
        <item x="335"/>
        <item x="392"/>
        <item x="294"/>
        <item x="235"/>
        <item x="67"/>
        <item x="404"/>
        <item x="396"/>
        <item x="96"/>
        <item x="352"/>
        <item x="196"/>
        <item x="53"/>
        <item x="13"/>
        <item x="38"/>
        <item x="394"/>
        <item x="144"/>
        <item x="356"/>
        <item x="279"/>
        <item x="188"/>
        <item x="122"/>
        <item x="270"/>
        <item x="10"/>
        <item x="51"/>
        <item x="343"/>
        <item x="24"/>
        <item x="160"/>
        <item x="50"/>
        <item x="386"/>
        <item x="250"/>
        <item x="248"/>
        <item x="462"/>
        <item x="388"/>
        <item x="97"/>
        <item x="255"/>
        <item x="116"/>
        <item x="295"/>
        <item x="284"/>
        <item x="327"/>
        <item x="273"/>
        <item x="454"/>
        <item x="33"/>
        <item x="39"/>
        <item x="134"/>
        <item x="329"/>
        <item x="278"/>
        <item x="416"/>
        <item x="217"/>
        <item x="277"/>
        <item x="86"/>
        <item x="417"/>
        <item x="137"/>
        <item x="345"/>
        <item x="112"/>
        <item x="334"/>
        <item x="402"/>
        <item x="464"/>
        <item x="433"/>
        <item x="62"/>
        <item x="186"/>
        <item x="237"/>
        <item x="93"/>
        <item x="225"/>
        <item x="283"/>
        <item x="348"/>
        <item x="474"/>
        <item x="330"/>
        <item x="261"/>
        <item x="251"/>
        <item x="11"/>
        <item x="181"/>
        <item x="191"/>
        <item x="140"/>
        <item x="175"/>
        <item x="70"/>
        <item x="31"/>
        <item x="276"/>
        <item x="340"/>
        <item x="260"/>
        <item x="353"/>
        <item x="115"/>
        <item x="314"/>
        <item x="268"/>
        <item x="269"/>
        <item x="375"/>
        <item x="185"/>
        <item x="126"/>
        <item x="212"/>
        <item x="19"/>
        <item x="465"/>
        <item x="252"/>
        <item x="79"/>
        <item x="369"/>
        <item x="202"/>
        <item x="365"/>
        <item x="451"/>
        <item x="310"/>
        <item x="298"/>
        <item x="59"/>
        <item x="21"/>
        <item x="198"/>
        <item x="238"/>
        <item x="436"/>
        <item x="312"/>
        <item x="40"/>
        <item x="199"/>
        <item x="316"/>
        <item x="257"/>
        <item x="119"/>
        <item x="14"/>
        <item x="318"/>
        <item x="291"/>
        <item x="183"/>
        <item x="210"/>
        <item x="324"/>
        <item x="341"/>
        <item x="383"/>
        <item x="349"/>
        <item x="149"/>
        <item x="208"/>
        <item x="187"/>
        <item x="446"/>
        <item x="44"/>
        <item x="146"/>
        <item x="162"/>
        <item x="18"/>
        <item x="170"/>
        <item x="370"/>
        <item x="195"/>
        <item x="17"/>
        <item x="384"/>
        <item x="346"/>
        <item x="73"/>
        <item x="104"/>
        <item x="359"/>
        <item x="363"/>
        <item x="300"/>
        <item x="35"/>
        <item x="113"/>
        <item x="247"/>
        <item x="194"/>
        <item x="431"/>
        <item x="444"/>
        <item x="102"/>
        <item x="34"/>
        <item x="48"/>
        <item x="246"/>
        <item x="99"/>
        <item x="155"/>
        <item x="473"/>
        <item x="448"/>
        <item x="287"/>
        <item x="293"/>
        <item x="142"/>
        <item x="88"/>
        <item x="165"/>
        <item x="190"/>
        <item x="197"/>
        <item x="216"/>
        <item x="65"/>
        <item x="107"/>
        <item x="54"/>
        <item x="460"/>
        <item x="108"/>
        <item x="41"/>
        <item x="458"/>
        <item x="172"/>
        <item x="84"/>
        <item x="424"/>
        <item x="410"/>
        <item x="418"/>
        <item x="243"/>
        <item x="425"/>
        <item x="143"/>
        <item x="201"/>
        <item x="72"/>
        <item x="159"/>
        <item x="131"/>
        <item x="401"/>
        <item x="367"/>
        <item x="438"/>
        <item x="308"/>
        <item x="78"/>
        <item x="105"/>
        <item x="110"/>
        <item x="323"/>
        <item x="236"/>
        <item x="304"/>
        <item x="16"/>
        <item x="342"/>
        <item x="319"/>
        <item x="153"/>
        <item x="317"/>
        <item x="457"/>
        <item x="275"/>
        <item x="226"/>
        <item x="106"/>
        <item x="395"/>
        <item x="0"/>
        <item x="42"/>
        <item x="263"/>
        <item x="332"/>
        <item x="151"/>
        <item x="5"/>
        <item x="60"/>
        <item x="351"/>
        <item x="207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6">
        <item x="15"/>
        <item x="8"/>
        <item x="6"/>
        <item x="0"/>
        <item x="7"/>
        <item x="12"/>
        <item x="13"/>
        <item x="4"/>
        <item x="2"/>
        <item x="5"/>
        <item x="10"/>
        <item x="1"/>
        <item x="9"/>
        <item x="11"/>
        <item x="14"/>
        <item x="3"/>
      </items>
    </pivotField>
    <pivotField axis="axisRow" compact="0" outline="0" showAll="0" defaultSubtotal="0">
      <items count="15">
        <item x="3"/>
        <item x="7"/>
        <item x="4"/>
        <item x="12"/>
        <item x="1"/>
        <item x="13"/>
        <item x="2"/>
        <item x="11"/>
        <item x="14"/>
        <item x="8"/>
        <item x="9"/>
        <item x="0"/>
        <item x="5"/>
        <item x="10"/>
        <item x="6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1"/>
        <item x="2"/>
        <item x="11"/>
        <item x="3"/>
        <item x="9"/>
        <item x="4"/>
        <item x="6"/>
        <item x="8"/>
        <item x="5"/>
        <item x="10"/>
        <item x="7"/>
        <item x="0"/>
      </items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4">
    <field x="5"/>
    <field x="6"/>
    <field x="10"/>
    <field x="1"/>
  </rowFields>
  <rowItems count="13">
    <i>
      <x v="1"/>
      <x v="9"/>
      <x/>
      <x v="347"/>
    </i>
    <i r="1">
      <x v="10"/>
      <x/>
      <x v="367"/>
    </i>
    <i>
      <x v="2"/>
      <x v="11"/>
      <x v="1"/>
      <x v="255"/>
    </i>
    <i>
      <x v="3"/>
      <x v="13"/>
      <x v="2"/>
      <x v="324"/>
    </i>
    <i>
      <x v="6"/>
      <x v="6"/>
      <x v="3"/>
      <x v="295"/>
    </i>
    <i>
      <x v="7"/>
      <x v="9"/>
      <x v="5"/>
      <x v="401"/>
    </i>
    <i r="1">
      <x v="14"/>
      <x v="4"/>
      <x v="174"/>
    </i>
    <i>
      <x v="9"/>
      <x v="8"/>
      <x v="6"/>
      <x v="81"/>
    </i>
    <i>
      <x v="10"/>
      <x v="3"/>
      <x v="7"/>
      <x v="31"/>
    </i>
    <i>
      <x v="14"/>
      <x v="5"/>
      <x v="8"/>
      <x v="73"/>
    </i>
    <i>
      <x v="15"/>
      <x v="10"/>
      <x v="9"/>
      <x v="430"/>
    </i>
    <i r="2">
      <x v="10"/>
      <x v="106"/>
    </i>
    <i t="grand">
      <x/>
    </i>
  </rowItems>
  <colItems count="1">
    <i/>
  </colItems>
  <pageFields count="1">
    <pageField fld="33" item="0" hier="-1"/>
  </pageFields>
  <dataFields count="1">
    <dataField name="인원" fld="0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892AC-9A4A-4BD2-9EF3-FDACF5B45B2D}" name="ptTenureView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>
  <location ref="B46:G54" firstHeaderRow="1" firstDataRow="2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4">
        <item x="1"/>
        <item x="2"/>
        <item x="0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5"/>
        <item x="1"/>
        <item x="2"/>
        <item x="0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인원" fld="0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82AA4-F99B-4538-B1E4-2AF82E51819F}" name="ptRetireView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>
  <location ref="B28:C39" firstHeaderRow="1" firstDataRow="1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7">
        <item x="19"/>
        <item x="34"/>
        <item x="9"/>
        <item x="12"/>
        <item x="5"/>
        <item x="28"/>
        <item x="2"/>
        <item x="24"/>
        <item x="4"/>
        <item x="14"/>
        <item h="1" x="11"/>
        <item h="1" x="23"/>
        <item h="1" x="25"/>
        <item h="1" x="6"/>
        <item h="1" x="1"/>
        <item h="1" x="7"/>
        <item h="1" x="8"/>
        <item h="1" x="17"/>
        <item h="1" x="16"/>
        <item h="1" x="32"/>
        <item h="1" x="3"/>
        <item h="1" x="29"/>
        <item h="1" x="21"/>
        <item h="1" x="13"/>
        <item h="1" x="33"/>
        <item h="1" x="36"/>
        <item h="1" x="30"/>
        <item h="1" x="22"/>
        <item h="1" x="31"/>
        <item h="1" x="27"/>
        <item h="1" x="35"/>
        <item h="1" x="18"/>
        <item h="1" x="20"/>
        <item h="1" x="10"/>
        <item h="1" x="26"/>
        <item h="1" x="15"/>
        <item h="1"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3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인원" fld="0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F5585-B316-4D6B-8E73-BA41DFCED123}" name="ptStagView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>
  <location ref="B9:F19" firstHeaderRow="1" firstDataRow="2" firstDataCol="1" rowPageCount="2" colPageCount="1"/>
  <pivotFields count="42"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7"/>
        <item x="3"/>
        <item x="1"/>
        <item x="9"/>
        <item x="4"/>
        <item x="0"/>
        <item x="10"/>
        <item x="6"/>
        <item x="11"/>
        <item x="8"/>
        <item x="2"/>
      </items>
    </pivotField>
    <pivotField compact="0" outline="0" showAll="0"/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3">
        <item x="0"/>
        <item x="1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9"/>
    </i>
    <i>
      <x v="11"/>
    </i>
    <i t="grand">
      <x/>
    </i>
  </rowItems>
  <colFields count="1">
    <field x="31"/>
  </colFields>
  <colItems count="4">
    <i>
      <x/>
    </i>
    <i>
      <x v="1"/>
    </i>
    <i>
      <x v="2"/>
    </i>
    <i t="grand">
      <x/>
    </i>
  </colItems>
  <pageFields count="2">
    <pageField fld="2" item="0" hier="-1"/>
    <pageField fld="22" item="0" hier="-1"/>
  </pageFields>
  <dataFields count="1">
    <dataField name="인원" fld="0" subtotal="count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F865-EDE5-4BA6-AA55-F1F3E22E5689}" name="ptLeaveDur" cacheId="5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154:H160" firstHeaderRow="1" firstDataRow="2" firstDataCol="1" rowPageCount="1" colPageCount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7">
        <item x="3"/>
        <item x="5"/>
        <item x="2"/>
        <item x="6"/>
        <item x="1"/>
        <item x="4"/>
        <item x="0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6">
        <item x="4"/>
        <item x="1"/>
        <item x="2"/>
        <item x="3"/>
        <item x="5"/>
        <item x="0"/>
      </items>
    </pivotField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9" item="1" hier="-1"/>
  </pageFields>
  <dataFields count="1">
    <dataField name="인원" fld="0" subtotal="count" baseField="0" baseItem="0" numFmtId="3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1BD96-A3BF-42FD-BF87-CFA139BECA4E}" name="ptHist" cacheId="52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137:E149" firstHeaderRow="1" firstDataRow="2" firstDataCol="1"/>
  <pivotFields count="7">
    <pivotField axis="axisCol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76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인원" fld="5" baseField="0" baseItem="0" numFmtId="3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FC44C-3EF7-4764-AF5D-3A81D355F482}" name="ptTenure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124:F132" firstHeaderRow="1" firstDataRow="2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4">
        <item x="1"/>
        <item x="2"/>
        <item x="0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5"/>
        <item x="1"/>
        <item x="2"/>
        <item x="0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인원" fld="0" subtotal="count" baseField="0" baseItem="0" numFmtId="3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1E693-EAEC-4F4C-9C2A-830B519FEE20}" name="ptRetire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108:B119" firstHeaderRow="1" firstDataRow="1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7">
        <item x="19"/>
        <item x="34"/>
        <item x="9"/>
        <item x="12"/>
        <item x="5"/>
        <item x="28"/>
        <item x="2"/>
        <item x="24"/>
        <item x="4"/>
        <item x="14"/>
        <item h="1" x="11"/>
        <item h="1" x="23"/>
        <item h="1" x="25"/>
        <item h="1" x="6"/>
        <item h="1" x="1"/>
        <item h="1" x="7"/>
        <item h="1" x="8"/>
        <item h="1" x="17"/>
        <item h="1" x="16"/>
        <item h="1" x="32"/>
        <item h="1" x="3"/>
        <item h="1" x="29"/>
        <item h="1" x="21"/>
        <item h="1" x="13"/>
        <item h="1" x="33"/>
        <item h="1" x="36"/>
        <item h="1" x="30"/>
        <item h="1" x="22"/>
        <item h="1" x="31"/>
        <item h="1" x="27"/>
        <item h="1" x="35"/>
        <item h="1" x="18"/>
        <item h="1" x="20"/>
        <item h="1" x="10"/>
        <item h="1" x="26"/>
        <item h="1" x="15"/>
        <item h="1"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3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인원" fld="0" subtotal="count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58026-365A-436C-9B6A-F8BDF23224BC}" name="ptStag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93:E103" firstHeaderRow="1" firstDataRow="2" firstDataCol="1" rowPageCount="2" colPageCount="1"/>
  <pivotFields count="42"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7"/>
        <item x="3"/>
        <item x="1"/>
        <item x="9"/>
        <item x="4"/>
        <item x="0"/>
        <item x="10"/>
        <item x="6"/>
        <item x="11"/>
        <item x="8"/>
        <item x="2"/>
      </items>
    </pivotField>
    <pivotField compact="0" outline="0" showAll="0"/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3">
        <item x="0"/>
        <item x="1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9"/>
    </i>
    <i>
      <x v="11"/>
    </i>
    <i t="grand">
      <x/>
    </i>
  </rowItems>
  <colFields count="1">
    <field x="31"/>
  </colFields>
  <colItems count="4">
    <i>
      <x/>
    </i>
    <i>
      <x v="1"/>
    </i>
    <i>
      <x v="2"/>
    </i>
    <i t="grand">
      <x/>
    </i>
  </colItems>
  <pageFields count="2">
    <pageField fld="2" item="0" hier="-1"/>
    <pageField fld="22" item="0" hier="-1"/>
  </pageFields>
  <dataFields count="1">
    <dataField name="인원" fld="0" subtotal="count" baseField="0" baseItem="0" numFmtId="3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2F871-E93D-4DFF-B3BE-F4ECE956F165}" name="ptMonth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71:B88" firstHeaderRow="1" firstDataRow="1" firstDataCol="1" rowPageCount="1" colPageCount="1"/>
  <pivotFields count="42"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7">
        <item x="0"/>
        <item x="7"/>
        <item x="4"/>
        <item x="15"/>
        <item x="6"/>
        <item x="9"/>
        <item x="16"/>
        <item x="3"/>
        <item x="1"/>
        <item x="5"/>
        <item x="14"/>
        <item x="2"/>
        <item x="11"/>
        <item x="10"/>
        <item x="8"/>
        <item x="12"/>
        <item x="13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37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item="1" hier="-1"/>
  </pageFields>
  <dataFields count="1">
    <dataField name="인원" fld="0" subtotal="count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1EDBD-3B08-497F-9E43-EA6B730FA3E8}" name="ptReason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59:B66" firstHeaderRow="1" firstDataRow="1" firstDataCol="1" rowPageCount="1" colPageCount="1"/>
  <pivotFields count="42"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 defaultSubtotal="0">
      <items count="7">
        <item x="0"/>
        <item x="3"/>
        <item x="5"/>
        <item x="2"/>
        <item x="6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35"/>
  </rowFields>
  <rowItems count="7">
    <i>
      <x v="5"/>
    </i>
    <i>
      <x v="6"/>
    </i>
    <i>
      <x v="1"/>
    </i>
    <i>
      <x v="3"/>
    </i>
    <i>
      <x v="4"/>
    </i>
    <i>
      <x v="2"/>
    </i>
    <i t="grand">
      <x/>
    </i>
  </rowItems>
  <colItems count="1">
    <i/>
  </colItems>
  <pageFields count="1">
    <pageField fld="2" item="1" hier="-1"/>
  </pageFields>
  <dataFields count="1">
    <dataField name="인원" fld="0" subtotal="count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7FD8F-02D6-4B2D-AC19-5D3190E22BBB}" name="ptAge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48:D54" firstHeaderRow="1" firstDataRow="2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3"/>
        <item x="1"/>
        <item x="0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인원" fld="0" subtotal="count" baseField="0" baseItem="0" numFmtId="3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7402B-551F-4659-8508-D6F61948B4BE}" name="ptGroup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38:B43" firstHeaderRow="1" firstDataRow="1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 defaultSubtotal="0">
      <items count="4">
        <item x="1"/>
        <item x="2"/>
        <item x="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인원" fld="0" subtotal="count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379FD-5040-4EE9-B471-F3FCF56C124B}" name="ptLeaveRate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22:B33" firstHeaderRow="1" firstDataRow="1" firstDataCol="1" rowPageCount="1" colPageCount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7"/>
        <item x="3"/>
        <item x="1"/>
        <item x="9"/>
        <item x="4"/>
        <item x="11"/>
        <item x="2"/>
        <item x="10"/>
        <item x="0"/>
        <item x="6"/>
        <item x="8"/>
      </items>
    </pivotField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2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3" item="1" hier="-1"/>
  </pageFields>
  <dataFields count="1">
    <dataField name="휴직률 " fld="41" baseField="0" baseItem="0" numFmtId="17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324C9-0740-4C49-8199-2D0C86C5ACD3}" name="ptGrade" cacheId="77" applyNumberFormats="0" applyBorderFormats="0" applyFontFormats="0" applyPatternFormats="0" applyAlignmentFormats="0" applyWidthHeightFormats="1" dataCaption="값" updatedVersion="7" minRefreshableVersion="3" showCalcMbrs="0" useAutoFormatting="1" itemPrintTitles="1" createdVersion="3" indent="0" compact="0" compactData="0" multipleFieldFilters="0" chartFormat="1">
  <location ref="A5:D17" firstHeaderRow="1" firstDataRow="2" firstDataCol="1" rowPageCount="1" colPageCount="1"/>
  <pivotFields count="42">
    <pivotField dataField="1" compact="0" outline="0" showAll="0"/>
    <pivotField compact="0" outline="0" showAll="0"/>
    <pivotField axis="axisCol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7"/>
        <item x="3"/>
        <item x="1"/>
        <item x="9"/>
        <item x="4"/>
        <item x="11"/>
        <item x="2"/>
        <item x="10"/>
        <item x="0"/>
        <item x="6"/>
        <item x="8"/>
      </items>
    </pivotField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3" item="1" hier="-1"/>
  </pageFields>
  <dataFields count="1">
    <dataField name="인원" fld="0" subtotal="count" baseField="0" baseItem="0" numFmtId="3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6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7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직군" xr10:uid="{CFE4342F-9E3E-4818-85F6-D9B340F31467}" sourceName="직군">
  <pivotTables>
    <pivotTable tabId="6" name="ptCross"/>
  </pivotTables>
  <data>
    <tabular pivotCacheId="239039477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재직상태구분" xr10:uid="{4CCEFEB9-6797-498D-AF5F-8EEF2209D78C}" sourceName="재직상태구분">
  <pivotTables>
    <pivotTable tabId="6" name="ptCross"/>
  </pivotTables>
  <data>
    <tabular pivotCacheId="239039477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성별" xr10:uid="{14D7DAF7-0786-4C4C-9D0A-06780BE2B287}" sourceName="성별">
  <pivotTables>
    <pivotTable tabId="6" name="ptCross"/>
  </pivotTables>
  <data>
    <tabular pivotCacheId="239039477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연령대" xr10:uid="{CE0B6BF4-F2BB-4E73-A1BD-DBB7438F8F36}" sourceName="연령대">
  <pivotTables>
    <pivotTable tabId="6" name="ptCross"/>
  </pivotTables>
  <data>
    <tabular pivotCacheId="239039477">
      <items count="4">
        <i x="3" s="1"/>
        <i x="1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집계급수" xr10:uid="{BAA0C4E4-855A-44BE-8A70-334FCB1F37C3}" sourceName="집계급수">
  <pivotTables>
    <pivotTable tabId="6" name="ptCross"/>
  </pivotTables>
  <data>
    <tabular pivotCacheId="239039477">
      <items count="12">
        <i x="5" s="1"/>
        <i x="7" s="1"/>
        <i x="3" s="1"/>
        <i x="1" s="1"/>
        <i x="9" s="1"/>
        <i x="4" s="1"/>
        <i x="0" s="1"/>
        <i x="10" s="1"/>
        <i x="6" s="1"/>
        <i x="11" s="1"/>
        <i x="8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근속구간" xr10:uid="{4B9F6511-01D3-4C35-9420-D290B11A4748}" sourceName="근속구간">
  <pivotTables>
    <pivotTable tabId="6" name="ptCross"/>
  </pivotTables>
  <data>
    <tabular pivotCacheId="239039477">
      <items count="6">
        <i x="2" s="1"/>
        <i x="0" s="1"/>
        <i x="3" s="1"/>
        <i x="1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직군" xr10:uid="{EB64F6D5-A33E-4522-AC10-0713F0D7C9B0}" cache="슬라이서_직군" caption="직군" rowHeight="190500"/>
  <slicer name="재직상태구분" xr10:uid="{08906A23-FAEA-40FD-80E1-5DA74A11051A}" cache="슬라이서_재직상태구분" caption="재직상태구분" rowHeight="190500"/>
  <slicer name="성별" xr10:uid="{AA5A3FDF-44B0-4364-A210-1CA646F7FC3D}" cache="슬라이서_성별" caption="성별" rowHeight="190500"/>
  <slicer name="연령대" xr10:uid="{257E6FD4-0014-44CA-B18D-46A6CE855AAD}" cache="슬라이서_연령대" caption="연령대" rowHeight="190500"/>
  <slicer name="집계급수" xr10:uid="{A3C5BE38-0FD0-4122-8912-E9EFE1F7F52A}" cache="슬라이서_집계급수" caption="집계급수" rowHeight="190500"/>
  <slicer name="근속구간" xr10:uid="{83CA5763-651E-4312-BD55-1D51829B4ACD}" cache="슬라이서_근속구간" caption="근속구간" rowHeight="1905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AA80E-1F3F-4C84-8BBE-6C52CD7E1A4C}" name="tblRoster" displayName="tblRoster" ref="A1:AO481" totalsRowShown="0" headerRowDxfId="2">
  <autoFilter ref="A1:AO481" xr:uid="{A21AA80E-1F3F-4C84-8BBE-6C52CD7E1A4C}"/>
  <tableColumns count="41">
    <tableColumn id="1" xr3:uid="{7808214D-CE0D-4082-937D-39CCE8634C2B}" name="교직원번호"/>
    <tableColumn id="2" xr3:uid="{1AA87E6F-BE02-4517-885C-53A32C56B9E3}" name="성명"/>
    <tableColumn id="3" xr3:uid="{01FD613F-B404-4DAC-A944-42895324A287}" name="재직상태구분"/>
    <tableColumn id="4" xr3:uid="{30C6C220-EE7A-4194-AFEC-F618212B0830}" name="나이"/>
    <tableColumn id="5" xr3:uid="{84692A5A-DD3F-4240-8A45-30ABE45CD88F}" name="성별"/>
    <tableColumn id="6" xr3:uid="{BD7F376C-7600-41E7-A828-E60C47F531C4}" name="상위소속"/>
    <tableColumn id="7" xr3:uid="{0B06E5DB-1A0C-488B-945B-EB93AFD74C44}" name="소속"/>
    <tableColumn id="8" xr3:uid="{B18303C9-DDCE-4BA5-B90C-8CE1C5BD9DAD}" name="직급"/>
    <tableColumn id="9" xr3:uid="{F5A7817D-2EDF-4A60-9FC0-93CA47CFDA9B}" name="교직원상세구분"/>
    <tableColumn id="10" xr3:uid="{D68E914B-32EE-4C61-BC51-6BD00EF688F9}" name="공무원구분"/>
    <tableColumn id="11" xr3:uid="{C9764A43-5986-4DDA-933C-DB332F4DF239}" name="직위"/>
    <tableColumn id="12" xr3:uid="{09FFDF25-C17B-4502-9B0D-7C01578A6F57}" name="정년보장여부"/>
    <tableColumn id="13" xr3:uid="{D966B2DF-D7A6-4B09-85D7-9F915ED82DD0}" name="외국인여부"/>
    <tableColumn id="14" xr3:uid="{B041F54E-1608-49A9-8C79-514F09864559}" name="최초발령시작일자" dataDxfId="11"/>
    <tableColumn id="15" xr3:uid="{7CAF75C8-A02D-454D-B714-82C14E6DED9D}" name="본교발령시작일자" dataDxfId="10"/>
    <tableColumn id="16" xr3:uid="{F63E66B0-6D60-4336-B4B8-26D50148DD12}" name="직급발령시작일자" dataDxfId="9"/>
    <tableColumn id="17" xr3:uid="{E792AC40-495D-4B3F-91B1-22976976ECB0}" name="소속발령시작일자" dataDxfId="8"/>
    <tableColumn id="18" xr3:uid="{39C4A017-22D5-4442-9796-0BF0DECB2422}" name="인사시스템근속년수"/>
    <tableColumn id="19" xr3:uid="{237B95FB-166D-4DB8-BF3C-A11C0C8AFC9F}" name="휴직정보(원문)"/>
    <tableColumn id="20" xr3:uid="{97BD43DD-4147-446A-9E07-295531869F5A}" name="급수">
      <calculatedColumnFormula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calculatedColumnFormula>
    </tableColumn>
    <tableColumn id="21" xr3:uid="{BFC96679-88E2-46E2-90D1-8C61C29EC4D1}" name="집계급수">
      <calculatedColumnFormula>IF(tblRoster[[#This Row],[급수]]="4급(임기제)","4급",tblRoster[[#This Row],[급수]])</calculatedColumnFormula>
    </tableColumn>
    <tableColumn id="22" xr3:uid="{8B1DD74B-7DD1-4CBD-BAFB-2A2BB9417EB9}" name="급수순서">
      <calculatedColumnFormula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calculatedColumnFormula>
    </tableColumn>
    <tableColumn id="23" xr3:uid="{21591F05-B230-417A-9DEA-27B2B71D41AB}" name="직군">
      <calculatedColumnFormula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calculatedColumnFormula>
    </tableColumn>
    <tableColumn id="24" xr3:uid="{39D3F4D4-0E40-4795-9BFC-AB4763E0236A}" name="집계대상">
      <calculatedColumnFormula>IF(OR(tblRoster[[#This Row],[교직원상세구분]]="사회복무요원",tblRoster[[#This Row],[교직원상세구분]]="인턴(수습)"),"제외","포함")</calculatedColumnFormula>
    </tableColumn>
    <tableColumn id="25" xr3:uid="{EB590BD9-BF9C-4E73-9E6D-F272FFF30D62}" name="인원플래그">
      <calculatedColumnFormula>1</calculatedColumnFormula>
    </tableColumn>
    <tableColumn id="26" xr3:uid="{1A4DC660-33A3-4205-ACC1-0007668459EB}" name="휴직플래그">
      <calculatedColumnFormula>IF(tblRoster[[#This Row],[재직상태구분]]="휴직",1,0)</calculatedColumnFormula>
    </tableColumn>
    <tableColumn id="27" xr3:uid="{7BB7CCF5-1959-4B20-9F75-5850C831D206}" name="연령대">
      <calculatedColumnFormula>_xlfn.IFS(tblRoster[[#This Row],[나이]]="","미상",tblRoster[[#This Row],[나이]]&lt;30,"20대 이하",tblRoster[[#This Row],[나이]]&lt;40,"30대",tblRoster[[#This Row],[나이]]&lt;50,"40대",tblRoster[[#This Row],[나이]]&lt;60,"50대",TRUE,"60대 이상")</calculatedColumnFormula>
    </tableColumn>
    <tableColumn id="28" xr3:uid="{B5A0D83E-EBE0-4AF3-A186-4CAF26CC02FB}" name="본교발령경과년수">
      <calculatedColumnFormula>IF(tblRoster[[#This Row],[본교발령시작일자]]="","",DATEDIF(tblRoster[[#This Row],[본교발령시작일자]],TODAY(),"Y"))</calculatedColumnFormula>
    </tableColumn>
    <tableColumn id="29" xr3:uid="{2D78FB2B-53A7-4AAE-8E46-BC129A9EBAA9}" name="최초발령경과년수">
      <calculatedColumnFormula>IF(tblRoster[[#This Row],[최초발령시작일자]]="","",DATEDIF(tblRoster[[#This Row],[최초발령시작일자]],TODAY(),"Y"))</calculatedColumnFormula>
    </tableColumn>
    <tableColumn id="30" xr3:uid="{93C12EE2-9A73-46A8-93EB-F70C57230538}" name="근속구간">
      <calculatedColumnFormula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calculatedColumnFormula>
    </tableColumn>
    <tableColumn id="31" xr3:uid="{876B4B12-BF62-4CBA-97D1-EB8FE06F67A9}" name="현직급체류년수">
      <calculatedColumnFormula>IF(tblRoster[[#This Row],[직급발령시작일자]]="","",ROUND(YEARFRAC(tblRoster[[#This Row],[직급발령시작일자]],TODAY()),1))</calculatedColumnFormula>
    </tableColumn>
    <tableColumn id="32" xr3:uid="{3FD730BB-EA90-44BC-8D8E-3D7678852DEC}" name="적체구분">
      <calculatedColumnFormula>_xlfn.IFS(tblRoster[[#This Row],[현직급체류년수]]="","미상",tblRoster[[#This Row],[현직급체류년수]]&gt;=10,"10년 이상",tblRoster[[#This Row],[현직급체류년수]]&gt;=5,"5~10년",TRUE,"5년 미만")</calculatedColumnFormula>
    </tableColumn>
    <tableColumn id="33" xr3:uid="{087A3906-8DE6-4350-8E24-F2DE5A7E52FC}" name="정년도래연도">
      <calculatedColumnFormula>IF(OR(tblRoster[[#This Row],[공무원구분]]&lt;&gt;"공무원",tblRoster[[#This Row],[나이]]=""),"",YEAR(TODAY())+(60-tblRoster[[#This Row],[나이]]))</calculatedColumnFormula>
    </tableColumn>
    <tableColumn id="34" xr3:uid="{566D4168-2DE1-4720-9107-2B0C26143F68}" name="보직자여부">
      <calculatedColumnFormula>IF(tblRoster[[#This Row],[직위]]="","일반","보직자")</calculatedColumnFormula>
    </tableColumn>
    <tableColumn id="35" xr3:uid="{ADD2FC73-6CD7-458D-BE10-9336621C86D0}" name="현재휴직시작일" dataDxfId="7">
      <calculatedColumnFormula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calculatedColumnFormula>
    </tableColumn>
    <tableColumn id="36" xr3:uid="{69747104-4747-4A41-B071-4BB3E781F7B6}" name="휴직사유">
      <calculatedColumnFormula>IF(tblRoster[[#This Row],[현재휴직시작일]]="","",IFERROR(INDEX(tblLeave[휴직구분],MATCH(tblRoster[[#This Row],[교직원번호]]&amp;"|"&amp;tblRoster[[#This Row],[현재휴직시작일]],tblLeave[매칭키],0)),"확인필요"))</calculatedColumnFormula>
    </tableColumn>
    <tableColumn id="37" xr3:uid="{96C947B6-9FBD-4C2E-8F24-FC9111032E59}" name="복직예정일" dataDxfId="6">
      <calculatedColumnFormula>IF(tblRoster[[#This Row],[현재휴직시작일]]="","",IFERROR(INDEX(tblLeave[종료일],MATCH(tblRoster[[#This Row],[교직원번호]]&amp;"|"&amp;tblRoster[[#This Row],[현재휴직시작일]],tblLeave[매칭키],0)),""))</calculatedColumnFormula>
    </tableColumn>
    <tableColumn id="38" xr3:uid="{BC146140-51B6-4280-93FE-ACBFB0046FDE}" name="복직예정월">
      <calculatedColumnFormula>IF(tblRoster[[#This Row],[복직예정일]]="","",TEXT(tblRoster[[#This Row],[복직예정일]],"yyyy-mm"))</calculatedColumnFormula>
    </tableColumn>
    <tableColumn id="39" xr3:uid="{D7FFD89C-49ED-4DDF-BFAE-30709606EA5A}" name="휴직잔여일수">
      <calculatedColumnFormula>IF(tblRoster[[#This Row],[복직예정일]]="","",tblRoster[[#This Row],[복직예정일]]-TODAY())</calculatedColumnFormula>
    </tableColumn>
    <tableColumn id="40" xr3:uid="{AE046CC3-B678-4FF4-8F27-D15E3213D712}" name="복직임박">
      <calculatedColumnFormula>IF(tblRoster[[#This Row],[휴직잔여일수]]="","",IF(tblRoster[[#This Row],[휴직잔여일수]]&lt;=180,"6개월내","6개월이후"))</calculatedColumnFormula>
    </tableColumn>
    <tableColumn id="41" xr3:uid="{06942FD8-D9A1-4882-AF9E-8F3F3E28291E}" name="데이터검토">
      <calculatedColumnFormula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63C36-59A6-4696-BA65-7D543D00F335}" name="tblLeave" displayName="tblLeave" ref="A1:N136" totalsRowShown="0" headerRowDxfId="1">
  <autoFilter ref="A1:N136" xr:uid="{6B463C36-59A6-4696-BA65-7D543D00F335}"/>
  <tableColumns count="14">
    <tableColumn id="1" xr3:uid="{0B7FD7A3-7087-473D-9112-CAAB6D6AD72A}" name="교직원번호"/>
    <tableColumn id="2" xr3:uid="{3A44C708-55DD-4E5F-A135-F38403EA4936}" name="성명"/>
    <tableColumn id="3" xr3:uid="{3FD6E671-A602-4019-879D-7ADB48BA24B4}" name="재직상태구분"/>
    <tableColumn id="4" xr3:uid="{BCE8BE2E-EFCD-4860-9671-CA3CF331B4FB}" name="순번"/>
    <tableColumn id="5" xr3:uid="{EA8E17BA-16FA-47B3-AC61-F6A970AEE235}" name="휴직구분"/>
    <tableColumn id="6" xr3:uid="{BA5ECABE-70C7-4C91-8C8C-A23D8E6EF54B}" name="시작일" dataDxfId="5"/>
    <tableColumn id="7" xr3:uid="{F89B4B39-D2A4-488E-B670-4CCAFD188A4E}" name="종료일" dataDxfId="4"/>
    <tableColumn id="8" xr3:uid="{A607BF98-68E3-4566-AE65-49629FF334B6}" name="매칭키">
      <calculatedColumnFormula>IF(tblLeave[[#This Row],[휴직구분]]="휴직복직","",tblLeave[[#This Row],[교직원번호]]&amp;"|"&amp;tblLeave[[#This Row],[시작일]])</calculatedColumnFormula>
    </tableColumn>
    <tableColumn id="9" xr3:uid="{3BE3C8DA-B9B5-41A9-B263-398512BC3133}" name="휴직기간일수">
      <calculatedColumnFormula>IF(tblLeave[[#This Row],[휴직구분]]="휴직복직","",tblLeave[[#This Row],[종료일]]-tblLeave[[#This Row],[시작일]])</calculatedColumnFormula>
    </tableColumn>
    <tableColumn id="10" xr3:uid="{CDD889CD-9EAB-4193-B640-5DA9D45BB36E}" name="현재진행">
      <calculatedColumnFormula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calculatedColumnFormula>
    </tableColumn>
    <tableColumn id="11" xr3:uid="{79B5F0ED-2239-4210-89DE-6564A2648575}" name="복직예정월">
      <calculatedColumnFormula>IF(tblLeave[[#This Row],[휴직구분]]="휴직복직","",TEXT(tblLeave[[#This Row],[종료일]],"yyyy-mm"))</calculatedColumnFormula>
    </tableColumn>
    <tableColumn id="12" xr3:uid="{2D5536D0-9366-44B1-8AE3-68E3C67B0F63}" name="시작연도">
      <calculatedColumnFormula>IF(tblLeave[[#This Row],[휴직구분]]="휴직복직","",YEAR(tblLeave[[#This Row],[시작일]]))</calculatedColumnFormula>
    </tableColumn>
    <tableColumn id="13" xr3:uid="{046EFA9A-A8A4-4A2C-B6DD-8F60BCF2A010}" name="휴직기간구간">
      <calculatedColumnFormula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calculatedColumnFormula>
    </tableColumn>
    <tableColumn id="14" xr3:uid="{E03125EB-6D4C-4507-9607-E1A7B60090B7}" name="검토">
      <calculatedColumnFormula>IF(tblLeave[[#This Row],[시작일]]&gt;tblLeave[[#This Row],[종료일]],"오류","")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1D4AF-0320-40CB-A83D-A12828DAC72A}" name="tblHistory" displayName="tblHistory" ref="A1:G31" totalsRowShown="0" headerRowDxfId="0">
  <autoFilter ref="A1:G31" xr:uid="{BB31D4AF-0320-40CB-A83D-A12828DAC72A}"/>
  <tableColumns count="7">
    <tableColumn id="1" xr3:uid="{E4DEE107-136C-42C1-8A9C-C6E9CAE1ADF0}" name="기준시점"/>
    <tableColumn id="2" xr3:uid="{6F02D152-D78C-422D-AF91-62DC9A5F15B0}" name="구분"/>
    <tableColumn id="3" xr3:uid="{89C1C69A-FEF8-4E79-AB25-16C44B02C87C}" name="재직"/>
    <tableColumn id="4" xr3:uid="{150EEBA4-675F-441A-831B-928B3A87A004}" name="휴직"/>
    <tableColumn id="5" xr3:uid="{5D99F677-2BE6-4F3D-ABDD-65242985F99F}" name="자료출처"/>
    <tableColumn id="6" xr3:uid="{6AE91A85-7E9A-48D5-BF60-80BB7C492281}" name="총계">
      <calculatedColumnFormula>tblHistory[[#This Row],[재직]]+tblHistory[[#This Row],[휴직]]</calculatedColumnFormula>
    </tableColumn>
    <tableColumn id="7" xr3:uid="{1D941FB6-137C-443B-AFD2-39B681A65487}" name="휴직률" dataDxfId="3">
      <calculatedColumnFormula>IF(tblHistory[[#This Row],[총계]]=0,"",tblHistory[[#This Row],[휴직]]/tblHistory[[#This Row],[총계]])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11" Type="http://schemas.openxmlformats.org/officeDocument/2006/relationships/pivotTable" Target="../pivotTables/pivotTable19.xml"/><Relationship Id="rId5" Type="http://schemas.openxmlformats.org/officeDocument/2006/relationships/pivotTable" Target="../pivotTables/pivotTable13.xml"/><Relationship Id="rId10" Type="http://schemas.openxmlformats.org/officeDocument/2006/relationships/pivotTable" Target="../pivotTables/pivotTable18.xml"/><Relationship Id="rId4" Type="http://schemas.openxmlformats.org/officeDocument/2006/relationships/pivotTable" Target="../pivotTables/pivotTable12.xml"/><Relationship Id="rId9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07F6-30F2-49B5-822D-7B21F707ADE4}">
  <dimension ref="A1:Q47"/>
  <sheetViews>
    <sheetView showGridLines="0" tabSelected="1" workbookViewId="0">
      <selection sqref="A1:Q1"/>
    </sheetView>
  </sheetViews>
  <sheetFormatPr defaultRowHeight="13.5" x14ac:dyDescent="0.3"/>
  <cols>
    <col min="1" max="1" width="2.25" style="3" customWidth="1"/>
    <col min="2" max="17" width="9.25" style="3" customWidth="1"/>
    <col min="18" max="16384" width="9" style="3"/>
  </cols>
  <sheetData>
    <row r="1" spans="1:17" ht="33.950000000000003" customHeight="1" x14ac:dyDescent="0.3">
      <c r="A1" s="7" t="s">
        <v>785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 x14ac:dyDescent="0.3">
      <c r="A2" s="9" t="s">
        <v>786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3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4.25" thickBot="1" x14ac:dyDescent="0.35"/>
    <row r="5" spans="1:17" ht="16.5" customHeight="1" x14ac:dyDescent="0.2">
      <c r="B5" s="11" t="s">
        <v>787</v>
      </c>
      <c r="C5" s="12"/>
      <c r="D5" s="12"/>
      <c r="E5" s="12"/>
      <c r="F5" s="20" t="s">
        <v>8</v>
      </c>
      <c r="G5" s="21"/>
      <c r="H5" s="21"/>
      <c r="I5" s="21"/>
      <c r="J5" s="24" t="s">
        <v>16</v>
      </c>
      <c r="K5" s="25"/>
      <c r="L5" s="25"/>
      <c r="M5" s="25"/>
      <c r="N5" s="11" t="s">
        <v>788</v>
      </c>
      <c r="O5" s="12"/>
      <c r="P5" s="12"/>
      <c r="Q5" s="13"/>
    </row>
    <row r="6" spans="1:17" ht="31.5" x14ac:dyDescent="0.3">
      <c r="B6" s="14">
        <f>COUNTA(tblRoster[교직원번호])</f>
        <v>480</v>
      </c>
      <c r="C6" s="15"/>
      <c r="D6" s="15"/>
      <c r="E6" s="15"/>
      <c r="F6" s="22">
        <f>COUNTIF(tblRoster[재직상태구분],"재직")</f>
        <v>446</v>
      </c>
      <c r="G6" s="23"/>
      <c r="H6" s="23"/>
      <c r="I6" s="23"/>
      <c r="J6" s="26">
        <f>COUNTIF(tblRoster[재직상태구분],"휴직")</f>
        <v>34</v>
      </c>
      <c r="K6" s="27"/>
      <c r="L6" s="27"/>
      <c r="M6" s="27"/>
      <c r="N6" s="28">
        <f>ROUND(AVERAGE(tblRoster[나이]),1)</f>
        <v>41.3</v>
      </c>
      <c r="O6" s="29"/>
      <c r="P6" s="29"/>
      <c r="Q6" s="30"/>
    </row>
    <row r="7" spans="1:17" x14ac:dyDescent="0.3">
      <c r="B7" s="17" t="str">
        <f>"집계대상 "&amp;COUNTIF(tblRoster[집계대상],"포함")&amp;"명 + 제외 "&amp;COUNTIF(tblRoster[집계대상],"제외")&amp;"명"</f>
        <v>집계대상 450명 + 제외 30명</v>
      </c>
      <c r="C7" s="18"/>
      <c r="D7" s="18"/>
      <c r="E7" s="18"/>
      <c r="F7" s="17" t="str">
        <f>"실가동 인원 · 전체의 "&amp;TEXT(COUNTIF(tblRoster[재직상태구분],"재직")/COUNTA(tblRoster[교직원번호]),"0.0%")</f>
        <v>실가동 인원 · 전체의 92.9%</v>
      </c>
      <c r="G7" s="18"/>
      <c r="H7" s="18"/>
      <c r="I7" s="18"/>
      <c r="J7" s="17" t="str">
        <f>"휴직률 "&amp;TEXT(COUNTIF(tblRoster[재직상태구분],"휴직")/COUNTIF(tblRoster[집계대상],"포함"),"0.0%")&amp;" (집계대상 기준)"&amp;" · "&amp;"2년 전(집계표) "&amp;TEXT(IFERROR(SUMIFS(tblHistory[휴직],tblHistory[기준시점],"2년 전(집계표)")/(SUMIFS(tblHistory[재직],tblHistory[기준시점],"2년 전(집계표)")+SUMIFS(tblHistory[휴직],tblHistory[기준시점],"2년 전(집계표)")),""),"0.0%")</f>
        <v>휴직률 7.6% (집계대상 기준) · 2년 전(집계표) 7.1%</v>
      </c>
      <c r="K7" s="18"/>
      <c r="L7" s="18"/>
      <c r="M7" s="18"/>
      <c r="N7" s="17" t="str">
        <f>"평균 근속 "&amp;TEXT(AVERAGE(tblRoster[인사시스템근속년수]),"0.0")&amp;"년"</f>
        <v>평균 근속 14.1년</v>
      </c>
      <c r="O7" s="18"/>
      <c r="P7" s="18"/>
      <c r="Q7" s="19"/>
    </row>
    <row r="8" spans="1:17" ht="14.25" thickBot="1" x14ac:dyDescent="0.35"/>
    <row r="9" spans="1:17" ht="16.5" customHeight="1" x14ac:dyDescent="0.2">
      <c r="B9" s="31" t="s">
        <v>789</v>
      </c>
      <c r="C9" s="32"/>
      <c r="D9" s="32"/>
      <c r="E9" s="32"/>
      <c r="F9" s="35" t="s">
        <v>790</v>
      </c>
      <c r="G9" s="36"/>
      <c r="H9" s="36"/>
      <c r="I9" s="36"/>
      <c r="J9" s="24" t="s">
        <v>791</v>
      </c>
      <c r="K9" s="25"/>
      <c r="L9" s="25"/>
      <c r="M9" s="25"/>
      <c r="N9" s="11" t="s">
        <v>792</v>
      </c>
      <c r="O9" s="12"/>
      <c r="P9" s="12"/>
      <c r="Q9" s="13"/>
    </row>
    <row r="10" spans="1:17" ht="31.5" x14ac:dyDescent="0.3">
      <c r="B10" s="33">
        <f>COUNTIF(tblRoster[성별],"여자")/COUNTA(tblRoster[교직원번호])</f>
        <v>0.54791666666666672</v>
      </c>
      <c r="C10" s="34"/>
      <c r="D10" s="34"/>
      <c r="E10" s="34"/>
      <c r="F10" s="37">
        <f ca="1">COUNTIFS(tblRoster[집계급수],"6급",tblRoster[적체구분],"10년 이상")</f>
        <v>21</v>
      </c>
      <c r="G10" s="38"/>
      <c r="H10" s="38"/>
      <c r="I10" s="38"/>
      <c r="J10" s="26">
        <f ca="1">COUNTIF(tblRoster[복직임박],"6개월내")</f>
        <v>13</v>
      </c>
      <c r="K10" s="27"/>
      <c r="L10" s="27"/>
      <c r="M10" s="27"/>
      <c r="N10" s="14">
        <f ca="1">COUNTIFS(tblRoster[정년도래연도],"&gt;="&amp;YEAR(TODAY()),tblRoster[정년도래연도],"&lt;="&amp;YEAR(TODAY())+5)</f>
        <v>36</v>
      </c>
      <c r="O10" s="15"/>
      <c r="P10" s="15"/>
      <c r="Q10" s="16"/>
    </row>
    <row r="11" spans="1:17" x14ac:dyDescent="0.3">
      <c r="B11" s="17" t="str">
        <f>"여 "&amp;COUNTIF(tblRoster[성별],"여자")&amp;"명 / 남 "&amp;COUNTIF(tblRoster[성별],"남자")&amp;"명"</f>
        <v>여 263명 / 남 217명</v>
      </c>
      <c r="C11" s="18"/>
      <c r="D11" s="18"/>
      <c r="E11" s="18"/>
      <c r="F11" s="17" t="str">
        <f ca="1">"6급 재직 "&amp;COUNTIFS(tblRoster[집계급수],"6급",tblRoster[재직상태구분],"재직")&amp;"명 중 · 평균 체류 "&amp;TEXT(AVERAGEIFS(tblRoster[현직급체류년수],tblRoster[집계급수],"6급",tblRoster[재직상태구분],"재직"),"0.0")&amp;"년"</f>
        <v>6급 재직 104명 중 · 평균 체류 5.0년</v>
      </c>
      <c r="G11" s="18"/>
      <c r="H11" s="18"/>
      <c r="I11" s="18"/>
      <c r="J11" s="17" t="str">
        <f ca="1">"가장 몰리는 달 2026-12 · "&amp;COUNTIF(tblRoster[복직예정월],"2026-12")&amp;"명"</f>
        <v>가장 몰리는 달 2026-12 · 2명</v>
      </c>
      <c r="K11" s="18"/>
      <c r="L11" s="18"/>
      <c r="M11" s="18"/>
      <c r="N11" s="17" t="str">
        <f t="shared" ref="N11:Q11" ca="1" si="0">YEAR(TODAY())&amp;"~"&amp;(YEAR(TODAY())+5)&amp;"년 · 공무원 정년 60세 만나이 추정"</f>
        <v>2026~2031년 · 공무원 정년 60세 만나이 추정</v>
      </c>
      <c r="O11" s="18"/>
      <c r="P11" s="18"/>
      <c r="Q11" s="19"/>
    </row>
    <row r="47" spans="2:2" ht="16.5" x14ac:dyDescent="0.3">
      <c r="B47" s="39" t="str">
        <f>"▸ 급수별 휴직률 — 전체 "&amp;TEXT(COUNTIF(tblRoster[재직상태구분],"휴직")/COUNTIF(tblRoster[집계대상],"포함"),"0.0%")&amp;"  (사회복무·인턴 제외)   ※ 모수가 작은 구분은 비율이 크게 튄다 — 연구사 "&amp;COUNTIF(tblRoster[집계급수],"연구사")&amp;"명 · 전문경력관 "&amp;COUNTIF(tblRoster[집계급수],"전문경력관")&amp;"명. 정확한 분모·분자는 03.휴직관리 시트 참조"</f>
        <v>▸ 급수별 휴직률 — 전체 7.6%  (사회복무·인턴 제외)   ※ 모수가 작은 구분은 비율이 크게 튄다 — 연구사 1명 · 전문경력관 2명. 정확한 분모·분자는 03.휴직관리 시트 참조</v>
      </c>
    </row>
  </sheetData>
  <mergeCells count="26">
    <mergeCell ref="N11:Q11"/>
    <mergeCell ref="B11:E11"/>
    <mergeCell ref="F9:I9"/>
    <mergeCell ref="F10:I10"/>
    <mergeCell ref="F11:I11"/>
    <mergeCell ref="J9:M9"/>
    <mergeCell ref="J10:M10"/>
    <mergeCell ref="J11:M11"/>
    <mergeCell ref="J7:M7"/>
    <mergeCell ref="N5:Q5"/>
    <mergeCell ref="N6:Q6"/>
    <mergeCell ref="N7:Q7"/>
    <mergeCell ref="B9:E9"/>
    <mergeCell ref="B10:E10"/>
    <mergeCell ref="N9:Q9"/>
    <mergeCell ref="N10:Q10"/>
    <mergeCell ref="A1:Q1"/>
    <mergeCell ref="A2:Q2"/>
    <mergeCell ref="B5:E5"/>
    <mergeCell ref="B6:E6"/>
    <mergeCell ref="B7:E7"/>
    <mergeCell ref="F5:I5"/>
    <mergeCell ref="F6:I6"/>
    <mergeCell ref="F7:I7"/>
    <mergeCell ref="J5:M5"/>
    <mergeCell ref="J6:M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2ADB-B012-4D9F-9260-B2453CF7D8A0}">
  <dimension ref="A1:S231"/>
  <sheetViews>
    <sheetView showGridLines="0" workbookViewId="0">
      <selection sqref="A1:S1"/>
    </sheetView>
  </sheetViews>
  <sheetFormatPr defaultRowHeight="13.5" x14ac:dyDescent="0.3"/>
  <cols>
    <col min="1" max="1" width="2.25" style="3" customWidth="1"/>
    <col min="2" max="2" width="18.125" style="3" bestFit="1" customWidth="1"/>
    <col min="3" max="3" width="11" style="3" bestFit="1" customWidth="1"/>
    <col min="4" max="15" width="15.375" style="3" bestFit="1" customWidth="1"/>
    <col min="16" max="16" width="7.375" style="3" bestFit="1" customWidth="1"/>
    <col min="17" max="19" width="9.625" style="3" customWidth="1"/>
    <col min="20" max="16384" width="9" style="3"/>
  </cols>
  <sheetData>
    <row r="1" spans="1:19" ht="33.950000000000003" customHeight="1" x14ac:dyDescent="0.3">
      <c r="A1" s="7" t="s">
        <v>793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.95" customHeight="1" x14ac:dyDescent="0.3">
      <c r="A2" s="9" t="s">
        <v>794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3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5" spans="1:19" ht="16.5" x14ac:dyDescent="0.3">
      <c r="B5" s="39" t="s">
        <v>795</v>
      </c>
    </row>
    <row r="19" spans="2:16" ht="16.5" x14ac:dyDescent="0.3">
      <c r="B19" s="4" t="s">
        <v>740</v>
      </c>
      <c r="C19"/>
      <c r="D19" s="4" t="s">
        <v>737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 ht="16.5" x14ac:dyDescent="0.3">
      <c r="B20" s="4" t="s">
        <v>113</v>
      </c>
      <c r="C20" s="4" t="s">
        <v>114</v>
      </c>
      <c r="D20" t="s">
        <v>722</v>
      </c>
      <c r="E20" t="s">
        <v>724</v>
      </c>
      <c r="F20" t="s">
        <v>725</v>
      </c>
      <c r="G20" t="s">
        <v>726</v>
      </c>
      <c r="H20" t="s">
        <v>727</v>
      </c>
      <c r="I20" t="s">
        <v>728</v>
      </c>
      <c r="J20" t="s">
        <v>729</v>
      </c>
      <c r="K20" t="s">
        <v>730</v>
      </c>
      <c r="L20" t="s">
        <v>239</v>
      </c>
      <c r="M20" t="s">
        <v>132</v>
      </c>
      <c r="N20" t="s">
        <v>186</v>
      </c>
      <c r="O20" t="s">
        <v>738</v>
      </c>
      <c r="P20" t="s">
        <v>739</v>
      </c>
    </row>
    <row r="21" spans="2:16" ht="16.5" x14ac:dyDescent="0.3">
      <c r="B21" t="s">
        <v>266</v>
      </c>
      <c r="C21" t="s">
        <v>151</v>
      </c>
      <c r="D21" s="5"/>
      <c r="E21" s="5"/>
      <c r="F21" s="5">
        <v>2</v>
      </c>
      <c r="G21" s="5"/>
      <c r="H21" s="5"/>
      <c r="I21" s="5"/>
      <c r="J21" s="5"/>
      <c r="K21" s="5"/>
      <c r="L21" s="5"/>
      <c r="M21" s="5"/>
      <c r="N21" s="5"/>
      <c r="O21" s="5"/>
      <c r="P21" s="5">
        <v>2</v>
      </c>
    </row>
    <row r="22" spans="2:16" ht="16.5" x14ac:dyDescent="0.3">
      <c r="B22"/>
      <c r="C22" t="s">
        <v>173</v>
      </c>
      <c r="D22" s="5"/>
      <c r="E22" s="5"/>
      <c r="F22" s="5"/>
      <c r="G22" s="5"/>
      <c r="H22" s="5"/>
      <c r="I22" s="5"/>
      <c r="J22" s="5"/>
      <c r="K22" s="5"/>
      <c r="L22" s="5"/>
      <c r="M22" s="5">
        <v>1</v>
      </c>
      <c r="N22" s="5"/>
      <c r="O22" s="5"/>
      <c r="P22" s="5">
        <v>1</v>
      </c>
    </row>
    <row r="23" spans="2:16" ht="16.5" x14ac:dyDescent="0.3">
      <c r="B23"/>
      <c r="C23" t="s">
        <v>155</v>
      </c>
      <c r="D23" s="5"/>
      <c r="E23" s="5"/>
      <c r="F23" s="5"/>
      <c r="G23" s="5"/>
      <c r="H23" s="5"/>
      <c r="I23" s="5">
        <v>1</v>
      </c>
      <c r="J23" s="5"/>
      <c r="K23" s="5"/>
      <c r="L23" s="5"/>
      <c r="M23" s="5">
        <v>1</v>
      </c>
      <c r="N23" s="5"/>
      <c r="O23" s="5"/>
      <c r="P23" s="5">
        <v>2</v>
      </c>
    </row>
    <row r="24" spans="2:16" ht="16.5" x14ac:dyDescent="0.3">
      <c r="B24"/>
      <c r="C24" t="s">
        <v>207</v>
      </c>
      <c r="D24" s="5"/>
      <c r="E24" s="5"/>
      <c r="F24" s="5">
        <v>1</v>
      </c>
      <c r="G24" s="5"/>
      <c r="H24" s="5">
        <v>2</v>
      </c>
      <c r="I24" s="5"/>
      <c r="J24" s="5"/>
      <c r="K24" s="5"/>
      <c r="L24" s="5"/>
      <c r="M24" s="5">
        <v>2</v>
      </c>
      <c r="N24" s="5"/>
      <c r="O24" s="5"/>
      <c r="P24" s="5">
        <v>5</v>
      </c>
    </row>
    <row r="25" spans="2:16" ht="16.5" x14ac:dyDescent="0.3">
      <c r="B25"/>
      <c r="C25" t="s">
        <v>138</v>
      </c>
      <c r="D25" s="5"/>
      <c r="E25" s="5"/>
      <c r="F25" s="5"/>
      <c r="G25" s="5"/>
      <c r="H25" s="5">
        <v>1</v>
      </c>
      <c r="I25" s="5"/>
      <c r="J25" s="5"/>
      <c r="K25" s="5"/>
      <c r="L25" s="5"/>
      <c r="M25" s="5"/>
      <c r="N25" s="5"/>
      <c r="O25" s="5"/>
      <c r="P25" s="5">
        <v>1</v>
      </c>
    </row>
    <row r="26" spans="2:16" ht="16.5" x14ac:dyDescent="0.3">
      <c r="B26"/>
      <c r="C26" t="s">
        <v>211</v>
      </c>
      <c r="D26" s="5"/>
      <c r="E26" s="5"/>
      <c r="F26" s="5"/>
      <c r="G26" s="5">
        <v>1</v>
      </c>
      <c r="H26" s="5"/>
      <c r="I26" s="5"/>
      <c r="J26" s="5"/>
      <c r="K26" s="5"/>
      <c r="L26" s="5"/>
      <c r="M26" s="5"/>
      <c r="N26" s="5"/>
      <c r="O26" s="5"/>
      <c r="P26" s="5">
        <v>1</v>
      </c>
    </row>
    <row r="27" spans="2:16" ht="16.5" x14ac:dyDescent="0.3">
      <c r="B27"/>
      <c r="C27" t="s">
        <v>142</v>
      </c>
      <c r="D27" s="5"/>
      <c r="E27" s="5"/>
      <c r="F27" s="5">
        <v>1</v>
      </c>
      <c r="G27" s="5">
        <v>1</v>
      </c>
      <c r="H27" s="5"/>
      <c r="I27" s="5"/>
      <c r="J27" s="5"/>
      <c r="K27" s="5"/>
      <c r="L27" s="5"/>
      <c r="M27" s="5"/>
      <c r="N27" s="5"/>
      <c r="O27" s="5"/>
      <c r="P27" s="5">
        <v>2</v>
      </c>
    </row>
    <row r="28" spans="2:16" ht="16.5" x14ac:dyDescent="0.3">
      <c r="B28"/>
      <c r="C28" t="s">
        <v>202</v>
      </c>
      <c r="D28" s="5"/>
      <c r="E28" s="5"/>
      <c r="F28" s="5"/>
      <c r="G28" s="5"/>
      <c r="H28" s="5"/>
      <c r="I28" s="5"/>
      <c r="J28" s="5"/>
      <c r="K28" s="5"/>
      <c r="L28" s="5"/>
      <c r="M28" s="5">
        <v>1</v>
      </c>
      <c r="N28" s="5"/>
      <c r="O28" s="5"/>
      <c r="P28" s="5">
        <v>1</v>
      </c>
    </row>
    <row r="29" spans="2:16" ht="16.5" x14ac:dyDescent="0.3">
      <c r="B29"/>
      <c r="C29" t="s">
        <v>222</v>
      </c>
      <c r="D29" s="5"/>
      <c r="E29" s="5"/>
      <c r="F29" s="5"/>
      <c r="G29" s="5">
        <v>1</v>
      </c>
      <c r="H29" s="5"/>
      <c r="I29" s="5"/>
      <c r="J29" s="5"/>
      <c r="K29" s="5"/>
      <c r="L29" s="5"/>
      <c r="M29" s="5">
        <v>2</v>
      </c>
      <c r="N29" s="5"/>
      <c r="O29" s="5"/>
      <c r="P29" s="5">
        <v>3</v>
      </c>
    </row>
    <row r="30" spans="2:16" ht="16.5" x14ac:dyDescent="0.3">
      <c r="B30"/>
      <c r="C30" t="s">
        <v>182</v>
      </c>
      <c r="D30" s="5"/>
      <c r="E30" s="5"/>
      <c r="F30" s="5">
        <v>2</v>
      </c>
      <c r="G30" s="5"/>
      <c r="H30" s="5"/>
      <c r="I30" s="5"/>
      <c r="J30" s="5"/>
      <c r="K30" s="5"/>
      <c r="L30" s="5"/>
      <c r="M30" s="5"/>
      <c r="N30" s="5"/>
      <c r="O30" s="5"/>
      <c r="P30" s="5">
        <v>2</v>
      </c>
    </row>
    <row r="31" spans="2:16" ht="16.5" x14ac:dyDescent="0.3">
      <c r="B31"/>
      <c r="C31" t="s">
        <v>130</v>
      </c>
      <c r="D31" s="5"/>
      <c r="E31" s="5"/>
      <c r="F31" s="5"/>
      <c r="G31" s="5">
        <v>1</v>
      </c>
      <c r="H31" s="5">
        <v>1</v>
      </c>
      <c r="I31" s="5">
        <v>1</v>
      </c>
      <c r="J31" s="5"/>
      <c r="K31" s="5"/>
      <c r="L31" s="5"/>
      <c r="M31" s="5"/>
      <c r="N31" s="5"/>
      <c r="O31" s="5"/>
      <c r="P31" s="5">
        <v>3</v>
      </c>
    </row>
    <row r="32" spans="2:16" ht="16.5" x14ac:dyDescent="0.3">
      <c r="B32"/>
      <c r="C32" t="s">
        <v>197</v>
      </c>
      <c r="D32" s="5"/>
      <c r="E32" s="5"/>
      <c r="F32" s="5"/>
      <c r="G32" s="5"/>
      <c r="H32" s="5">
        <v>2</v>
      </c>
      <c r="I32" s="5"/>
      <c r="J32" s="5"/>
      <c r="K32" s="5"/>
      <c r="L32" s="5">
        <v>1</v>
      </c>
      <c r="M32" s="5"/>
      <c r="N32" s="5"/>
      <c r="O32" s="5"/>
      <c r="P32" s="5">
        <v>3</v>
      </c>
    </row>
    <row r="33" spans="2:16" ht="16.5" x14ac:dyDescent="0.3">
      <c r="B33"/>
      <c r="C33" t="s">
        <v>169</v>
      </c>
      <c r="D33" s="5"/>
      <c r="E33" s="5"/>
      <c r="F33" s="5">
        <v>1</v>
      </c>
      <c r="G33" s="5"/>
      <c r="H33" s="5"/>
      <c r="I33" s="5"/>
      <c r="J33" s="5"/>
      <c r="K33" s="5"/>
      <c r="L33" s="5"/>
      <c r="M33" s="5"/>
      <c r="N33" s="5"/>
      <c r="O33" s="5">
        <v>1</v>
      </c>
      <c r="P33" s="5">
        <v>2</v>
      </c>
    </row>
    <row r="34" spans="2:16" ht="16.5" x14ac:dyDescent="0.3">
      <c r="B34" t="s">
        <v>171</v>
      </c>
      <c r="C34" t="s">
        <v>151</v>
      </c>
      <c r="D34" s="5"/>
      <c r="E34" s="5"/>
      <c r="F34" s="5"/>
      <c r="G34" s="5">
        <v>2</v>
      </c>
      <c r="H34" s="5"/>
      <c r="I34" s="5">
        <v>1</v>
      </c>
      <c r="J34" s="5"/>
      <c r="K34" s="5"/>
      <c r="L34" s="5"/>
      <c r="M34" s="5">
        <v>1</v>
      </c>
      <c r="N34" s="5"/>
      <c r="O34" s="5"/>
      <c r="P34" s="5">
        <v>4</v>
      </c>
    </row>
    <row r="35" spans="2:16" ht="16.5" x14ac:dyDescent="0.3">
      <c r="B35"/>
      <c r="C35" t="s">
        <v>173</v>
      </c>
      <c r="D35" s="5"/>
      <c r="E35" s="5"/>
      <c r="F35" s="5"/>
      <c r="G35" s="5">
        <v>1</v>
      </c>
      <c r="H35" s="5"/>
      <c r="I35" s="5">
        <v>1</v>
      </c>
      <c r="J35" s="5"/>
      <c r="K35" s="5"/>
      <c r="L35" s="5"/>
      <c r="M35" s="5">
        <v>1</v>
      </c>
      <c r="N35" s="5"/>
      <c r="O35" s="5"/>
      <c r="P35" s="5">
        <v>3</v>
      </c>
    </row>
    <row r="36" spans="2:16" ht="16.5" x14ac:dyDescent="0.3">
      <c r="B36"/>
      <c r="C36" t="s">
        <v>207</v>
      </c>
      <c r="D36" s="5"/>
      <c r="E36" s="5"/>
      <c r="F36" s="5">
        <v>1</v>
      </c>
      <c r="G36" s="5"/>
      <c r="H36" s="5">
        <v>1</v>
      </c>
      <c r="I36" s="5"/>
      <c r="J36" s="5"/>
      <c r="K36" s="5"/>
      <c r="L36" s="5"/>
      <c r="M36" s="5">
        <v>1</v>
      </c>
      <c r="N36" s="5"/>
      <c r="O36" s="5">
        <v>1</v>
      </c>
      <c r="P36" s="5">
        <v>4</v>
      </c>
    </row>
    <row r="37" spans="2:16" ht="16.5" x14ac:dyDescent="0.3">
      <c r="B37"/>
      <c r="C37" t="s">
        <v>202</v>
      </c>
      <c r="D37" s="5">
        <v>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</v>
      </c>
    </row>
    <row r="38" spans="2:16" ht="16.5" x14ac:dyDescent="0.3">
      <c r="B38"/>
      <c r="C38" t="s">
        <v>182</v>
      </c>
      <c r="D38" s="5"/>
      <c r="E38" s="5">
        <v>1</v>
      </c>
      <c r="F38" s="5"/>
      <c r="G38" s="5"/>
      <c r="H38" s="5"/>
      <c r="I38" s="5">
        <v>1</v>
      </c>
      <c r="J38" s="5"/>
      <c r="K38" s="5"/>
      <c r="L38" s="5"/>
      <c r="M38" s="5">
        <v>3</v>
      </c>
      <c r="N38" s="5"/>
      <c r="O38" s="5"/>
      <c r="P38" s="5">
        <v>5</v>
      </c>
    </row>
    <row r="39" spans="2:16" ht="16.5" x14ac:dyDescent="0.3">
      <c r="B39"/>
      <c r="C39" t="s">
        <v>185</v>
      </c>
      <c r="D39" s="5"/>
      <c r="E39" s="5">
        <v>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</v>
      </c>
    </row>
    <row r="40" spans="2:16" ht="16.5" x14ac:dyDescent="0.3">
      <c r="B40"/>
      <c r="C40" t="s">
        <v>130</v>
      </c>
      <c r="D40" s="5"/>
      <c r="E40" s="5"/>
      <c r="F40" s="5"/>
      <c r="G40" s="5">
        <v>1</v>
      </c>
      <c r="H40" s="5"/>
      <c r="I40" s="5"/>
      <c r="J40" s="5"/>
      <c r="K40" s="5"/>
      <c r="L40" s="5"/>
      <c r="M40" s="5">
        <v>3</v>
      </c>
      <c r="N40" s="5"/>
      <c r="O40" s="5"/>
      <c r="P40" s="5">
        <v>4</v>
      </c>
    </row>
    <row r="41" spans="2:16" ht="16.5" x14ac:dyDescent="0.3">
      <c r="B41"/>
      <c r="C41" t="s">
        <v>159</v>
      </c>
      <c r="D41" s="5"/>
      <c r="E41" s="5"/>
      <c r="F41" s="5">
        <v>1</v>
      </c>
      <c r="G41" s="5">
        <v>1</v>
      </c>
      <c r="H41" s="5"/>
      <c r="I41" s="5"/>
      <c r="J41" s="5"/>
      <c r="K41" s="5"/>
      <c r="L41" s="5"/>
      <c r="M41" s="5"/>
      <c r="N41" s="5"/>
      <c r="O41" s="5"/>
      <c r="P41" s="5">
        <v>2</v>
      </c>
    </row>
    <row r="42" spans="2:16" ht="16.5" x14ac:dyDescent="0.3">
      <c r="B42"/>
      <c r="C42" t="s">
        <v>197</v>
      </c>
      <c r="D42" s="5"/>
      <c r="E42" s="5"/>
      <c r="F42" s="5"/>
      <c r="G42" s="5"/>
      <c r="H42" s="5">
        <v>1</v>
      </c>
      <c r="I42" s="5">
        <v>1</v>
      </c>
      <c r="J42" s="5"/>
      <c r="K42" s="5"/>
      <c r="L42" s="5"/>
      <c r="M42" s="5">
        <v>2</v>
      </c>
      <c r="N42" s="5"/>
      <c r="O42" s="5"/>
      <c r="P42" s="5">
        <v>4</v>
      </c>
    </row>
    <row r="43" spans="2:16" ht="16.5" x14ac:dyDescent="0.3">
      <c r="B43"/>
      <c r="C43" t="s">
        <v>169</v>
      </c>
      <c r="D43" s="5"/>
      <c r="E43" s="5"/>
      <c r="F43" s="5"/>
      <c r="G43" s="5"/>
      <c r="H43" s="5"/>
      <c r="I43" s="5">
        <v>1</v>
      </c>
      <c r="J43" s="5"/>
      <c r="K43" s="5"/>
      <c r="L43" s="5"/>
      <c r="M43" s="5"/>
      <c r="N43" s="5"/>
      <c r="O43" s="5"/>
      <c r="P43" s="5">
        <v>1</v>
      </c>
    </row>
    <row r="44" spans="2:16" ht="16.5" x14ac:dyDescent="0.3">
      <c r="B44" t="s">
        <v>162</v>
      </c>
      <c r="C44" t="s">
        <v>151</v>
      </c>
      <c r="D44" s="5"/>
      <c r="E44" s="5"/>
      <c r="F44" s="5">
        <v>1</v>
      </c>
      <c r="G44" s="5"/>
      <c r="H44" s="5"/>
      <c r="I44" s="5"/>
      <c r="J44" s="5"/>
      <c r="K44" s="5"/>
      <c r="L44" s="5"/>
      <c r="M44" s="5"/>
      <c r="N44" s="5"/>
      <c r="O44" s="5"/>
      <c r="P44" s="5">
        <v>1</v>
      </c>
    </row>
    <row r="45" spans="2:16" ht="16.5" x14ac:dyDescent="0.3">
      <c r="B45"/>
      <c r="C45" t="s">
        <v>173</v>
      </c>
      <c r="D45" s="5"/>
      <c r="E45" s="5"/>
      <c r="F45" s="5"/>
      <c r="G45" s="5"/>
      <c r="H45" s="5"/>
      <c r="I45" s="5">
        <v>1</v>
      </c>
      <c r="J45" s="5"/>
      <c r="K45" s="5"/>
      <c r="L45" s="5"/>
      <c r="M45" s="5">
        <v>1</v>
      </c>
      <c r="N45" s="5"/>
      <c r="O45" s="5"/>
      <c r="P45" s="5">
        <v>2</v>
      </c>
    </row>
    <row r="46" spans="2:16" ht="16.5" x14ac:dyDescent="0.3">
      <c r="B46"/>
      <c r="C46" t="s">
        <v>155</v>
      </c>
      <c r="D46" s="5"/>
      <c r="E46" s="5">
        <v>1</v>
      </c>
      <c r="F46" s="5"/>
      <c r="G46" s="5"/>
      <c r="H46" s="5"/>
      <c r="I46" s="5"/>
      <c r="J46" s="5"/>
      <c r="K46" s="5"/>
      <c r="L46" s="5"/>
      <c r="M46" s="5">
        <v>1</v>
      </c>
      <c r="N46" s="5"/>
      <c r="O46" s="5"/>
      <c r="P46" s="5">
        <v>2</v>
      </c>
    </row>
    <row r="47" spans="2:16" ht="16.5" x14ac:dyDescent="0.3">
      <c r="B47"/>
      <c r="C47" t="s">
        <v>207</v>
      </c>
      <c r="D47" s="5"/>
      <c r="E47" s="5"/>
      <c r="F47" s="5"/>
      <c r="G47" s="5"/>
      <c r="H47" s="5"/>
      <c r="I47" s="5"/>
      <c r="J47" s="5"/>
      <c r="K47" s="5"/>
      <c r="L47" s="5"/>
      <c r="M47" s="5">
        <v>1</v>
      </c>
      <c r="N47" s="5">
        <v>1</v>
      </c>
      <c r="O47" s="5"/>
      <c r="P47" s="5">
        <v>2</v>
      </c>
    </row>
    <row r="48" spans="2:16" ht="16.5" x14ac:dyDescent="0.3">
      <c r="B48"/>
      <c r="C48" t="s">
        <v>138</v>
      </c>
      <c r="D48" s="5"/>
      <c r="E48" s="5"/>
      <c r="F48" s="5">
        <v>1</v>
      </c>
      <c r="G48" s="5"/>
      <c r="H48" s="5"/>
      <c r="I48" s="5"/>
      <c r="J48" s="5"/>
      <c r="K48" s="5"/>
      <c r="L48" s="5"/>
      <c r="M48" s="5"/>
      <c r="N48" s="5"/>
      <c r="O48" s="5"/>
      <c r="P48" s="5">
        <v>1</v>
      </c>
    </row>
    <row r="49" spans="2:16" ht="16.5" x14ac:dyDescent="0.3">
      <c r="B49"/>
      <c r="C49" t="s">
        <v>211</v>
      </c>
      <c r="D49" s="5"/>
      <c r="E49" s="5"/>
      <c r="F49" s="5"/>
      <c r="G49" s="5"/>
      <c r="H49" s="5"/>
      <c r="I49" s="5"/>
      <c r="J49" s="5"/>
      <c r="K49" s="5"/>
      <c r="L49" s="5"/>
      <c r="M49" s="5">
        <v>1</v>
      </c>
      <c r="N49" s="5"/>
      <c r="O49" s="5"/>
      <c r="P49" s="5">
        <v>1</v>
      </c>
    </row>
    <row r="50" spans="2:16" ht="16.5" x14ac:dyDescent="0.3">
      <c r="B50"/>
      <c r="C50" t="s">
        <v>142</v>
      </c>
      <c r="D50" s="5"/>
      <c r="E50" s="5"/>
      <c r="F50" s="5">
        <v>1</v>
      </c>
      <c r="G50" s="5"/>
      <c r="H50" s="5"/>
      <c r="I50" s="5"/>
      <c r="J50" s="5"/>
      <c r="K50" s="5"/>
      <c r="L50" s="5"/>
      <c r="M50" s="5"/>
      <c r="N50" s="5"/>
      <c r="O50" s="5"/>
      <c r="P50" s="5">
        <v>1</v>
      </c>
    </row>
    <row r="51" spans="2:16" ht="16.5" x14ac:dyDescent="0.3">
      <c r="B51"/>
      <c r="C51" t="s">
        <v>202</v>
      </c>
      <c r="D51" s="5"/>
      <c r="E51" s="5"/>
      <c r="F51" s="5">
        <v>1</v>
      </c>
      <c r="G51" s="5"/>
      <c r="H51" s="5">
        <v>1</v>
      </c>
      <c r="I51" s="5"/>
      <c r="J51" s="5"/>
      <c r="K51" s="5"/>
      <c r="L51" s="5"/>
      <c r="M51" s="5"/>
      <c r="N51" s="5"/>
      <c r="O51" s="5"/>
      <c r="P51" s="5">
        <v>2</v>
      </c>
    </row>
    <row r="52" spans="2:16" ht="16.5" x14ac:dyDescent="0.3">
      <c r="B52"/>
      <c r="C52" t="s">
        <v>222</v>
      </c>
      <c r="D52" s="5"/>
      <c r="E52" s="5"/>
      <c r="F52" s="5"/>
      <c r="G52" s="5">
        <v>1</v>
      </c>
      <c r="H52" s="5"/>
      <c r="I52" s="5"/>
      <c r="J52" s="5"/>
      <c r="K52" s="5"/>
      <c r="L52" s="5"/>
      <c r="M52" s="5"/>
      <c r="N52" s="5"/>
      <c r="O52" s="5"/>
      <c r="P52" s="5">
        <v>1</v>
      </c>
    </row>
    <row r="53" spans="2:16" ht="16.5" x14ac:dyDescent="0.3">
      <c r="B53"/>
      <c r="C53" t="s">
        <v>182</v>
      </c>
      <c r="D53" s="5"/>
      <c r="E53" s="5"/>
      <c r="F53" s="5">
        <v>1</v>
      </c>
      <c r="G53" s="5"/>
      <c r="H53" s="5"/>
      <c r="I53" s="5"/>
      <c r="J53" s="5"/>
      <c r="K53" s="5"/>
      <c r="L53" s="5"/>
      <c r="M53" s="5"/>
      <c r="N53" s="5"/>
      <c r="O53" s="5"/>
      <c r="P53" s="5">
        <v>1</v>
      </c>
    </row>
    <row r="54" spans="2:16" ht="16.5" x14ac:dyDescent="0.3">
      <c r="B54"/>
      <c r="C54" t="s">
        <v>185</v>
      </c>
      <c r="D54" s="5"/>
      <c r="E54" s="5"/>
      <c r="F54" s="5"/>
      <c r="G54" s="5"/>
      <c r="H54" s="5"/>
      <c r="I54" s="5"/>
      <c r="J54" s="5"/>
      <c r="K54" s="5"/>
      <c r="L54" s="5"/>
      <c r="M54" s="5">
        <v>1</v>
      </c>
      <c r="N54" s="5"/>
      <c r="O54" s="5"/>
      <c r="P54" s="5">
        <v>1</v>
      </c>
    </row>
    <row r="55" spans="2:16" ht="16.5" x14ac:dyDescent="0.3">
      <c r="B55"/>
      <c r="C55" t="s">
        <v>130</v>
      </c>
      <c r="D55" s="5"/>
      <c r="E55" s="5">
        <v>1</v>
      </c>
      <c r="F55" s="5"/>
      <c r="G55" s="5"/>
      <c r="H55" s="5">
        <v>1</v>
      </c>
      <c r="I55" s="5">
        <v>1</v>
      </c>
      <c r="J55" s="5"/>
      <c r="K55" s="5"/>
      <c r="L55" s="5"/>
      <c r="M55" s="5"/>
      <c r="N55" s="5"/>
      <c r="O55" s="5"/>
      <c r="P55" s="5">
        <v>3</v>
      </c>
    </row>
    <row r="56" spans="2:16" ht="16.5" x14ac:dyDescent="0.3">
      <c r="B56"/>
      <c r="C56" t="s">
        <v>197</v>
      </c>
      <c r="D56" s="5"/>
      <c r="E56" s="5"/>
      <c r="F56" s="5"/>
      <c r="G56" s="5">
        <v>2</v>
      </c>
      <c r="H56" s="5"/>
      <c r="I56" s="5"/>
      <c r="J56" s="5"/>
      <c r="K56" s="5"/>
      <c r="L56" s="5"/>
      <c r="M56" s="5">
        <v>1</v>
      </c>
      <c r="N56" s="5"/>
      <c r="O56" s="5"/>
      <c r="P56" s="5">
        <v>3</v>
      </c>
    </row>
    <row r="57" spans="2:16" ht="16.5" x14ac:dyDescent="0.3">
      <c r="B57"/>
      <c r="C57" t="s">
        <v>169</v>
      </c>
      <c r="D57" s="5"/>
      <c r="E57" s="5"/>
      <c r="F57" s="5"/>
      <c r="G57" s="5"/>
      <c r="H57" s="5"/>
      <c r="I57" s="5"/>
      <c r="J57" s="5"/>
      <c r="K57" s="5"/>
      <c r="L57" s="5"/>
      <c r="M57" s="5">
        <v>1</v>
      </c>
      <c r="N57" s="5"/>
      <c r="O57" s="5"/>
      <c r="P57" s="5">
        <v>1</v>
      </c>
    </row>
    <row r="58" spans="2:16" ht="16.5" x14ac:dyDescent="0.3">
      <c r="B58" t="s">
        <v>129</v>
      </c>
      <c r="C58" t="s">
        <v>151</v>
      </c>
      <c r="D58" s="5"/>
      <c r="E58" s="5"/>
      <c r="F58" s="5"/>
      <c r="G58" s="5"/>
      <c r="H58" s="5"/>
      <c r="I58" s="5"/>
      <c r="J58" s="5"/>
      <c r="K58" s="5"/>
      <c r="L58" s="5"/>
      <c r="M58" s="5">
        <v>2</v>
      </c>
      <c r="N58" s="5"/>
      <c r="O58" s="5"/>
      <c r="P58" s="5">
        <v>2</v>
      </c>
    </row>
    <row r="59" spans="2:16" ht="16.5" x14ac:dyDescent="0.3">
      <c r="B59"/>
      <c r="C59" t="s">
        <v>173</v>
      </c>
      <c r="D59" s="5"/>
      <c r="E59" s="5"/>
      <c r="F59" s="5"/>
      <c r="G59" s="5">
        <v>1</v>
      </c>
      <c r="H59" s="5"/>
      <c r="I59" s="5"/>
      <c r="J59" s="5"/>
      <c r="K59" s="5"/>
      <c r="L59" s="5"/>
      <c r="M59" s="5"/>
      <c r="N59" s="5"/>
      <c r="O59" s="5"/>
      <c r="P59" s="5">
        <v>1</v>
      </c>
    </row>
    <row r="60" spans="2:16" ht="16.5" x14ac:dyDescent="0.3">
      <c r="B60"/>
      <c r="C60" t="s">
        <v>155</v>
      </c>
      <c r="D60" s="5"/>
      <c r="E60" s="5"/>
      <c r="F60" s="5"/>
      <c r="G60" s="5"/>
      <c r="H60" s="5"/>
      <c r="I60" s="5"/>
      <c r="J60" s="5">
        <v>1</v>
      </c>
      <c r="K60" s="5"/>
      <c r="L60" s="5"/>
      <c r="M60" s="5">
        <v>2</v>
      </c>
      <c r="N60" s="5"/>
      <c r="O60" s="5"/>
      <c r="P60" s="5">
        <v>3</v>
      </c>
    </row>
    <row r="61" spans="2:16" ht="16.5" x14ac:dyDescent="0.3">
      <c r="B61"/>
      <c r="C61" t="s">
        <v>207</v>
      </c>
      <c r="D61" s="5"/>
      <c r="E61" s="5"/>
      <c r="F61" s="5"/>
      <c r="G61" s="5"/>
      <c r="H61" s="5"/>
      <c r="I61" s="5"/>
      <c r="J61" s="5"/>
      <c r="K61" s="5"/>
      <c r="L61" s="5">
        <v>1</v>
      </c>
      <c r="M61" s="5"/>
      <c r="N61" s="5"/>
      <c r="O61" s="5"/>
      <c r="P61" s="5">
        <v>1</v>
      </c>
    </row>
    <row r="62" spans="2:16" ht="16.5" x14ac:dyDescent="0.3">
      <c r="B62"/>
      <c r="C62" t="s">
        <v>138</v>
      </c>
      <c r="D62" s="5"/>
      <c r="E62" s="5"/>
      <c r="F62" s="5">
        <v>1</v>
      </c>
      <c r="G62" s="5"/>
      <c r="H62" s="5">
        <v>1</v>
      </c>
      <c r="I62" s="5"/>
      <c r="J62" s="5"/>
      <c r="K62" s="5"/>
      <c r="L62" s="5"/>
      <c r="M62" s="5"/>
      <c r="N62" s="5"/>
      <c r="O62" s="5"/>
      <c r="P62" s="5">
        <v>2</v>
      </c>
    </row>
    <row r="63" spans="2:16" ht="16.5" x14ac:dyDescent="0.3">
      <c r="B63"/>
      <c r="C63" t="s">
        <v>211</v>
      </c>
      <c r="D63" s="5"/>
      <c r="E63" s="5"/>
      <c r="F63" s="5">
        <v>1</v>
      </c>
      <c r="G63" s="5"/>
      <c r="H63" s="5"/>
      <c r="I63" s="5"/>
      <c r="J63" s="5"/>
      <c r="K63" s="5"/>
      <c r="L63" s="5"/>
      <c r="M63" s="5">
        <v>1</v>
      </c>
      <c r="N63" s="5"/>
      <c r="O63" s="5"/>
      <c r="P63" s="5">
        <v>2</v>
      </c>
    </row>
    <row r="64" spans="2:16" ht="16.5" x14ac:dyDescent="0.3">
      <c r="B64"/>
      <c r="C64" t="s">
        <v>142</v>
      </c>
      <c r="D64" s="5"/>
      <c r="E64" s="5">
        <v>1</v>
      </c>
      <c r="F64" s="5"/>
      <c r="G64" s="5"/>
      <c r="H64" s="5"/>
      <c r="I64" s="5"/>
      <c r="J64" s="5"/>
      <c r="K64" s="5"/>
      <c r="L64" s="5"/>
      <c r="M64" s="5">
        <v>1</v>
      </c>
      <c r="N64" s="5"/>
      <c r="O64" s="5"/>
      <c r="P64" s="5">
        <v>2</v>
      </c>
    </row>
    <row r="65" spans="2:16" ht="16.5" x14ac:dyDescent="0.3">
      <c r="B65"/>
      <c r="C65" t="s">
        <v>202</v>
      </c>
      <c r="D65" s="5"/>
      <c r="E65" s="5"/>
      <c r="F65" s="5">
        <v>1</v>
      </c>
      <c r="G65" s="5"/>
      <c r="H65" s="5"/>
      <c r="I65" s="5"/>
      <c r="J65" s="5"/>
      <c r="K65" s="5">
        <v>1</v>
      </c>
      <c r="L65" s="5">
        <v>2</v>
      </c>
      <c r="M65" s="5">
        <v>2</v>
      </c>
      <c r="N65" s="5"/>
      <c r="O65" s="5"/>
      <c r="P65" s="5">
        <v>6</v>
      </c>
    </row>
    <row r="66" spans="2:16" ht="16.5" x14ac:dyDescent="0.3">
      <c r="B66"/>
      <c r="C66" t="s">
        <v>222</v>
      </c>
      <c r="D66" s="5"/>
      <c r="E66" s="5"/>
      <c r="F66" s="5"/>
      <c r="G66" s="5"/>
      <c r="H66" s="5">
        <v>1</v>
      </c>
      <c r="I66" s="5"/>
      <c r="J66" s="5"/>
      <c r="K66" s="5"/>
      <c r="L66" s="5"/>
      <c r="M66" s="5">
        <v>1</v>
      </c>
      <c r="N66" s="5"/>
      <c r="O66" s="5"/>
      <c r="P66" s="5">
        <v>2</v>
      </c>
    </row>
    <row r="67" spans="2:16" ht="16.5" x14ac:dyDescent="0.3">
      <c r="B67"/>
      <c r="C67" t="s">
        <v>185</v>
      </c>
      <c r="D67" s="5"/>
      <c r="E67" s="5"/>
      <c r="F67" s="5"/>
      <c r="G67" s="5"/>
      <c r="H67" s="5"/>
      <c r="I67" s="5"/>
      <c r="J67" s="5"/>
      <c r="K67" s="5"/>
      <c r="L67" s="5">
        <v>1</v>
      </c>
      <c r="M67" s="5"/>
      <c r="N67" s="5"/>
      <c r="O67" s="5"/>
      <c r="P67" s="5">
        <v>1</v>
      </c>
    </row>
    <row r="68" spans="2:16" ht="16.5" x14ac:dyDescent="0.3">
      <c r="B68"/>
      <c r="C68" t="s">
        <v>130</v>
      </c>
      <c r="D68" s="5"/>
      <c r="E68" s="5"/>
      <c r="F68" s="5">
        <v>1</v>
      </c>
      <c r="G68" s="5"/>
      <c r="H68" s="5"/>
      <c r="I68" s="5"/>
      <c r="J68" s="5"/>
      <c r="K68" s="5"/>
      <c r="L68" s="5"/>
      <c r="M68" s="5">
        <v>1</v>
      </c>
      <c r="N68" s="5"/>
      <c r="O68" s="5"/>
      <c r="P68" s="5">
        <v>2</v>
      </c>
    </row>
    <row r="69" spans="2:16" ht="16.5" x14ac:dyDescent="0.3">
      <c r="B69"/>
      <c r="C69" t="s">
        <v>159</v>
      </c>
      <c r="D69" s="5">
        <v>1</v>
      </c>
      <c r="E69" s="5"/>
      <c r="F69" s="5"/>
      <c r="G69" s="5">
        <v>1</v>
      </c>
      <c r="H69" s="5">
        <v>2</v>
      </c>
      <c r="I69" s="5"/>
      <c r="J69" s="5"/>
      <c r="K69" s="5"/>
      <c r="L69" s="5"/>
      <c r="M69" s="5"/>
      <c r="N69" s="5"/>
      <c r="O69" s="5"/>
      <c r="P69" s="5">
        <v>4</v>
      </c>
    </row>
    <row r="70" spans="2:16" ht="16.5" x14ac:dyDescent="0.3">
      <c r="B70"/>
      <c r="C70" t="s">
        <v>197</v>
      </c>
      <c r="D70" s="5"/>
      <c r="E70" s="5">
        <v>1</v>
      </c>
      <c r="F70" s="5"/>
      <c r="G70" s="5"/>
      <c r="H70" s="5">
        <v>1</v>
      </c>
      <c r="I70" s="5"/>
      <c r="J70" s="5"/>
      <c r="K70" s="5"/>
      <c r="L70" s="5">
        <v>1</v>
      </c>
      <c r="M70" s="5"/>
      <c r="N70" s="5"/>
      <c r="O70" s="5"/>
      <c r="P70" s="5">
        <v>3</v>
      </c>
    </row>
    <row r="71" spans="2:16" ht="16.5" x14ac:dyDescent="0.3">
      <c r="B71"/>
      <c r="C71" t="s">
        <v>169</v>
      </c>
      <c r="D71" s="5"/>
      <c r="E71" s="5">
        <v>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</v>
      </c>
    </row>
    <row r="72" spans="2:16" ht="16.5" x14ac:dyDescent="0.3">
      <c r="B72" t="s">
        <v>168</v>
      </c>
      <c r="C72" t="s">
        <v>173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</v>
      </c>
      <c r="O72" s="5"/>
      <c r="P72" s="5">
        <v>1</v>
      </c>
    </row>
    <row r="73" spans="2:16" ht="16.5" x14ac:dyDescent="0.3">
      <c r="B73"/>
      <c r="C73" t="s">
        <v>155</v>
      </c>
      <c r="D73" s="5"/>
      <c r="E73" s="5"/>
      <c r="F73" s="5">
        <v>1</v>
      </c>
      <c r="G73" s="5"/>
      <c r="H73" s="5">
        <v>1</v>
      </c>
      <c r="I73" s="5"/>
      <c r="J73" s="5"/>
      <c r="K73" s="5"/>
      <c r="L73" s="5"/>
      <c r="M73" s="5">
        <v>2</v>
      </c>
      <c r="N73" s="5"/>
      <c r="O73" s="5"/>
      <c r="P73" s="5">
        <v>4</v>
      </c>
    </row>
    <row r="74" spans="2:16" ht="16.5" x14ac:dyDescent="0.3">
      <c r="B74"/>
      <c r="C74" t="s">
        <v>207</v>
      </c>
      <c r="D74" s="5"/>
      <c r="E74" s="5"/>
      <c r="F74" s="5"/>
      <c r="G74" s="5"/>
      <c r="H74" s="5"/>
      <c r="I74" s="5">
        <v>1</v>
      </c>
      <c r="J74" s="5"/>
      <c r="K74" s="5"/>
      <c r="L74" s="5"/>
      <c r="M74" s="5"/>
      <c r="N74" s="5"/>
      <c r="O74" s="5"/>
      <c r="P74" s="5">
        <v>1</v>
      </c>
    </row>
    <row r="75" spans="2:16" ht="16.5" x14ac:dyDescent="0.3">
      <c r="B75"/>
      <c r="C75" t="s">
        <v>138</v>
      </c>
      <c r="D75" s="5"/>
      <c r="E75" s="5"/>
      <c r="F75" s="5">
        <v>1</v>
      </c>
      <c r="G75" s="5"/>
      <c r="H75" s="5"/>
      <c r="I75" s="5"/>
      <c r="J75" s="5"/>
      <c r="K75" s="5"/>
      <c r="L75" s="5"/>
      <c r="M75" s="5">
        <v>1</v>
      </c>
      <c r="N75" s="5"/>
      <c r="O75" s="5"/>
      <c r="P75" s="5">
        <v>2</v>
      </c>
    </row>
    <row r="76" spans="2:16" ht="16.5" x14ac:dyDescent="0.3">
      <c r="B76"/>
      <c r="C76" t="s">
        <v>211</v>
      </c>
      <c r="D76" s="5"/>
      <c r="E76" s="5"/>
      <c r="F76" s="5">
        <v>1</v>
      </c>
      <c r="G76" s="5"/>
      <c r="H76" s="5"/>
      <c r="I76" s="5"/>
      <c r="J76" s="5"/>
      <c r="K76" s="5"/>
      <c r="L76" s="5">
        <v>1</v>
      </c>
      <c r="M76" s="5"/>
      <c r="N76" s="5"/>
      <c r="O76" s="5">
        <v>1</v>
      </c>
      <c r="P76" s="5">
        <v>3</v>
      </c>
    </row>
    <row r="77" spans="2:16" ht="16.5" x14ac:dyDescent="0.3">
      <c r="B77"/>
      <c r="C77" t="s">
        <v>142</v>
      </c>
      <c r="D77" s="5"/>
      <c r="E77" s="5"/>
      <c r="F77" s="5">
        <v>1</v>
      </c>
      <c r="G77" s="5"/>
      <c r="H77" s="5">
        <v>1</v>
      </c>
      <c r="I77" s="5"/>
      <c r="J77" s="5"/>
      <c r="K77" s="5"/>
      <c r="L77" s="5">
        <v>2</v>
      </c>
      <c r="M77" s="5"/>
      <c r="N77" s="5"/>
      <c r="O77" s="5"/>
      <c r="P77" s="5">
        <v>4</v>
      </c>
    </row>
    <row r="78" spans="2:16" ht="16.5" x14ac:dyDescent="0.3">
      <c r="B78"/>
      <c r="C78" t="s">
        <v>202</v>
      </c>
      <c r="D78" s="5"/>
      <c r="E78" s="5"/>
      <c r="F78" s="5">
        <v>1</v>
      </c>
      <c r="G78" s="5"/>
      <c r="H78" s="5"/>
      <c r="I78" s="5"/>
      <c r="J78" s="5"/>
      <c r="K78" s="5"/>
      <c r="L78" s="5"/>
      <c r="M78" s="5"/>
      <c r="N78" s="5"/>
      <c r="O78" s="5"/>
      <c r="P78" s="5">
        <v>1</v>
      </c>
    </row>
    <row r="79" spans="2:16" ht="16.5" x14ac:dyDescent="0.3">
      <c r="B79"/>
      <c r="C79" t="s">
        <v>182</v>
      </c>
      <c r="D79" s="5"/>
      <c r="E79" s="5">
        <v>1</v>
      </c>
      <c r="F79" s="5">
        <v>4</v>
      </c>
      <c r="G79" s="5"/>
      <c r="H79" s="5"/>
      <c r="I79" s="5">
        <v>1</v>
      </c>
      <c r="J79" s="5"/>
      <c r="K79" s="5"/>
      <c r="L79" s="5">
        <v>1</v>
      </c>
      <c r="M79" s="5"/>
      <c r="N79" s="5"/>
      <c r="O79" s="5"/>
      <c r="P79" s="5">
        <v>7</v>
      </c>
    </row>
    <row r="80" spans="2:16" ht="16.5" x14ac:dyDescent="0.3">
      <c r="B80"/>
      <c r="C80" t="s">
        <v>185</v>
      </c>
      <c r="D80" s="5"/>
      <c r="E80" s="5"/>
      <c r="F80" s="5">
        <v>1</v>
      </c>
      <c r="G80" s="5"/>
      <c r="H80" s="5">
        <v>1</v>
      </c>
      <c r="I80" s="5"/>
      <c r="J80" s="5"/>
      <c r="K80" s="5"/>
      <c r="L80" s="5"/>
      <c r="M80" s="5">
        <v>1</v>
      </c>
      <c r="N80" s="5"/>
      <c r="O80" s="5"/>
      <c r="P80" s="5">
        <v>3</v>
      </c>
    </row>
    <row r="81" spans="2:16" ht="16.5" x14ac:dyDescent="0.3">
      <c r="B81"/>
      <c r="C81" t="s">
        <v>159</v>
      </c>
      <c r="D81" s="5"/>
      <c r="E81" s="5"/>
      <c r="F81" s="5"/>
      <c r="G81" s="5"/>
      <c r="H81" s="5"/>
      <c r="I81" s="5">
        <v>1</v>
      </c>
      <c r="J81" s="5"/>
      <c r="K81" s="5"/>
      <c r="L81" s="5"/>
      <c r="M81" s="5">
        <v>2</v>
      </c>
      <c r="N81" s="5"/>
      <c r="O81" s="5"/>
      <c r="P81" s="5">
        <v>3</v>
      </c>
    </row>
    <row r="82" spans="2:16" ht="16.5" x14ac:dyDescent="0.3">
      <c r="B82"/>
      <c r="C82" t="s">
        <v>197</v>
      </c>
      <c r="D82" s="5"/>
      <c r="E82" s="5"/>
      <c r="F82" s="5">
        <v>1</v>
      </c>
      <c r="G82" s="5">
        <v>1</v>
      </c>
      <c r="H82" s="5">
        <v>1</v>
      </c>
      <c r="I82" s="5"/>
      <c r="J82" s="5"/>
      <c r="K82" s="5"/>
      <c r="L82" s="5">
        <v>1</v>
      </c>
      <c r="M82" s="5"/>
      <c r="N82" s="5"/>
      <c r="O82" s="5"/>
      <c r="P82" s="5">
        <v>4</v>
      </c>
    </row>
    <row r="83" spans="2:16" ht="16.5" x14ac:dyDescent="0.3">
      <c r="B83"/>
      <c r="C83" t="s">
        <v>169</v>
      </c>
      <c r="D83" s="5"/>
      <c r="E83" s="5"/>
      <c r="F83" s="5"/>
      <c r="G83" s="5"/>
      <c r="H83" s="5"/>
      <c r="I83" s="5"/>
      <c r="J83" s="5"/>
      <c r="K83" s="5"/>
      <c r="L83" s="5"/>
      <c r="M83" s="5">
        <v>1</v>
      </c>
      <c r="N83" s="5"/>
      <c r="O83" s="5"/>
      <c r="P83" s="5">
        <v>1</v>
      </c>
    </row>
    <row r="84" spans="2:16" ht="16.5" x14ac:dyDescent="0.3">
      <c r="B84" t="s">
        <v>216</v>
      </c>
      <c r="C84" t="s">
        <v>151</v>
      </c>
      <c r="D84" s="5"/>
      <c r="E84" s="5"/>
      <c r="F84" s="5"/>
      <c r="G84" s="5"/>
      <c r="H84" s="5"/>
      <c r="I84" s="5"/>
      <c r="J84" s="5"/>
      <c r="K84" s="5"/>
      <c r="L84" s="5"/>
      <c r="M84" s="5">
        <v>1</v>
      </c>
      <c r="N84" s="5"/>
      <c r="O84" s="5"/>
      <c r="P84" s="5">
        <v>1</v>
      </c>
    </row>
    <row r="85" spans="2:16" ht="16.5" x14ac:dyDescent="0.3">
      <c r="B85"/>
      <c r="C85" t="s">
        <v>173</v>
      </c>
      <c r="D85" s="5"/>
      <c r="E85" s="5"/>
      <c r="F85" s="5">
        <v>1</v>
      </c>
      <c r="G85" s="5">
        <v>1</v>
      </c>
      <c r="H85" s="5"/>
      <c r="I85" s="5"/>
      <c r="J85" s="5"/>
      <c r="K85" s="5"/>
      <c r="L85" s="5"/>
      <c r="M85" s="5"/>
      <c r="N85" s="5"/>
      <c r="O85" s="5">
        <v>1</v>
      </c>
      <c r="P85" s="5">
        <v>3</v>
      </c>
    </row>
    <row r="86" spans="2:16" ht="16.5" x14ac:dyDescent="0.3">
      <c r="B86"/>
      <c r="C86" t="s">
        <v>155</v>
      </c>
      <c r="D86" s="5"/>
      <c r="E86" s="5"/>
      <c r="F86" s="5"/>
      <c r="G86" s="5">
        <v>2</v>
      </c>
      <c r="H86" s="5"/>
      <c r="I86" s="5"/>
      <c r="J86" s="5"/>
      <c r="K86" s="5"/>
      <c r="L86" s="5"/>
      <c r="M86" s="5">
        <v>1</v>
      </c>
      <c r="N86" s="5"/>
      <c r="O86" s="5"/>
      <c r="P86" s="5">
        <v>3</v>
      </c>
    </row>
    <row r="87" spans="2:16" ht="16.5" x14ac:dyDescent="0.3">
      <c r="B87"/>
      <c r="C87" t="s">
        <v>207</v>
      </c>
      <c r="D87" s="5"/>
      <c r="E87" s="5"/>
      <c r="F87" s="5"/>
      <c r="G87" s="5"/>
      <c r="H87" s="5"/>
      <c r="I87" s="5">
        <v>1</v>
      </c>
      <c r="J87" s="5"/>
      <c r="K87" s="5"/>
      <c r="L87" s="5"/>
      <c r="M87" s="5">
        <v>1</v>
      </c>
      <c r="N87" s="5"/>
      <c r="O87" s="5"/>
      <c r="P87" s="5">
        <v>2</v>
      </c>
    </row>
    <row r="88" spans="2:16" ht="16.5" x14ac:dyDescent="0.3">
      <c r="B88"/>
      <c r="C88" t="s">
        <v>138</v>
      </c>
      <c r="D88" s="5"/>
      <c r="E88" s="5"/>
      <c r="F88" s="5">
        <v>1</v>
      </c>
      <c r="G88" s="5"/>
      <c r="H88" s="5">
        <v>1</v>
      </c>
      <c r="I88" s="5"/>
      <c r="J88" s="5"/>
      <c r="K88" s="5"/>
      <c r="L88" s="5"/>
      <c r="M88" s="5"/>
      <c r="N88" s="5"/>
      <c r="O88" s="5"/>
      <c r="P88" s="5">
        <v>2</v>
      </c>
    </row>
    <row r="89" spans="2:16" ht="16.5" x14ac:dyDescent="0.3">
      <c r="B89"/>
      <c r="C89" t="s">
        <v>211</v>
      </c>
      <c r="D89" s="5"/>
      <c r="E89" s="5"/>
      <c r="F89" s="5">
        <v>1</v>
      </c>
      <c r="G89" s="5"/>
      <c r="H89" s="5"/>
      <c r="I89" s="5"/>
      <c r="J89" s="5"/>
      <c r="K89" s="5"/>
      <c r="L89" s="5"/>
      <c r="M89" s="5"/>
      <c r="N89" s="5"/>
      <c r="O89" s="5"/>
      <c r="P89" s="5">
        <v>1</v>
      </c>
    </row>
    <row r="90" spans="2:16" ht="16.5" x14ac:dyDescent="0.3">
      <c r="B90"/>
      <c r="C90" t="s">
        <v>142</v>
      </c>
      <c r="D90" s="5"/>
      <c r="E90" s="5"/>
      <c r="F90" s="5"/>
      <c r="G90" s="5"/>
      <c r="H90" s="5"/>
      <c r="I90" s="5">
        <v>1</v>
      </c>
      <c r="J90" s="5"/>
      <c r="K90" s="5"/>
      <c r="L90" s="5"/>
      <c r="M90" s="5"/>
      <c r="N90" s="5"/>
      <c r="O90" s="5"/>
      <c r="P90" s="5">
        <v>1</v>
      </c>
    </row>
    <row r="91" spans="2:16" ht="16.5" x14ac:dyDescent="0.3">
      <c r="B91"/>
      <c r="C91" t="s">
        <v>202</v>
      </c>
      <c r="D91" s="5"/>
      <c r="E91" s="5"/>
      <c r="F91" s="5">
        <v>1</v>
      </c>
      <c r="G91" s="5">
        <v>1</v>
      </c>
      <c r="H91" s="5"/>
      <c r="I91" s="5"/>
      <c r="J91" s="5"/>
      <c r="K91" s="5"/>
      <c r="L91" s="5"/>
      <c r="M91" s="5"/>
      <c r="N91" s="5"/>
      <c r="O91" s="5"/>
      <c r="P91" s="5">
        <v>2</v>
      </c>
    </row>
    <row r="92" spans="2:16" ht="16.5" x14ac:dyDescent="0.3">
      <c r="B92"/>
      <c r="C92" t="s">
        <v>222</v>
      </c>
      <c r="D92" s="5"/>
      <c r="E92" s="5"/>
      <c r="F92" s="5"/>
      <c r="G92" s="5"/>
      <c r="H92" s="5"/>
      <c r="I92" s="5">
        <v>1</v>
      </c>
      <c r="J92" s="5"/>
      <c r="K92" s="5"/>
      <c r="L92" s="5"/>
      <c r="M92" s="5"/>
      <c r="N92" s="5"/>
      <c r="O92" s="5"/>
      <c r="P92" s="5">
        <v>1</v>
      </c>
    </row>
    <row r="93" spans="2:16" ht="16.5" x14ac:dyDescent="0.3">
      <c r="B93"/>
      <c r="C93" t="s">
        <v>182</v>
      </c>
      <c r="D93" s="5"/>
      <c r="E93" s="5"/>
      <c r="F93" s="5">
        <v>1</v>
      </c>
      <c r="G93" s="5"/>
      <c r="H93" s="5"/>
      <c r="I93" s="5"/>
      <c r="J93" s="5"/>
      <c r="K93" s="5"/>
      <c r="L93" s="5"/>
      <c r="M93" s="5"/>
      <c r="N93" s="5"/>
      <c r="O93" s="5"/>
      <c r="P93" s="5">
        <v>1</v>
      </c>
    </row>
    <row r="94" spans="2:16" ht="16.5" x14ac:dyDescent="0.3">
      <c r="B94"/>
      <c r="C94" t="s">
        <v>185</v>
      </c>
      <c r="D94" s="5"/>
      <c r="E94" s="5"/>
      <c r="F94" s="5"/>
      <c r="G94" s="5"/>
      <c r="H94" s="5"/>
      <c r="I94" s="5"/>
      <c r="J94" s="5"/>
      <c r="K94" s="5"/>
      <c r="L94" s="5"/>
      <c r="M94" s="5">
        <v>2</v>
      </c>
      <c r="N94" s="5"/>
      <c r="O94" s="5"/>
      <c r="P94" s="5">
        <v>2</v>
      </c>
    </row>
    <row r="95" spans="2:16" ht="16.5" x14ac:dyDescent="0.3">
      <c r="B95"/>
      <c r="C95" t="s">
        <v>159</v>
      </c>
      <c r="D95" s="5"/>
      <c r="E95" s="5"/>
      <c r="F95" s="5"/>
      <c r="G95" s="5">
        <v>1</v>
      </c>
      <c r="H95" s="5">
        <v>1</v>
      </c>
      <c r="I95" s="5"/>
      <c r="J95" s="5"/>
      <c r="K95" s="5"/>
      <c r="L95" s="5"/>
      <c r="M95" s="5"/>
      <c r="N95" s="5"/>
      <c r="O95" s="5">
        <v>1</v>
      </c>
      <c r="P95" s="5">
        <v>3</v>
      </c>
    </row>
    <row r="96" spans="2:16" ht="16.5" x14ac:dyDescent="0.3">
      <c r="B96"/>
      <c r="C96" t="s">
        <v>197</v>
      </c>
      <c r="D96" s="5"/>
      <c r="E96" s="5"/>
      <c r="F96" s="5">
        <v>1</v>
      </c>
      <c r="G96" s="5"/>
      <c r="H96" s="5"/>
      <c r="I96" s="5"/>
      <c r="J96" s="5"/>
      <c r="K96" s="5"/>
      <c r="L96" s="5"/>
      <c r="M96" s="5"/>
      <c r="N96" s="5"/>
      <c r="O96" s="5"/>
      <c r="P96" s="5">
        <v>1</v>
      </c>
    </row>
    <row r="97" spans="2:16" ht="16.5" x14ac:dyDescent="0.3">
      <c r="B97" t="s">
        <v>236</v>
      </c>
      <c r="C97" t="s">
        <v>151</v>
      </c>
      <c r="D97" s="5"/>
      <c r="E97" s="5"/>
      <c r="F97" s="5"/>
      <c r="G97" s="5"/>
      <c r="H97" s="5"/>
      <c r="I97" s="5"/>
      <c r="J97" s="5"/>
      <c r="K97" s="5"/>
      <c r="L97" s="5"/>
      <c r="M97" s="5">
        <v>1</v>
      </c>
      <c r="N97" s="5"/>
      <c r="O97" s="5"/>
      <c r="P97" s="5">
        <v>1</v>
      </c>
    </row>
    <row r="98" spans="2:16" ht="16.5" x14ac:dyDescent="0.3">
      <c r="B98"/>
      <c r="C98" t="s">
        <v>173</v>
      </c>
      <c r="D98" s="5"/>
      <c r="E98" s="5"/>
      <c r="F98" s="5"/>
      <c r="G98" s="5"/>
      <c r="H98" s="5"/>
      <c r="I98" s="5"/>
      <c r="J98" s="5"/>
      <c r="K98" s="5"/>
      <c r="L98" s="5">
        <v>1</v>
      </c>
      <c r="M98" s="5"/>
      <c r="N98" s="5"/>
      <c r="O98" s="5"/>
      <c r="P98" s="5">
        <v>1</v>
      </c>
    </row>
    <row r="99" spans="2:16" ht="16.5" x14ac:dyDescent="0.3">
      <c r="B99"/>
      <c r="C99" t="s">
        <v>155</v>
      </c>
      <c r="D99" s="5"/>
      <c r="E99" s="5"/>
      <c r="F99" s="5">
        <v>1</v>
      </c>
      <c r="G99" s="5">
        <v>1</v>
      </c>
      <c r="H99" s="5"/>
      <c r="I99" s="5"/>
      <c r="J99" s="5"/>
      <c r="K99" s="5"/>
      <c r="L99" s="5"/>
      <c r="M99" s="5">
        <v>1</v>
      </c>
      <c r="N99" s="5"/>
      <c r="O99" s="5"/>
      <c r="P99" s="5">
        <v>3</v>
      </c>
    </row>
    <row r="100" spans="2:16" ht="16.5" x14ac:dyDescent="0.3">
      <c r="B100"/>
      <c r="C100" t="s">
        <v>207</v>
      </c>
      <c r="D100" s="5"/>
      <c r="E100" s="5"/>
      <c r="F100" s="5">
        <v>2</v>
      </c>
      <c r="G100" s="5">
        <v>1</v>
      </c>
      <c r="H100" s="5">
        <v>1</v>
      </c>
      <c r="I100" s="5"/>
      <c r="J100" s="5"/>
      <c r="K100" s="5"/>
      <c r="L100" s="5"/>
      <c r="M100" s="5"/>
      <c r="N100" s="5"/>
      <c r="O100" s="5"/>
      <c r="P100" s="5">
        <v>4</v>
      </c>
    </row>
    <row r="101" spans="2:16" ht="16.5" x14ac:dyDescent="0.3">
      <c r="B101"/>
      <c r="C101" t="s">
        <v>138</v>
      </c>
      <c r="D101" s="5"/>
      <c r="E101" s="5"/>
      <c r="F101" s="5"/>
      <c r="G101" s="5">
        <v>1</v>
      </c>
      <c r="H101" s="5"/>
      <c r="I101" s="5"/>
      <c r="J101" s="5"/>
      <c r="K101" s="5"/>
      <c r="L101" s="5"/>
      <c r="M101" s="5"/>
      <c r="N101" s="5"/>
      <c r="O101" s="5"/>
      <c r="P101" s="5">
        <v>1</v>
      </c>
    </row>
    <row r="102" spans="2:16" ht="16.5" x14ac:dyDescent="0.3">
      <c r="B102"/>
      <c r="C102" t="s">
        <v>142</v>
      </c>
      <c r="D102" s="5"/>
      <c r="E102" s="5">
        <v>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>
        <v>1</v>
      </c>
    </row>
    <row r="103" spans="2:16" ht="16.5" x14ac:dyDescent="0.3">
      <c r="B103"/>
      <c r="C103" t="s">
        <v>202</v>
      </c>
      <c r="D103" s="5"/>
      <c r="E103" s="5"/>
      <c r="F103" s="5">
        <v>1</v>
      </c>
      <c r="G103" s="5">
        <v>1</v>
      </c>
      <c r="H103" s="5"/>
      <c r="I103" s="5"/>
      <c r="J103" s="5"/>
      <c r="K103" s="5"/>
      <c r="L103" s="5"/>
      <c r="M103" s="5">
        <v>1</v>
      </c>
      <c r="N103" s="5"/>
      <c r="O103" s="5"/>
      <c r="P103" s="5">
        <v>3</v>
      </c>
    </row>
    <row r="104" spans="2:16" ht="16.5" x14ac:dyDescent="0.3">
      <c r="B104"/>
      <c r="C104" t="s">
        <v>222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</v>
      </c>
      <c r="N104" s="5"/>
      <c r="O104" s="5"/>
      <c r="P104" s="5">
        <v>1</v>
      </c>
    </row>
    <row r="105" spans="2:16" ht="16.5" x14ac:dyDescent="0.3">
      <c r="B105"/>
      <c r="C105" t="s">
        <v>182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1</v>
      </c>
      <c r="N105" s="5"/>
      <c r="O105" s="5"/>
      <c r="P105" s="5">
        <v>1</v>
      </c>
    </row>
    <row r="106" spans="2:16" ht="16.5" x14ac:dyDescent="0.3">
      <c r="B106"/>
      <c r="C106" t="s">
        <v>185</v>
      </c>
      <c r="D106" s="5"/>
      <c r="E106" s="5"/>
      <c r="F106" s="5"/>
      <c r="G106" s="5"/>
      <c r="H106" s="5"/>
      <c r="I106" s="5"/>
      <c r="J106" s="5"/>
      <c r="K106" s="5"/>
      <c r="L106" s="5">
        <v>1</v>
      </c>
      <c r="M106" s="5"/>
      <c r="N106" s="5"/>
      <c r="O106" s="5"/>
      <c r="P106" s="5">
        <v>1</v>
      </c>
    </row>
    <row r="107" spans="2:16" ht="16.5" x14ac:dyDescent="0.3">
      <c r="B107"/>
      <c r="C107" t="s">
        <v>130</v>
      </c>
      <c r="D107" s="5"/>
      <c r="E107" s="5"/>
      <c r="F107" s="5">
        <v>1</v>
      </c>
      <c r="G107" s="5"/>
      <c r="H107" s="5">
        <v>1</v>
      </c>
      <c r="I107" s="5"/>
      <c r="J107" s="5"/>
      <c r="K107" s="5"/>
      <c r="L107" s="5"/>
      <c r="M107" s="5"/>
      <c r="N107" s="5"/>
      <c r="O107" s="5"/>
      <c r="P107" s="5">
        <v>2</v>
      </c>
    </row>
    <row r="108" spans="2:16" ht="16.5" x14ac:dyDescent="0.3">
      <c r="B108"/>
      <c r="C108" t="s">
        <v>197</v>
      </c>
      <c r="D108" s="5">
        <v>1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>
        <v>1</v>
      </c>
    </row>
    <row r="109" spans="2:16" ht="16.5" x14ac:dyDescent="0.3">
      <c r="B109"/>
      <c r="C109" t="s">
        <v>169</v>
      </c>
      <c r="D109" s="5"/>
      <c r="E109" s="5"/>
      <c r="F109" s="5">
        <v>1</v>
      </c>
      <c r="G109" s="5"/>
      <c r="H109" s="5">
        <v>1</v>
      </c>
      <c r="I109" s="5"/>
      <c r="J109" s="5"/>
      <c r="K109" s="5"/>
      <c r="L109" s="5">
        <v>1</v>
      </c>
      <c r="M109" s="5"/>
      <c r="N109" s="5"/>
      <c r="O109" s="5"/>
      <c r="P109" s="5">
        <v>3</v>
      </c>
    </row>
    <row r="110" spans="2:16" ht="16.5" x14ac:dyDescent="0.3">
      <c r="B110" t="s">
        <v>154</v>
      </c>
      <c r="C110" t="s">
        <v>151</v>
      </c>
      <c r="D110" s="5"/>
      <c r="E110" s="5"/>
      <c r="F110" s="5"/>
      <c r="G110" s="5"/>
      <c r="H110" s="5"/>
      <c r="I110" s="5">
        <v>1</v>
      </c>
      <c r="J110" s="5"/>
      <c r="K110" s="5"/>
      <c r="L110" s="5"/>
      <c r="M110" s="5"/>
      <c r="N110" s="5"/>
      <c r="O110" s="5"/>
      <c r="P110" s="5">
        <v>1</v>
      </c>
    </row>
    <row r="111" spans="2:16" ht="16.5" x14ac:dyDescent="0.3">
      <c r="B111"/>
      <c r="C111" t="s">
        <v>173</v>
      </c>
      <c r="D111" s="5"/>
      <c r="E111" s="5"/>
      <c r="F111" s="5">
        <v>1</v>
      </c>
      <c r="G111" s="5"/>
      <c r="H111" s="5"/>
      <c r="I111" s="5"/>
      <c r="J111" s="5"/>
      <c r="K111" s="5"/>
      <c r="L111" s="5"/>
      <c r="M111" s="5"/>
      <c r="N111" s="5"/>
      <c r="O111" s="5"/>
      <c r="P111" s="5">
        <v>1</v>
      </c>
    </row>
    <row r="112" spans="2:16" ht="16.5" x14ac:dyDescent="0.3">
      <c r="B112"/>
      <c r="C112" t="s">
        <v>155</v>
      </c>
      <c r="D112" s="5"/>
      <c r="E112" s="5"/>
      <c r="F112" s="5">
        <v>1</v>
      </c>
      <c r="G112" s="5">
        <v>1</v>
      </c>
      <c r="H112" s="5"/>
      <c r="I112" s="5"/>
      <c r="J112" s="5"/>
      <c r="K112" s="5"/>
      <c r="L112" s="5"/>
      <c r="M112" s="5">
        <v>3</v>
      </c>
      <c r="N112" s="5"/>
      <c r="O112" s="5">
        <v>2</v>
      </c>
      <c r="P112" s="5">
        <v>7</v>
      </c>
    </row>
    <row r="113" spans="2:16" ht="16.5" x14ac:dyDescent="0.3">
      <c r="B113"/>
      <c r="C113" t="s">
        <v>207</v>
      </c>
      <c r="D113" s="5"/>
      <c r="E113" s="5">
        <v>1</v>
      </c>
      <c r="F113" s="5">
        <v>1</v>
      </c>
      <c r="G113" s="5"/>
      <c r="H113" s="5">
        <v>1</v>
      </c>
      <c r="I113" s="5"/>
      <c r="J113" s="5"/>
      <c r="K113" s="5"/>
      <c r="L113" s="5"/>
      <c r="M113" s="5"/>
      <c r="N113" s="5"/>
      <c r="O113" s="5"/>
      <c r="P113" s="5">
        <v>3</v>
      </c>
    </row>
    <row r="114" spans="2:16" ht="16.5" x14ac:dyDescent="0.3">
      <c r="B114"/>
      <c r="C114" t="s">
        <v>211</v>
      </c>
      <c r="D114" s="5"/>
      <c r="E114" s="5"/>
      <c r="F114" s="5">
        <v>1</v>
      </c>
      <c r="G114" s="5"/>
      <c r="H114" s="5"/>
      <c r="I114" s="5"/>
      <c r="J114" s="5"/>
      <c r="K114" s="5"/>
      <c r="L114" s="5"/>
      <c r="M114" s="5">
        <v>1</v>
      </c>
      <c r="N114" s="5"/>
      <c r="O114" s="5">
        <v>1</v>
      </c>
      <c r="P114" s="5">
        <v>3</v>
      </c>
    </row>
    <row r="115" spans="2:16" ht="16.5" x14ac:dyDescent="0.3">
      <c r="B115"/>
      <c r="C115" t="s">
        <v>142</v>
      </c>
      <c r="D115" s="5"/>
      <c r="E115" s="5"/>
      <c r="F115" s="5">
        <v>1</v>
      </c>
      <c r="G115" s="5"/>
      <c r="H115" s="5"/>
      <c r="I115" s="5"/>
      <c r="J115" s="5"/>
      <c r="K115" s="5"/>
      <c r="L115" s="5"/>
      <c r="M115" s="5"/>
      <c r="N115" s="5"/>
      <c r="O115" s="5"/>
      <c r="P115" s="5">
        <v>1</v>
      </c>
    </row>
    <row r="116" spans="2:16" ht="16.5" x14ac:dyDescent="0.3">
      <c r="B116"/>
      <c r="C116" t="s">
        <v>202</v>
      </c>
      <c r="D116" s="5"/>
      <c r="E116" s="5"/>
      <c r="F116" s="5">
        <v>1</v>
      </c>
      <c r="G116" s="5"/>
      <c r="H116" s="5"/>
      <c r="I116" s="5"/>
      <c r="J116" s="5"/>
      <c r="K116" s="5"/>
      <c r="L116" s="5"/>
      <c r="M116" s="5">
        <v>1</v>
      </c>
      <c r="N116" s="5"/>
      <c r="O116" s="5"/>
      <c r="P116" s="5">
        <v>2</v>
      </c>
    </row>
    <row r="117" spans="2:16" ht="16.5" x14ac:dyDescent="0.3">
      <c r="B117"/>
      <c r="C117" t="s">
        <v>222</v>
      </c>
      <c r="D117" s="5">
        <v>1</v>
      </c>
      <c r="E117" s="5">
        <v>1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>
        <v>2</v>
      </c>
    </row>
    <row r="118" spans="2:16" ht="16.5" x14ac:dyDescent="0.3">
      <c r="B118"/>
      <c r="C118" t="s">
        <v>182</v>
      </c>
      <c r="D118" s="5"/>
      <c r="E118" s="5">
        <v>1</v>
      </c>
      <c r="F118" s="5">
        <v>1</v>
      </c>
      <c r="G118" s="5">
        <v>2</v>
      </c>
      <c r="H118" s="5"/>
      <c r="I118" s="5"/>
      <c r="J118" s="5"/>
      <c r="K118" s="5"/>
      <c r="L118" s="5">
        <v>2</v>
      </c>
      <c r="M118" s="5"/>
      <c r="N118" s="5"/>
      <c r="O118" s="5"/>
      <c r="P118" s="5">
        <v>6</v>
      </c>
    </row>
    <row r="119" spans="2:16" ht="16.5" x14ac:dyDescent="0.3">
      <c r="B119"/>
      <c r="C119" t="s">
        <v>185</v>
      </c>
      <c r="D119" s="5"/>
      <c r="E119" s="5"/>
      <c r="F119" s="5">
        <v>2</v>
      </c>
      <c r="G119" s="5"/>
      <c r="H119" s="5">
        <v>1</v>
      </c>
      <c r="I119" s="5"/>
      <c r="J119" s="5"/>
      <c r="K119" s="5"/>
      <c r="L119" s="5"/>
      <c r="M119" s="5"/>
      <c r="N119" s="5"/>
      <c r="O119" s="5"/>
      <c r="P119" s="5">
        <v>3</v>
      </c>
    </row>
    <row r="120" spans="2:16" ht="16.5" x14ac:dyDescent="0.3">
      <c r="B120"/>
      <c r="C120" t="s">
        <v>130</v>
      </c>
      <c r="D120" s="5"/>
      <c r="E120" s="5"/>
      <c r="F120" s="5"/>
      <c r="G120" s="5">
        <v>1</v>
      </c>
      <c r="H120" s="5"/>
      <c r="I120" s="5"/>
      <c r="J120" s="5"/>
      <c r="K120" s="5"/>
      <c r="L120" s="5">
        <v>1</v>
      </c>
      <c r="M120" s="5"/>
      <c r="N120" s="5"/>
      <c r="O120" s="5"/>
      <c r="P120" s="5">
        <v>2</v>
      </c>
    </row>
    <row r="121" spans="2:16" ht="16.5" x14ac:dyDescent="0.3">
      <c r="B121"/>
      <c r="C121" t="s">
        <v>159</v>
      </c>
      <c r="D121" s="5"/>
      <c r="E121" s="5"/>
      <c r="F121" s="5">
        <v>1</v>
      </c>
      <c r="G121" s="5"/>
      <c r="H121" s="5"/>
      <c r="I121" s="5"/>
      <c r="J121" s="5"/>
      <c r="K121" s="5"/>
      <c r="L121" s="5">
        <v>2</v>
      </c>
      <c r="M121" s="5"/>
      <c r="N121" s="5"/>
      <c r="O121" s="5"/>
      <c r="P121" s="5">
        <v>3</v>
      </c>
    </row>
    <row r="122" spans="2:16" ht="16.5" x14ac:dyDescent="0.3">
      <c r="B122"/>
      <c r="C122" t="s">
        <v>197</v>
      </c>
      <c r="D122" s="5"/>
      <c r="E122" s="5"/>
      <c r="F122" s="5">
        <v>1</v>
      </c>
      <c r="G122" s="5"/>
      <c r="H122" s="5"/>
      <c r="I122" s="5"/>
      <c r="J122" s="5"/>
      <c r="K122" s="5"/>
      <c r="L122" s="5"/>
      <c r="M122" s="5">
        <v>1</v>
      </c>
      <c r="N122" s="5">
        <v>1</v>
      </c>
      <c r="O122" s="5"/>
      <c r="P122" s="5">
        <v>3</v>
      </c>
    </row>
    <row r="123" spans="2:16" ht="16.5" x14ac:dyDescent="0.3">
      <c r="B123"/>
      <c r="C123" t="s">
        <v>169</v>
      </c>
      <c r="D123" s="5"/>
      <c r="E123" s="5">
        <v>1</v>
      </c>
      <c r="F123" s="5"/>
      <c r="G123" s="5">
        <v>1</v>
      </c>
      <c r="H123" s="5"/>
      <c r="I123" s="5"/>
      <c r="J123" s="5"/>
      <c r="K123" s="5"/>
      <c r="L123" s="5"/>
      <c r="M123" s="5">
        <v>2</v>
      </c>
      <c r="N123" s="5"/>
      <c r="O123" s="5"/>
      <c r="P123" s="5">
        <v>4</v>
      </c>
    </row>
    <row r="124" spans="2:16" ht="16.5" x14ac:dyDescent="0.3">
      <c r="B124" t="s">
        <v>141</v>
      </c>
      <c r="C124" t="s">
        <v>151</v>
      </c>
      <c r="D124" s="5"/>
      <c r="E124" s="5"/>
      <c r="F124" s="5"/>
      <c r="G124" s="5"/>
      <c r="H124" s="5"/>
      <c r="I124" s="5"/>
      <c r="J124" s="5"/>
      <c r="K124" s="5">
        <v>1</v>
      </c>
      <c r="L124" s="5"/>
      <c r="M124" s="5">
        <v>1</v>
      </c>
      <c r="N124" s="5">
        <v>2</v>
      </c>
      <c r="O124" s="5"/>
      <c r="P124" s="5">
        <v>4</v>
      </c>
    </row>
    <row r="125" spans="2:16" ht="16.5" x14ac:dyDescent="0.3">
      <c r="B125"/>
      <c r="C125" t="s">
        <v>173</v>
      </c>
      <c r="D125" s="5"/>
      <c r="E125" s="5">
        <v>1</v>
      </c>
      <c r="F125" s="5"/>
      <c r="G125" s="5">
        <v>2</v>
      </c>
      <c r="H125" s="5"/>
      <c r="I125" s="5"/>
      <c r="J125" s="5"/>
      <c r="K125" s="5"/>
      <c r="L125" s="5">
        <v>1</v>
      </c>
      <c r="M125" s="5">
        <v>1</v>
      </c>
      <c r="N125" s="5"/>
      <c r="O125" s="5"/>
      <c r="P125" s="5">
        <v>5</v>
      </c>
    </row>
    <row r="126" spans="2:16" ht="16.5" x14ac:dyDescent="0.3">
      <c r="B126"/>
      <c r="C126" t="s">
        <v>155</v>
      </c>
      <c r="D126" s="5"/>
      <c r="E126" s="5"/>
      <c r="F126" s="5">
        <v>1</v>
      </c>
      <c r="G126" s="5"/>
      <c r="H126" s="5"/>
      <c r="I126" s="5"/>
      <c r="J126" s="5"/>
      <c r="K126" s="5"/>
      <c r="L126" s="5"/>
      <c r="M126" s="5"/>
      <c r="N126" s="5"/>
      <c r="O126" s="5"/>
      <c r="P126" s="5">
        <v>1</v>
      </c>
    </row>
    <row r="127" spans="2:16" ht="16.5" x14ac:dyDescent="0.3">
      <c r="B127"/>
      <c r="C127" t="s">
        <v>207</v>
      </c>
      <c r="D127" s="5"/>
      <c r="E127" s="5"/>
      <c r="F127" s="5"/>
      <c r="G127" s="5"/>
      <c r="H127" s="5"/>
      <c r="I127" s="5"/>
      <c r="J127" s="5"/>
      <c r="K127" s="5"/>
      <c r="L127" s="5"/>
      <c r="M127" s="5">
        <v>2</v>
      </c>
      <c r="N127" s="5"/>
      <c r="O127" s="5"/>
      <c r="P127" s="5">
        <v>2</v>
      </c>
    </row>
    <row r="128" spans="2:16" ht="16.5" x14ac:dyDescent="0.3">
      <c r="B128"/>
      <c r="C128" t="s">
        <v>138</v>
      </c>
      <c r="D128" s="5"/>
      <c r="E128" s="5"/>
      <c r="F128" s="5">
        <v>3</v>
      </c>
      <c r="G128" s="5">
        <v>1</v>
      </c>
      <c r="H128" s="5"/>
      <c r="I128" s="5"/>
      <c r="J128" s="5"/>
      <c r="K128" s="5"/>
      <c r="L128" s="5"/>
      <c r="M128" s="5">
        <v>1</v>
      </c>
      <c r="N128" s="5"/>
      <c r="O128" s="5"/>
      <c r="P128" s="5">
        <v>5</v>
      </c>
    </row>
    <row r="129" spans="2:16" ht="16.5" x14ac:dyDescent="0.3">
      <c r="B129"/>
      <c r="C129" t="s">
        <v>211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>
        <v>1</v>
      </c>
      <c r="O129" s="5"/>
      <c r="P129" s="5">
        <v>1</v>
      </c>
    </row>
    <row r="130" spans="2:16" ht="16.5" x14ac:dyDescent="0.3">
      <c r="B130"/>
      <c r="C130" t="s">
        <v>142</v>
      </c>
      <c r="D130" s="5"/>
      <c r="E130" s="5"/>
      <c r="F130" s="5"/>
      <c r="G130" s="5">
        <v>1</v>
      </c>
      <c r="H130" s="5">
        <v>1</v>
      </c>
      <c r="I130" s="5"/>
      <c r="J130" s="5"/>
      <c r="K130" s="5"/>
      <c r="L130" s="5"/>
      <c r="M130" s="5">
        <v>1</v>
      </c>
      <c r="N130" s="5"/>
      <c r="O130" s="5"/>
      <c r="P130" s="5">
        <v>3</v>
      </c>
    </row>
    <row r="131" spans="2:16" ht="16.5" x14ac:dyDescent="0.3">
      <c r="B131"/>
      <c r="C131" t="s">
        <v>202</v>
      </c>
      <c r="D131" s="5"/>
      <c r="E131" s="5"/>
      <c r="F131" s="5"/>
      <c r="G131" s="5"/>
      <c r="H131" s="5"/>
      <c r="I131" s="5"/>
      <c r="J131" s="5"/>
      <c r="K131" s="5"/>
      <c r="L131" s="5"/>
      <c r="M131" s="5">
        <v>1</v>
      </c>
      <c r="N131" s="5"/>
      <c r="O131" s="5"/>
      <c r="P131" s="5">
        <v>1</v>
      </c>
    </row>
    <row r="132" spans="2:16" ht="16.5" x14ac:dyDescent="0.3">
      <c r="B132"/>
      <c r="C132" t="s">
        <v>222</v>
      </c>
      <c r="D132" s="5"/>
      <c r="E132" s="5"/>
      <c r="F132" s="5"/>
      <c r="G132" s="5">
        <v>2</v>
      </c>
      <c r="H132" s="5"/>
      <c r="I132" s="5"/>
      <c r="J132" s="5"/>
      <c r="K132" s="5"/>
      <c r="L132" s="5"/>
      <c r="M132" s="5"/>
      <c r="N132" s="5"/>
      <c r="O132" s="5"/>
      <c r="P132" s="5">
        <v>2</v>
      </c>
    </row>
    <row r="133" spans="2:16" ht="16.5" x14ac:dyDescent="0.3">
      <c r="B133"/>
      <c r="C133" t="s">
        <v>182</v>
      </c>
      <c r="D133" s="5"/>
      <c r="E133" s="5"/>
      <c r="F133" s="5">
        <v>1</v>
      </c>
      <c r="G133" s="5"/>
      <c r="H133" s="5"/>
      <c r="I133" s="5"/>
      <c r="J133" s="5"/>
      <c r="K133" s="5"/>
      <c r="L133" s="5"/>
      <c r="M133" s="5">
        <v>1</v>
      </c>
      <c r="N133" s="5"/>
      <c r="O133" s="5"/>
      <c r="P133" s="5">
        <v>2</v>
      </c>
    </row>
    <row r="134" spans="2:16" ht="16.5" x14ac:dyDescent="0.3">
      <c r="B134"/>
      <c r="C134" t="s">
        <v>185</v>
      </c>
      <c r="D134" s="5"/>
      <c r="E134" s="5"/>
      <c r="F134" s="5"/>
      <c r="G134" s="5"/>
      <c r="H134" s="5"/>
      <c r="I134" s="5">
        <v>1</v>
      </c>
      <c r="J134" s="5"/>
      <c r="K134" s="5"/>
      <c r="L134" s="5">
        <v>1</v>
      </c>
      <c r="M134" s="5"/>
      <c r="N134" s="5"/>
      <c r="O134" s="5"/>
      <c r="P134" s="5">
        <v>2</v>
      </c>
    </row>
    <row r="135" spans="2:16" ht="16.5" x14ac:dyDescent="0.3">
      <c r="B135"/>
      <c r="C135" t="s">
        <v>130</v>
      </c>
      <c r="D135" s="5"/>
      <c r="E135" s="5"/>
      <c r="F135" s="5"/>
      <c r="G135" s="5">
        <v>1</v>
      </c>
      <c r="H135" s="5"/>
      <c r="I135" s="5"/>
      <c r="J135" s="5"/>
      <c r="K135" s="5"/>
      <c r="L135" s="5"/>
      <c r="M135" s="5"/>
      <c r="N135" s="5"/>
      <c r="O135" s="5"/>
      <c r="P135" s="5">
        <v>1</v>
      </c>
    </row>
    <row r="136" spans="2:16" ht="16.5" x14ac:dyDescent="0.3">
      <c r="B136"/>
      <c r="C136" t="s">
        <v>159</v>
      </c>
      <c r="D136" s="5"/>
      <c r="E136" s="5"/>
      <c r="F136" s="5"/>
      <c r="G136" s="5"/>
      <c r="H136" s="5"/>
      <c r="I136" s="5"/>
      <c r="J136" s="5"/>
      <c r="K136" s="5"/>
      <c r="L136" s="5">
        <v>1</v>
      </c>
      <c r="M136" s="5"/>
      <c r="N136" s="5"/>
      <c r="O136" s="5"/>
      <c r="P136" s="5">
        <v>1</v>
      </c>
    </row>
    <row r="137" spans="2:16" ht="16.5" x14ac:dyDescent="0.3">
      <c r="B137"/>
      <c r="C137" t="s">
        <v>197</v>
      </c>
      <c r="D137" s="5"/>
      <c r="E137" s="5"/>
      <c r="F137" s="5"/>
      <c r="G137" s="5">
        <v>1</v>
      </c>
      <c r="H137" s="5"/>
      <c r="I137" s="5"/>
      <c r="J137" s="5"/>
      <c r="K137" s="5"/>
      <c r="L137" s="5"/>
      <c r="M137" s="5"/>
      <c r="N137" s="5"/>
      <c r="O137" s="5"/>
      <c r="P137" s="5">
        <v>1</v>
      </c>
    </row>
    <row r="138" spans="2:16" ht="16.5" x14ac:dyDescent="0.3">
      <c r="B138"/>
      <c r="C138" t="s">
        <v>169</v>
      </c>
      <c r="D138" s="5"/>
      <c r="E138" s="5"/>
      <c r="F138" s="5"/>
      <c r="G138" s="5">
        <v>1</v>
      </c>
      <c r="H138" s="5">
        <v>1</v>
      </c>
      <c r="I138" s="5"/>
      <c r="J138" s="5"/>
      <c r="K138" s="5"/>
      <c r="L138" s="5"/>
      <c r="M138" s="5"/>
      <c r="N138" s="5"/>
      <c r="O138" s="5"/>
      <c r="P138" s="5">
        <v>2</v>
      </c>
    </row>
    <row r="139" spans="2:16" ht="16.5" x14ac:dyDescent="0.3">
      <c r="B139" t="s">
        <v>158</v>
      </c>
      <c r="C139" t="s">
        <v>151</v>
      </c>
      <c r="D139" s="5">
        <v>1</v>
      </c>
      <c r="E139" s="5"/>
      <c r="F139" s="5"/>
      <c r="G139" s="5">
        <v>2</v>
      </c>
      <c r="H139" s="5">
        <v>1</v>
      </c>
      <c r="I139" s="5"/>
      <c r="J139" s="5"/>
      <c r="K139" s="5"/>
      <c r="L139" s="5"/>
      <c r="M139" s="5"/>
      <c r="N139" s="5"/>
      <c r="O139" s="5"/>
      <c r="P139" s="5">
        <v>4</v>
      </c>
    </row>
    <row r="140" spans="2:16" ht="16.5" x14ac:dyDescent="0.3">
      <c r="B140"/>
      <c r="C140" t="s">
        <v>173</v>
      </c>
      <c r="D140" s="5"/>
      <c r="E140" s="5"/>
      <c r="F140" s="5">
        <v>1</v>
      </c>
      <c r="G140" s="5"/>
      <c r="H140" s="5"/>
      <c r="I140" s="5"/>
      <c r="J140" s="5"/>
      <c r="K140" s="5"/>
      <c r="L140" s="5"/>
      <c r="M140" s="5">
        <v>1</v>
      </c>
      <c r="N140" s="5"/>
      <c r="O140" s="5">
        <v>1</v>
      </c>
      <c r="P140" s="5">
        <v>3</v>
      </c>
    </row>
    <row r="141" spans="2:16" ht="16.5" x14ac:dyDescent="0.3">
      <c r="B141"/>
      <c r="C141" t="s">
        <v>155</v>
      </c>
      <c r="D141" s="5"/>
      <c r="E141" s="5"/>
      <c r="F141" s="5"/>
      <c r="G141" s="5"/>
      <c r="H141" s="5"/>
      <c r="I141" s="5">
        <v>1</v>
      </c>
      <c r="J141" s="5"/>
      <c r="K141" s="5"/>
      <c r="L141" s="5">
        <v>1</v>
      </c>
      <c r="M141" s="5"/>
      <c r="N141" s="5"/>
      <c r="O141" s="5"/>
      <c r="P141" s="5">
        <v>2</v>
      </c>
    </row>
    <row r="142" spans="2:16" ht="16.5" x14ac:dyDescent="0.3">
      <c r="B142"/>
      <c r="C142" t="s">
        <v>207</v>
      </c>
      <c r="D142" s="5"/>
      <c r="E142" s="5"/>
      <c r="F142" s="5">
        <v>1</v>
      </c>
      <c r="G142" s="5"/>
      <c r="H142" s="5"/>
      <c r="I142" s="5"/>
      <c r="J142" s="5"/>
      <c r="K142" s="5"/>
      <c r="L142" s="5"/>
      <c r="M142" s="5"/>
      <c r="N142" s="5"/>
      <c r="O142" s="5"/>
      <c r="P142" s="5">
        <v>1</v>
      </c>
    </row>
    <row r="143" spans="2:16" ht="16.5" x14ac:dyDescent="0.3">
      <c r="B143"/>
      <c r="C143" t="s">
        <v>138</v>
      </c>
      <c r="D143" s="5"/>
      <c r="E143" s="5"/>
      <c r="F143" s="5"/>
      <c r="G143" s="5"/>
      <c r="H143" s="5"/>
      <c r="I143" s="5"/>
      <c r="J143" s="5"/>
      <c r="K143" s="5"/>
      <c r="L143" s="5">
        <v>1</v>
      </c>
      <c r="M143" s="5">
        <v>1</v>
      </c>
      <c r="N143" s="5"/>
      <c r="O143" s="5"/>
      <c r="P143" s="5">
        <v>2</v>
      </c>
    </row>
    <row r="144" spans="2:16" ht="16.5" x14ac:dyDescent="0.3">
      <c r="B144"/>
      <c r="C144" t="s">
        <v>211</v>
      </c>
      <c r="D144" s="5"/>
      <c r="E144" s="5"/>
      <c r="F144" s="5"/>
      <c r="G144" s="5"/>
      <c r="H144" s="5">
        <v>1</v>
      </c>
      <c r="I144" s="5"/>
      <c r="J144" s="5"/>
      <c r="K144" s="5"/>
      <c r="L144" s="5"/>
      <c r="M144" s="5"/>
      <c r="N144" s="5"/>
      <c r="O144" s="5"/>
      <c r="P144" s="5">
        <v>1</v>
      </c>
    </row>
    <row r="145" spans="2:16" ht="16.5" x14ac:dyDescent="0.3">
      <c r="B145"/>
      <c r="C145" t="s">
        <v>142</v>
      </c>
      <c r="D145" s="5"/>
      <c r="E145" s="5"/>
      <c r="F145" s="5">
        <v>1</v>
      </c>
      <c r="G145" s="5"/>
      <c r="H145" s="5">
        <v>1</v>
      </c>
      <c r="I145" s="5"/>
      <c r="J145" s="5"/>
      <c r="K145" s="5"/>
      <c r="L145" s="5"/>
      <c r="M145" s="5">
        <v>1</v>
      </c>
      <c r="N145" s="5"/>
      <c r="O145" s="5">
        <v>1</v>
      </c>
      <c r="P145" s="5">
        <v>4</v>
      </c>
    </row>
    <row r="146" spans="2:16" ht="16.5" x14ac:dyDescent="0.3">
      <c r="B146"/>
      <c r="C146" t="s">
        <v>202</v>
      </c>
      <c r="D146" s="5"/>
      <c r="E146" s="5"/>
      <c r="F146" s="5"/>
      <c r="G146" s="5"/>
      <c r="H146" s="5">
        <v>1</v>
      </c>
      <c r="I146" s="5">
        <v>1</v>
      </c>
      <c r="J146" s="5"/>
      <c r="K146" s="5"/>
      <c r="L146" s="5"/>
      <c r="M146" s="5">
        <v>1</v>
      </c>
      <c r="N146" s="5"/>
      <c r="O146" s="5"/>
      <c r="P146" s="5">
        <v>3</v>
      </c>
    </row>
    <row r="147" spans="2:16" ht="16.5" x14ac:dyDescent="0.3">
      <c r="B147"/>
      <c r="C147" t="s">
        <v>222</v>
      </c>
      <c r="D147" s="5"/>
      <c r="E147" s="5">
        <v>1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>
        <v>1</v>
      </c>
    </row>
    <row r="148" spans="2:16" ht="16.5" x14ac:dyDescent="0.3">
      <c r="B148"/>
      <c r="C148" t="s">
        <v>182</v>
      </c>
      <c r="D148" s="5"/>
      <c r="E148" s="5"/>
      <c r="F148" s="5">
        <v>1</v>
      </c>
      <c r="G148" s="5">
        <v>2</v>
      </c>
      <c r="H148" s="5"/>
      <c r="I148" s="5"/>
      <c r="J148" s="5"/>
      <c r="K148" s="5"/>
      <c r="L148" s="5"/>
      <c r="M148" s="5"/>
      <c r="N148" s="5"/>
      <c r="O148" s="5">
        <v>1</v>
      </c>
      <c r="P148" s="5">
        <v>4</v>
      </c>
    </row>
    <row r="149" spans="2:16" ht="16.5" x14ac:dyDescent="0.3">
      <c r="B149"/>
      <c r="C149" t="s">
        <v>185</v>
      </c>
      <c r="D149" s="5"/>
      <c r="E149" s="5">
        <v>1</v>
      </c>
      <c r="F149" s="5"/>
      <c r="G149" s="5"/>
      <c r="H149" s="5">
        <v>1</v>
      </c>
      <c r="I149" s="5"/>
      <c r="J149" s="5"/>
      <c r="K149" s="5"/>
      <c r="L149" s="5">
        <v>1</v>
      </c>
      <c r="M149" s="5">
        <v>1</v>
      </c>
      <c r="N149" s="5"/>
      <c r="O149" s="5"/>
      <c r="P149" s="5">
        <v>4</v>
      </c>
    </row>
    <row r="150" spans="2:16" ht="16.5" x14ac:dyDescent="0.3">
      <c r="B150"/>
      <c r="C150" t="s">
        <v>130</v>
      </c>
      <c r="D150" s="5">
        <v>1</v>
      </c>
      <c r="E150" s="5"/>
      <c r="F150" s="5"/>
      <c r="G150" s="5"/>
      <c r="H150" s="5"/>
      <c r="I150" s="5"/>
      <c r="J150" s="5"/>
      <c r="K150" s="5"/>
      <c r="L150" s="5"/>
      <c r="M150" s="5">
        <v>1</v>
      </c>
      <c r="N150" s="5"/>
      <c r="O150" s="5"/>
      <c r="P150" s="5">
        <v>2</v>
      </c>
    </row>
    <row r="151" spans="2:16" ht="16.5" x14ac:dyDescent="0.3">
      <c r="B151"/>
      <c r="C151" t="s">
        <v>159</v>
      </c>
      <c r="D151" s="5"/>
      <c r="E151" s="5"/>
      <c r="F151" s="5">
        <v>2</v>
      </c>
      <c r="G151" s="5"/>
      <c r="H151" s="5"/>
      <c r="I151" s="5"/>
      <c r="J151" s="5"/>
      <c r="K151" s="5"/>
      <c r="L151" s="5"/>
      <c r="M151" s="5">
        <v>2</v>
      </c>
      <c r="N151" s="5"/>
      <c r="O151" s="5"/>
      <c r="P151" s="5">
        <v>4</v>
      </c>
    </row>
    <row r="152" spans="2:16" ht="16.5" x14ac:dyDescent="0.3">
      <c r="B152"/>
      <c r="C152" t="s">
        <v>197</v>
      </c>
      <c r="D152" s="5"/>
      <c r="E152" s="5"/>
      <c r="F152" s="5"/>
      <c r="G152" s="5"/>
      <c r="H152" s="5">
        <v>1</v>
      </c>
      <c r="I152" s="5">
        <v>1</v>
      </c>
      <c r="J152" s="5"/>
      <c r="K152" s="5"/>
      <c r="L152" s="5"/>
      <c r="M152" s="5"/>
      <c r="N152" s="5"/>
      <c r="O152" s="5"/>
      <c r="P152" s="5">
        <v>2</v>
      </c>
    </row>
    <row r="153" spans="2:16" ht="16.5" x14ac:dyDescent="0.3">
      <c r="B153"/>
      <c r="C153" t="s">
        <v>169</v>
      </c>
      <c r="D153" s="5"/>
      <c r="E153" s="5">
        <v>1</v>
      </c>
      <c r="F153" s="5"/>
      <c r="G153" s="5"/>
      <c r="H153" s="5"/>
      <c r="I153" s="5"/>
      <c r="J153" s="5"/>
      <c r="K153" s="5"/>
      <c r="L153" s="5"/>
      <c r="M153" s="5">
        <v>1</v>
      </c>
      <c r="N153" s="5"/>
      <c r="O153" s="5"/>
      <c r="P153" s="5">
        <v>2</v>
      </c>
    </row>
    <row r="154" spans="2:16" ht="16.5" x14ac:dyDescent="0.3">
      <c r="B154" t="s">
        <v>184</v>
      </c>
      <c r="C154" t="s">
        <v>151</v>
      </c>
      <c r="D154" s="5"/>
      <c r="E154" s="5"/>
      <c r="F154" s="5">
        <v>1</v>
      </c>
      <c r="G154" s="5"/>
      <c r="H154" s="5"/>
      <c r="I154" s="5"/>
      <c r="J154" s="5"/>
      <c r="K154" s="5"/>
      <c r="L154" s="5">
        <v>1</v>
      </c>
      <c r="M154" s="5"/>
      <c r="N154" s="5"/>
      <c r="O154" s="5"/>
      <c r="P154" s="5">
        <v>2</v>
      </c>
    </row>
    <row r="155" spans="2:16" ht="16.5" x14ac:dyDescent="0.3">
      <c r="B155"/>
      <c r="C155" t="s">
        <v>173</v>
      </c>
      <c r="D155" s="5"/>
      <c r="E155" s="5"/>
      <c r="F155" s="5">
        <v>3</v>
      </c>
      <c r="G155" s="5"/>
      <c r="H155" s="5"/>
      <c r="I155" s="5"/>
      <c r="J155" s="5"/>
      <c r="K155" s="5"/>
      <c r="L155" s="5">
        <v>2</v>
      </c>
      <c r="M155" s="5"/>
      <c r="N155" s="5"/>
      <c r="O155" s="5"/>
      <c r="P155" s="5">
        <v>5</v>
      </c>
    </row>
    <row r="156" spans="2:16" ht="16.5" x14ac:dyDescent="0.3">
      <c r="B156"/>
      <c r="C156" t="s">
        <v>155</v>
      </c>
      <c r="D156" s="5">
        <v>1</v>
      </c>
      <c r="E156" s="5"/>
      <c r="F156" s="5"/>
      <c r="G156" s="5">
        <v>1</v>
      </c>
      <c r="H156" s="5"/>
      <c r="I156" s="5"/>
      <c r="J156" s="5"/>
      <c r="K156" s="5"/>
      <c r="L156" s="5"/>
      <c r="M156" s="5"/>
      <c r="N156" s="5"/>
      <c r="O156" s="5"/>
      <c r="P156" s="5">
        <v>2</v>
      </c>
    </row>
    <row r="157" spans="2:16" ht="16.5" x14ac:dyDescent="0.3">
      <c r="B157"/>
      <c r="C157" t="s">
        <v>207</v>
      </c>
      <c r="D157" s="5"/>
      <c r="E157" s="5">
        <v>1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>
        <v>1</v>
      </c>
    </row>
    <row r="158" spans="2:16" ht="16.5" x14ac:dyDescent="0.3">
      <c r="B158"/>
      <c r="C158" t="s">
        <v>138</v>
      </c>
      <c r="D158" s="5"/>
      <c r="E158" s="5">
        <v>1</v>
      </c>
      <c r="F158" s="5"/>
      <c r="G158" s="5">
        <v>2</v>
      </c>
      <c r="H158" s="5"/>
      <c r="I158" s="5"/>
      <c r="J158" s="5"/>
      <c r="K158" s="5"/>
      <c r="L158" s="5"/>
      <c r="M158" s="5"/>
      <c r="N158" s="5"/>
      <c r="O158" s="5"/>
      <c r="P158" s="5">
        <v>3</v>
      </c>
    </row>
    <row r="159" spans="2:16" ht="16.5" x14ac:dyDescent="0.3">
      <c r="B159"/>
      <c r="C159" t="s">
        <v>211</v>
      </c>
      <c r="D159" s="5"/>
      <c r="E159" s="5"/>
      <c r="F159" s="5">
        <v>1</v>
      </c>
      <c r="G159" s="5">
        <v>1</v>
      </c>
      <c r="H159" s="5"/>
      <c r="I159" s="5"/>
      <c r="J159" s="5"/>
      <c r="K159" s="5"/>
      <c r="L159" s="5"/>
      <c r="M159" s="5"/>
      <c r="N159" s="5"/>
      <c r="O159" s="5"/>
      <c r="P159" s="5">
        <v>2</v>
      </c>
    </row>
    <row r="160" spans="2:16" ht="16.5" x14ac:dyDescent="0.3">
      <c r="B160"/>
      <c r="C160" t="s">
        <v>142</v>
      </c>
      <c r="D160" s="5"/>
      <c r="E160" s="5"/>
      <c r="F160" s="5">
        <v>1</v>
      </c>
      <c r="G160" s="5">
        <v>2</v>
      </c>
      <c r="H160" s="5"/>
      <c r="I160" s="5"/>
      <c r="J160" s="5"/>
      <c r="K160" s="5"/>
      <c r="L160" s="5"/>
      <c r="M160" s="5"/>
      <c r="N160" s="5"/>
      <c r="O160" s="5"/>
      <c r="P160" s="5">
        <v>3</v>
      </c>
    </row>
    <row r="161" spans="2:16" ht="16.5" x14ac:dyDescent="0.3">
      <c r="B161"/>
      <c r="C161" t="s">
        <v>202</v>
      </c>
      <c r="D161" s="5"/>
      <c r="E161" s="5"/>
      <c r="F161" s="5">
        <v>1</v>
      </c>
      <c r="G161" s="5"/>
      <c r="H161" s="5"/>
      <c r="I161" s="5"/>
      <c r="J161" s="5"/>
      <c r="K161" s="5"/>
      <c r="L161" s="5"/>
      <c r="M161" s="5"/>
      <c r="N161" s="5"/>
      <c r="O161" s="5"/>
      <c r="P161" s="5">
        <v>1</v>
      </c>
    </row>
    <row r="162" spans="2:16" ht="16.5" x14ac:dyDescent="0.3">
      <c r="B162"/>
      <c r="C162" t="s">
        <v>182</v>
      </c>
      <c r="D162" s="5"/>
      <c r="E162" s="5"/>
      <c r="F162" s="5"/>
      <c r="G162" s="5">
        <v>2</v>
      </c>
      <c r="H162" s="5"/>
      <c r="I162" s="5"/>
      <c r="J162" s="5"/>
      <c r="K162" s="5"/>
      <c r="L162" s="5"/>
      <c r="M162" s="5"/>
      <c r="N162" s="5"/>
      <c r="O162" s="5"/>
      <c r="P162" s="5">
        <v>2</v>
      </c>
    </row>
    <row r="163" spans="2:16" ht="16.5" x14ac:dyDescent="0.3">
      <c r="B163"/>
      <c r="C163" t="s">
        <v>185</v>
      </c>
      <c r="D163" s="5"/>
      <c r="E163" s="5"/>
      <c r="F163" s="5">
        <v>1</v>
      </c>
      <c r="G163" s="5"/>
      <c r="H163" s="5"/>
      <c r="I163" s="5"/>
      <c r="J163" s="5"/>
      <c r="K163" s="5"/>
      <c r="L163" s="5"/>
      <c r="M163" s="5"/>
      <c r="N163" s="5">
        <v>2</v>
      </c>
      <c r="O163" s="5"/>
      <c r="P163" s="5">
        <v>3</v>
      </c>
    </row>
    <row r="164" spans="2:16" ht="16.5" x14ac:dyDescent="0.3">
      <c r="B164"/>
      <c r="C164" t="s">
        <v>130</v>
      </c>
      <c r="D164" s="5"/>
      <c r="E164" s="5"/>
      <c r="F164" s="5"/>
      <c r="G164" s="5">
        <v>1</v>
      </c>
      <c r="H164" s="5">
        <v>1</v>
      </c>
      <c r="I164" s="5"/>
      <c r="J164" s="5"/>
      <c r="K164" s="5"/>
      <c r="L164" s="5"/>
      <c r="M164" s="5"/>
      <c r="N164" s="5"/>
      <c r="O164" s="5"/>
      <c r="P164" s="5">
        <v>2</v>
      </c>
    </row>
    <row r="165" spans="2:16" ht="16.5" x14ac:dyDescent="0.3">
      <c r="B165"/>
      <c r="C165" t="s">
        <v>197</v>
      </c>
      <c r="D165" s="5"/>
      <c r="E165" s="5"/>
      <c r="F165" s="5"/>
      <c r="G165" s="5">
        <v>2</v>
      </c>
      <c r="H165" s="5"/>
      <c r="I165" s="5">
        <v>1</v>
      </c>
      <c r="J165" s="5"/>
      <c r="K165" s="5"/>
      <c r="L165" s="5"/>
      <c r="M165" s="5"/>
      <c r="N165" s="5"/>
      <c r="O165" s="5"/>
      <c r="P165" s="5">
        <v>3</v>
      </c>
    </row>
    <row r="166" spans="2:16" ht="16.5" x14ac:dyDescent="0.3">
      <c r="B166"/>
      <c r="C166" t="s">
        <v>169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>
        <v>1</v>
      </c>
      <c r="P166" s="5">
        <v>1</v>
      </c>
    </row>
    <row r="167" spans="2:16" ht="16.5" x14ac:dyDescent="0.3">
      <c r="B167" t="s">
        <v>137</v>
      </c>
      <c r="C167" t="s">
        <v>151</v>
      </c>
      <c r="D167" s="5"/>
      <c r="E167" s="5"/>
      <c r="F167" s="5">
        <v>1</v>
      </c>
      <c r="G167" s="5">
        <v>1</v>
      </c>
      <c r="H167" s="5"/>
      <c r="I167" s="5"/>
      <c r="J167" s="5"/>
      <c r="K167" s="5"/>
      <c r="L167" s="5"/>
      <c r="M167" s="5"/>
      <c r="N167" s="5"/>
      <c r="O167" s="5"/>
      <c r="P167" s="5">
        <v>2</v>
      </c>
    </row>
    <row r="168" spans="2:16" ht="16.5" x14ac:dyDescent="0.3">
      <c r="B168"/>
      <c r="C168" t="s">
        <v>173</v>
      </c>
      <c r="D168" s="5"/>
      <c r="E168" s="5"/>
      <c r="F168" s="5">
        <v>2</v>
      </c>
      <c r="G168" s="5"/>
      <c r="H168" s="5"/>
      <c r="I168" s="5"/>
      <c r="J168" s="5"/>
      <c r="K168" s="5"/>
      <c r="L168" s="5"/>
      <c r="M168" s="5"/>
      <c r="N168" s="5"/>
      <c r="O168" s="5"/>
      <c r="P168" s="5">
        <v>2</v>
      </c>
    </row>
    <row r="169" spans="2:16" ht="16.5" x14ac:dyDescent="0.3">
      <c r="B169"/>
      <c r="C169" t="s">
        <v>207</v>
      </c>
      <c r="D169" s="5"/>
      <c r="E169" s="5"/>
      <c r="F169" s="5"/>
      <c r="G169" s="5"/>
      <c r="H169" s="5"/>
      <c r="I169" s="5"/>
      <c r="J169" s="5"/>
      <c r="K169" s="5"/>
      <c r="L169" s="5"/>
      <c r="M169" s="5">
        <v>1</v>
      </c>
      <c r="N169" s="5"/>
      <c r="O169" s="5"/>
      <c r="P169" s="5">
        <v>1</v>
      </c>
    </row>
    <row r="170" spans="2:16" ht="16.5" x14ac:dyDescent="0.3">
      <c r="B170"/>
      <c r="C170" t="s">
        <v>138</v>
      </c>
      <c r="D170" s="5">
        <v>1</v>
      </c>
      <c r="E170" s="5"/>
      <c r="F170" s="5">
        <v>1</v>
      </c>
      <c r="G170" s="5"/>
      <c r="H170" s="5"/>
      <c r="I170" s="5"/>
      <c r="J170" s="5"/>
      <c r="K170" s="5"/>
      <c r="L170" s="5"/>
      <c r="M170" s="5">
        <v>2</v>
      </c>
      <c r="N170" s="5"/>
      <c r="O170" s="5">
        <v>1</v>
      </c>
      <c r="P170" s="5">
        <v>5</v>
      </c>
    </row>
    <row r="171" spans="2:16" ht="16.5" x14ac:dyDescent="0.3">
      <c r="B171"/>
      <c r="C171" t="s">
        <v>211</v>
      </c>
      <c r="D171" s="5"/>
      <c r="E171" s="5"/>
      <c r="F171" s="5">
        <v>1</v>
      </c>
      <c r="G171" s="5"/>
      <c r="H171" s="5"/>
      <c r="I171" s="5"/>
      <c r="J171" s="5"/>
      <c r="K171" s="5"/>
      <c r="L171" s="5"/>
      <c r="M171" s="5"/>
      <c r="N171" s="5"/>
      <c r="O171" s="5">
        <v>1</v>
      </c>
      <c r="P171" s="5">
        <v>2</v>
      </c>
    </row>
    <row r="172" spans="2:16" ht="16.5" x14ac:dyDescent="0.3">
      <c r="B172"/>
      <c r="C172" t="s">
        <v>142</v>
      </c>
      <c r="D172" s="5"/>
      <c r="E172" s="5"/>
      <c r="F172" s="5">
        <v>1</v>
      </c>
      <c r="G172" s="5"/>
      <c r="H172" s="5"/>
      <c r="I172" s="5"/>
      <c r="J172" s="5"/>
      <c r="K172" s="5"/>
      <c r="L172" s="5">
        <v>1</v>
      </c>
      <c r="M172" s="5">
        <v>1</v>
      </c>
      <c r="N172" s="5">
        <v>1</v>
      </c>
      <c r="O172" s="5"/>
      <c r="P172" s="5">
        <v>4</v>
      </c>
    </row>
    <row r="173" spans="2:16" ht="16.5" x14ac:dyDescent="0.3">
      <c r="B173"/>
      <c r="C173" t="s">
        <v>202</v>
      </c>
      <c r="D173" s="5"/>
      <c r="E173" s="5"/>
      <c r="F173" s="5"/>
      <c r="G173" s="5"/>
      <c r="H173" s="5"/>
      <c r="I173" s="5"/>
      <c r="J173" s="5"/>
      <c r="K173" s="5"/>
      <c r="L173" s="5"/>
      <c r="M173" s="5">
        <v>1</v>
      </c>
      <c r="N173" s="5"/>
      <c r="O173" s="5"/>
      <c r="P173" s="5">
        <v>1</v>
      </c>
    </row>
    <row r="174" spans="2:16" ht="16.5" x14ac:dyDescent="0.3">
      <c r="B174"/>
      <c r="C174" t="s">
        <v>182</v>
      </c>
      <c r="D174" s="5"/>
      <c r="E174" s="5"/>
      <c r="F174" s="5">
        <v>1</v>
      </c>
      <c r="G174" s="5">
        <v>1</v>
      </c>
      <c r="H174" s="5"/>
      <c r="I174" s="5"/>
      <c r="J174" s="5"/>
      <c r="K174" s="5"/>
      <c r="L174" s="5"/>
      <c r="M174" s="5"/>
      <c r="N174" s="5"/>
      <c r="O174" s="5"/>
      <c r="P174" s="5">
        <v>2</v>
      </c>
    </row>
    <row r="175" spans="2:16" ht="16.5" x14ac:dyDescent="0.3">
      <c r="B175"/>
      <c r="C175" t="s">
        <v>185</v>
      </c>
      <c r="D175" s="5"/>
      <c r="E175" s="5"/>
      <c r="F175" s="5">
        <v>1</v>
      </c>
      <c r="G175" s="5">
        <v>1</v>
      </c>
      <c r="H175" s="5"/>
      <c r="I175" s="5"/>
      <c r="J175" s="5"/>
      <c r="K175" s="5"/>
      <c r="L175" s="5"/>
      <c r="M175" s="5"/>
      <c r="N175" s="5"/>
      <c r="O175" s="5"/>
      <c r="P175" s="5">
        <v>2</v>
      </c>
    </row>
    <row r="176" spans="2:16" ht="16.5" x14ac:dyDescent="0.3">
      <c r="B176"/>
      <c r="C176" t="s">
        <v>130</v>
      </c>
      <c r="D176" s="5">
        <v>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>
        <v>1</v>
      </c>
    </row>
    <row r="177" spans="2:16" ht="16.5" x14ac:dyDescent="0.3">
      <c r="B177"/>
      <c r="C177" t="s">
        <v>159</v>
      </c>
      <c r="D177" s="5">
        <v>1</v>
      </c>
      <c r="E177" s="5"/>
      <c r="F177" s="5"/>
      <c r="G177" s="5"/>
      <c r="H177" s="5"/>
      <c r="I177" s="5"/>
      <c r="J177" s="5"/>
      <c r="K177" s="5"/>
      <c r="L177" s="5">
        <v>2</v>
      </c>
      <c r="M177" s="5"/>
      <c r="N177" s="5"/>
      <c r="O177" s="5"/>
      <c r="P177" s="5">
        <v>3</v>
      </c>
    </row>
    <row r="178" spans="2:16" ht="16.5" x14ac:dyDescent="0.3">
      <c r="B178"/>
      <c r="C178" t="s">
        <v>197</v>
      </c>
      <c r="D178" s="5">
        <v>1</v>
      </c>
      <c r="E178" s="5"/>
      <c r="F178" s="5">
        <v>3</v>
      </c>
      <c r="G178" s="5"/>
      <c r="H178" s="5"/>
      <c r="I178" s="5"/>
      <c r="J178" s="5"/>
      <c r="K178" s="5"/>
      <c r="L178" s="5"/>
      <c r="M178" s="5"/>
      <c r="N178" s="5">
        <v>1</v>
      </c>
      <c r="O178" s="5"/>
      <c r="P178" s="5">
        <v>5</v>
      </c>
    </row>
    <row r="179" spans="2:16" ht="16.5" x14ac:dyDescent="0.3">
      <c r="B179"/>
      <c r="C179" t="s">
        <v>169</v>
      </c>
      <c r="D179" s="5"/>
      <c r="E179" s="5"/>
      <c r="F179" s="5"/>
      <c r="G179" s="5"/>
      <c r="H179" s="5">
        <v>1</v>
      </c>
      <c r="I179" s="5"/>
      <c r="J179" s="5"/>
      <c r="K179" s="5"/>
      <c r="L179" s="5"/>
      <c r="M179" s="5">
        <v>1</v>
      </c>
      <c r="N179" s="5"/>
      <c r="O179" s="5"/>
      <c r="P179" s="5">
        <v>2</v>
      </c>
    </row>
    <row r="180" spans="2:16" ht="16.5" x14ac:dyDescent="0.3">
      <c r="B180" t="s">
        <v>179</v>
      </c>
      <c r="C180" t="s">
        <v>151</v>
      </c>
      <c r="D180" s="5"/>
      <c r="E180" s="5"/>
      <c r="F180" s="5">
        <v>3</v>
      </c>
      <c r="G180" s="5"/>
      <c r="H180" s="5"/>
      <c r="I180" s="5"/>
      <c r="J180" s="5"/>
      <c r="K180" s="5"/>
      <c r="L180" s="5"/>
      <c r="M180" s="5">
        <v>2</v>
      </c>
      <c r="N180" s="5"/>
      <c r="O180" s="5"/>
      <c r="P180" s="5">
        <v>5</v>
      </c>
    </row>
    <row r="181" spans="2:16" ht="16.5" x14ac:dyDescent="0.3">
      <c r="B181"/>
      <c r="C181" t="s">
        <v>173</v>
      </c>
      <c r="D181" s="5"/>
      <c r="E181" s="5"/>
      <c r="F181" s="5"/>
      <c r="G181" s="5"/>
      <c r="H181" s="5"/>
      <c r="I181" s="5"/>
      <c r="J181" s="5"/>
      <c r="K181" s="5"/>
      <c r="L181" s="5">
        <v>1</v>
      </c>
      <c r="M181" s="5"/>
      <c r="N181" s="5"/>
      <c r="O181" s="5"/>
      <c r="P181" s="5">
        <v>1</v>
      </c>
    </row>
    <row r="182" spans="2:16" ht="16.5" x14ac:dyDescent="0.3">
      <c r="B182"/>
      <c r="C182" t="s">
        <v>155</v>
      </c>
      <c r="D182" s="5"/>
      <c r="E182" s="5"/>
      <c r="F182" s="5"/>
      <c r="G182" s="5">
        <v>1</v>
      </c>
      <c r="H182" s="5"/>
      <c r="I182" s="5"/>
      <c r="J182" s="5"/>
      <c r="K182" s="5"/>
      <c r="L182" s="5"/>
      <c r="M182" s="5">
        <v>1</v>
      </c>
      <c r="N182" s="5"/>
      <c r="O182" s="5"/>
      <c r="P182" s="5">
        <v>2</v>
      </c>
    </row>
    <row r="183" spans="2:16" ht="16.5" x14ac:dyDescent="0.3">
      <c r="B183"/>
      <c r="C183" t="s">
        <v>207</v>
      </c>
      <c r="D183" s="5"/>
      <c r="E183" s="5">
        <v>1</v>
      </c>
      <c r="F183" s="5"/>
      <c r="G183" s="5">
        <v>1</v>
      </c>
      <c r="H183" s="5"/>
      <c r="I183" s="5"/>
      <c r="J183" s="5"/>
      <c r="K183" s="5"/>
      <c r="L183" s="5"/>
      <c r="M183" s="5">
        <v>1</v>
      </c>
      <c r="N183" s="5"/>
      <c r="O183" s="5"/>
      <c r="P183" s="5">
        <v>3</v>
      </c>
    </row>
    <row r="184" spans="2:16" ht="16.5" x14ac:dyDescent="0.3">
      <c r="B184"/>
      <c r="C184" t="s">
        <v>138</v>
      </c>
      <c r="D184" s="5"/>
      <c r="E184" s="5"/>
      <c r="F184" s="5">
        <v>1</v>
      </c>
      <c r="G184" s="5"/>
      <c r="H184" s="5"/>
      <c r="I184" s="5"/>
      <c r="J184" s="5"/>
      <c r="K184" s="5"/>
      <c r="L184" s="5"/>
      <c r="M184" s="5">
        <v>1</v>
      </c>
      <c r="N184" s="5"/>
      <c r="O184" s="5"/>
      <c r="P184" s="5">
        <v>2</v>
      </c>
    </row>
    <row r="185" spans="2:16" ht="16.5" x14ac:dyDescent="0.3">
      <c r="B185"/>
      <c r="C185" t="s">
        <v>211</v>
      </c>
      <c r="D185" s="5"/>
      <c r="E185" s="5"/>
      <c r="F185" s="5"/>
      <c r="G185" s="5">
        <v>1</v>
      </c>
      <c r="H185" s="5">
        <v>1</v>
      </c>
      <c r="I185" s="5">
        <v>1</v>
      </c>
      <c r="J185" s="5"/>
      <c r="K185" s="5"/>
      <c r="L185" s="5">
        <v>1</v>
      </c>
      <c r="M185" s="5"/>
      <c r="N185" s="5"/>
      <c r="O185" s="5"/>
      <c r="P185" s="5">
        <v>4</v>
      </c>
    </row>
    <row r="186" spans="2:16" ht="16.5" x14ac:dyDescent="0.3">
      <c r="B186"/>
      <c r="C186" t="s">
        <v>202</v>
      </c>
      <c r="D186" s="5"/>
      <c r="E186" s="5"/>
      <c r="F186" s="5"/>
      <c r="G186" s="5"/>
      <c r="H186" s="5">
        <v>1</v>
      </c>
      <c r="I186" s="5"/>
      <c r="J186" s="5"/>
      <c r="K186" s="5"/>
      <c r="L186" s="5"/>
      <c r="M186" s="5">
        <v>2</v>
      </c>
      <c r="N186" s="5"/>
      <c r="O186" s="5"/>
      <c r="P186" s="5">
        <v>3</v>
      </c>
    </row>
    <row r="187" spans="2:16" ht="16.5" x14ac:dyDescent="0.3">
      <c r="B187"/>
      <c r="C187" t="s">
        <v>222</v>
      </c>
      <c r="D187" s="5"/>
      <c r="E187" s="5"/>
      <c r="F187" s="5"/>
      <c r="G187" s="5"/>
      <c r="H187" s="5"/>
      <c r="I187" s="5"/>
      <c r="J187" s="5"/>
      <c r="K187" s="5"/>
      <c r="L187" s="5"/>
      <c r="M187" s="5">
        <v>1</v>
      </c>
      <c r="N187" s="5"/>
      <c r="O187" s="5"/>
      <c r="P187" s="5">
        <v>1</v>
      </c>
    </row>
    <row r="188" spans="2:16" ht="16.5" x14ac:dyDescent="0.3">
      <c r="B188"/>
      <c r="C188" t="s">
        <v>182</v>
      </c>
      <c r="D188" s="5"/>
      <c r="E188" s="5"/>
      <c r="F188" s="5">
        <v>1</v>
      </c>
      <c r="G188" s="5"/>
      <c r="H188" s="5"/>
      <c r="I188" s="5"/>
      <c r="J188" s="5"/>
      <c r="K188" s="5"/>
      <c r="L188" s="5"/>
      <c r="M188" s="5"/>
      <c r="N188" s="5"/>
      <c r="O188" s="5"/>
      <c r="P188" s="5">
        <v>1</v>
      </c>
    </row>
    <row r="189" spans="2:16" ht="16.5" x14ac:dyDescent="0.3">
      <c r="B189"/>
      <c r="C189" t="s">
        <v>185</v>
      </c>
      <c r="D189" s="5"/>
      <c r="E189" s="5"/>
      <c r="F189" s="5">
        <v>1</v>
      </c>
      <c r="G189" s="5"/>
      <c r="H189" s="5"/>
      <c r="I189" s="5">
        <v>1</v>
      </c>
      <c r="J189" s="5"/>
      <c r="K189" s="5"/>
      <c r="L189" s="5"/>
      <c r="M189" s="5"/>
      <c r="N189" s="5"/>
      <c r="O189" s="5"/>
      <c r="P189" s="5">
        <v>2</v>
      </c>
    </row>
    <row r="190" spans="2:16" ht="16.5" x14ac:dyDescent="0.3">
      <c r="B190"/>
      <c r="C190" t="s">
        <v>130</v>
      </c>
      <c r="D190" s="5"/>
      <c r="E190" s="5"/>
      <c r="F190" s="5"/>
      <c r="G190" s="5">
        <v>1</v>
      </c>
      <c r="H190" s="5">
        <v>1</v>
      </c>
      <c r="I190" s="5"/>
      <c r="J190" s="5"/>
      <c r="K190" s="5"/>
      <c r="L190" s="5"/>
      <c r="M190" s="5">
        <v>1</v>
      </c>
      <c r="N190" s="5"/>
      <c r="O190" s="5"/>
      <c r="P190" s="5">
        <v>3</v>
      </c>
    </row>
    <row r="191" spans="2:16" ht="16.5" x14ac:dyDescent="0.3">
      <c r="B191"/>
      <c r="C191" t="s">
        <v>159</v>
      </c>
      <c r="D191" s="5"/>
      <c r="E191" s="5"/>
      <c r="F191" s="5"/>
      <c r="G191" s="5"/>
      <c r="H191" s="5"/>
      <c r="I191" s="5"/>
      <c r="J191" s="5"/>
      <c r="K191" s="5"/>
      <c r="L191" s="5"/>
      <c r="M191" s="5">
        <v>1</v>
      </c>
      <c r="N191" s="5"/>
      <c r="O191" s="5"/>
      <c r="P191" s="5">
        <v>1</v>
      </c>
    </row>
    <row r="192" spans="2:16" ht="16.5" x14ac:dyDescent="0.3">
      <c r="B192"/>
      <c r="C192" t="s">
        <v>197</v>
      </c>
      <c r="D192" s="5"/>
      <c r="E192" s="5"/>
      <c r="F192" s="5">
        <v>1</v>
      </c>
      <c r="G192" s="5"/>
      <c r="H192" s="5"/>
      <c r="I192" s="5"/>
      <c r="J192" s="5"/>
      <c r="K192" s="5"/>
      <c r="L192" s="5"/>
      <c r="M192" s="5"/>
      <c r="N192" s="5"/>
      <c r="O192" s="5"/>
      <c r="P192" s="5">
        <v>1</v>
      </c>
    </row>
    <row r="193" spans="2:16" ht="16.5" x14ac:dyDescent="0.3">
      <c r="B193"/>
      <c r="C193" t="s">
        <v>169</v>
      </c>
      <c r="D193" s="5"/>
      <c r="E193" s="5">
        <v>1</v>
      </c>
      <c r="F193" s="5">
        <v>2</v>
      </c>
      <c r="G193" s="5"/>
      <c r="H193" s="5"/>
      <c r="I193" s="5"/>
      <c r="J193" s="5"/>
      <c r="K193" s="5"/>
      <c r="L193" s="5"/>
      <c r="M193" s="5"/>
      <c r="N193" s="5"/>
      <c r="O193" s="5"/>
      <c r="P193" s="5">
        <v>3</v>
      </c>
    </row>
    <row r="194" spans="2:16" ht="16.5" x14ac:dyDescent="0.3">
      <c r="B194" t="s">
        <v>189</v>
      </c>
      <c r="C194" t="s">
        <v>151</v>
      </c>
      <c r="D194" s="5"/>
      <c r="E194" s="5"/>
      <c r="F194" s="5"/>
      <c r="G194" s="5">
        <v>1</v>
      </c>
      <c r="H194" s="5"/>
      <c r="I194" s="5"/>
      <c r="J194" s="5"/>
      <c r="K194" s="5"/>
      <c r="L194" s="5"/>
      <c r="M194" s="5">
        <v>1</v>
      </c>
      <c r="N194" s="5"/>
      <c r="O194" s="5"/>
      <c r="P194" s="5">
        <v>2</v>
      </c>
    </row>
    <row r="195" spans="2:16" ht="16.5" x14ac:dyDescent="0.3">
      <c r="B195"/>
      <c r="C195" t="s">
        <v>173</v>
      </c>
      <c r="D195" s="5"/>
      <c r="E195" s="5">
        <v>1</v>
      </c>
      <c r="F195" s="5"/>
      <c r="G195" s="5"/>
      <c r="H195" s="5"/>
      <c r="I195" s="5">
        <v>1</v>
      </c>
      <c r="J195" s="5"/>
      <c r="K195" s="5"/>
      <c r="L195" s="5"/>
      <c r="M195" s="5"/>
      <c r="N195" s="5"/>
      <c r="O195" s="5"/>
      <c r="P195" s="5">
        <v>2</v>
      </c>
    </row>
    <row r="196" spans="2:16" ht="16.5" x14ac:dyDescent="0.3">
      <c r="B196"/>
      <c r="C196" t="s">
        <v>155</v>
      </c>
      <c r="D196" s="5"/>
      <c r="E196" s="5"/>
      <c r="F196" s="5">
        <v>1</v>
      </c>
      <c r="G196" s="5"/>
      <c r="H196" s="5"/>
      <c r="I196" s="5"/>
      <c r="J196" s="5"/>
      <c r="K196" s="5"/>
      <c r="L196" s="5"/>
      <c r="M196" s="5">
        <v>2</v>
      </c>
      <c r="N196" s="5"/>
      <c r="O196" s="5"/>
      <c r="P196" s="5">
        <v>3</v>
      </c>
    </row>
    <row r="197" spans="2:16" ht="16.5" x14ac:dyDescent="0.3">
      <c r="B197"/>
      <c r="C197" t="s">
        <v>207</v>
      </c>
      <c r="D197" s="5"/>
      <c r="E197" s="5"/>
      <c r="F197" s="5"/>
      <c r="G197" s="5"/>
      <c r="H197" s="5"/>
      <c r="I197" s="5"/>
      <c r="J197" s="5"/>
      <c r="K197" s="5"/>
      <c r="L197" s="5">
        <v>1</v>
      </c>
      <c r="M197" s="5"/>
      <c r="N197" s="5">
        <v>1</v>
      </c>
      <c r="O197" s="5"/>
      <c r="P197" s="5">
        <v>2</v>
      </c>
    </row>
    <row r="198" spans="2:16" ht="16.5" x14ac:dyDescent="0.3">
      <c r="B198"/>
      <c r="C198" t="s">
        <v>138</v>
      </c>
      <c r="D198" s="5"/>
      <c r="E198" s="5"/>
      <c r="F198" s="5"/>
      <c r="G198" s="5">
        <v>1</v>
      </c>
      <c r="H198" s="5"/>
      <c r="I198" s="5"/>
      <c r="J198" s="5"/>
      <c r="K198" s="5"/>
      <c r="L198" s="5"/>
      <c r="M198" s="5"/>
      <c r="N198" s="5"/>
      <c r="O198" s="5"/>
      <c r="P198" s="5">
        <v>1</v>
      </c>
    </row>
    <row r="199" spans="2:16" ht="16.5" x14ac:dyDescent="0.3">
      <c r="B199"/>
      <c r="C199" t="s">
        <v>211</v>
      </c>
      <c r="D199" s="5"/>
      <c r="E199" s="5"/>
      <c r="F199" s="5"/>
      <c r="G199" s="5"/>
      <c r="H199" s="5"/>
      <c r="I199" s="5"/>
      <c r="J199" s="5"/>
      <c r="K199" s="5"/>
      <c r="L199" s="5"/>
      <c r="M199" s="5">
        <v>1</v>
      </c>
      <c r="N199" s="5"/>
      <c r="O199" s="5"/>
      <c r="P199" s="5">
        <v>1</v>
      </c>
    </row>
    <row r="200" spans="2:16" ht="16.5" x14ac:dyDescent="0.3">
      <c r="B200"/>
      <c r="C200" t="s">
        <v>142</v>
      </c>
      <c r="D200" s="5"/>
      <c r="E200" s="5"/>
      <c r="F200" s="5">
        <v>1</v>
      </c>
      <c r="G200" s="5"/>
      <c r="H200" s="5"/>
      <c r="I200" s="5"/>
      <c r="J200" s="5"/>
      <c r="K200" s="5"/>
      <c r="L200" s="5"/>
      <c r="M200" s="5">
        <v>1</v>
      </c>
      <c r="N200" s="5">
        <v>1</v>
      </c>
      <c r="O200" s="5"/>
      <c r="P200" s="5">
        <v>3</v>
      </c>
    </row>
    <row r="201" spans="2:16" ht="16.5" x14ac:dyDescent="0.3">
      <c r="B201"/>
      <c r="C201" t="s">
        <v>202</v>
      </c>
      <c r="D201" s="5"/>
      <c r="E201" s="5"/>
      <c r="F201" s="5"/>
      <c r="G201" s="5"/>
      <c r="H201" s="5"/>
      <c r="I201" s="5"/>
      <c r="J201" s="5"/>
      <c r="K201" s="5"/>
      <c r="L201" s="5"/>
      <c r="M201" s="5">
        <v>1</v>
      </c>
      <c r="N201" s="5"/>
      <c r="O201" s="5"/>
      <c r="P201" s="5">
        <v>1</v>
      </c>
    </row>
    <row r="202" spans="2:16" ht="16.5" x14ac:dyDescent="0.3">
      <c r="B202"/>
      <c r="C202" t="s">
        <v>222</v>
      </c>
      <c r="D202" s="5"/>
      <c r="E202" s="5"/>
      <c r="F202" s="5">
        <v>1</v>
      </c>
      <c r="G202" s="5"/>
      <c r="H202" s="5"/>
      <c r="I202" s="5"/>
      <c r="J202" s="5"/>
      <c r="K202" s="5"/>
      <c r="L202" s="5"/>
      <c r="M202" s="5">
        <v>1</v>
      </c>
      <c r="N202" s="5"/>
      <c r="O202" s="5"/>
      <c r="P202" s="5">
        <v>2</v>
      </c>
    </row>
    <row r="203" spans="2:16" ht="16.5" x14ac:dyDescent="0.3">
      <c r="B203"/>
      <c r="C203" t="s">
        <v>182</v>
      </c>
      <c r="D203" s="5"/>
      <c r="E203" s="5"/>
      <c r="F203" s="5">
        <v>2</v>
      </c>
      <c r="G203" s="5"/>
      <c r="H203" s="5"/>
      <c r="I203" s="5"/>
      <c r="J203" s="5"/>
      <c r="K203" s="5"/>
      <c r="L203" s="5"/>
      <c r="M203" s="5"/>
      <c r="N203" s="5"/>
      <c r="O203" s="5"/>
      <c r="P203" s="5">
        <v>2</v>
      </c>
    </row>
    <row r="204" spans="2:16" ht="16.5" x14ac:dyDescent="0.3">
      <c r="B204"/>
      <c r="C204" t="s">
        <v>185</v>
      </c>
      <c r="D204" s="5"/>
      <c r="E204" s="5"/>
      <c r="F204" s="5">
        <v>1</v>
      </c>
      <c r="G204" s="5"/>
      <c r="H204" s="5"/>
      <c r="I204" s="5"/>
      <c r="J204" s="5"/>
      <c r="K204" s="5"/>
      <c r="L204" s="5"/>
      <c r="M204" s="5"/>
      <c r="N204" s="5"/>
      <c r="O204" s="5"/>
      <c r="P204" s="5">
        <v>1</v>
      </c>
    </row>
    <row r="205" spans="2:16" ht="16.5" x14ac:dyDescent="0.3">
      <c r="B205"/>
      <c r="C205" t="s">
        <v>130</v>
      </c>
      <c r="D205" s="5"/>
      <c r="E205" s="5"/>
      <c r="F205" s="5">
        <v>1</v>
      </c>
      <c r="G205" s="5"/>
      <c r="H205" s="5"/>
      <c r="I205" s="5"/>
      <c r="J205" s="5"/>
      <c r="K205" s="5"/>
      <c r="L205" s="5"/>
      <c r="M205" s="5">
        <v>1</v>
      </c>
      <c r="N205" s="5"/>
      <c r="O205" s="5"/>
      <c r="P205" s="5">
        <v>2</v>
      </c>
    </row>
    <row r="206" spans="2:16" ht="16.5" x14ac:dyDescent="0.3">
      <c r="B206" t="s">
        <v>246</v>
      </c>
      <c r="C206" t="s">
        <v>173</v>
      </c>
      <c r="D206" s="5"/>
      <c r="E206" s="5"/>
      <c r="F206" s="5">
        <v>2</v>
      </c>
      <c r="G206" s="5"/>
      <c r="H206" s="5">
        <v>1</v>
      </c>
      <c r="I206" s="5"/>
      <c r="J206" s="5"/>
      <c r="K206" s="5"/>
      <c r="L206" s="5"/>
      <c r="M206" s="5"/>
      <c r="N206" s="5"/>
      <c r="O206" s="5"/>
      <c r="P206" s="5">
        <v>3</v>
      </c>
    </row>
    <row r="207" spans="2:16" ht="16.5" x14ac:dyDescent="0.3">
      <c r="B207"/>
      <c r="C207" t="s">
        <v>155</v>
      </c>
      <c r="D207" s="5"/>
      <c r="E207" s="5"/>
      <c r="F207" s="5"/>
      <c r="G207" s="5"/>
      <c r="H207" s="5"/>
      <c r="I207" s="5">
        <v>1</v>
      </c>
      <c r="J207" s="5"/>
      <c r="K207" s="5"/>
      <c r="L207" s="5"/>
      <c r="M207" s="5"/>
      <c r="N207" s="5"/>
      <c r="O207" s="5"/>
      <c r="P207" s="5">
        <v>1</v>
      </c>
    </row>
    <row r="208" spans="2:16" ht="16.5" x14ac:dyDescent="0.3">
      <c r="B208"/>
      <c r="C208" t="s">
        <v>207</v>
      </c>
      <c r="D208" s="5"/>
      <c r="E208" s="5"/>
      <c r="F208" s="5">
        <v>1</v>
      </c>
      <c r="G208" s="5"/>
      <c r="H208" s="5">
        <v>1</v>
      </c>
      <c r="I208" s="5"/>
      <c r="J208" s="5"/>
      <c r="K208" s="5"/>
      <c r="L208" s="5"/>
      <c r="M208" s="5">
        <v>1</v>
      </c>
      <c r="N208" s="5"/>
      <c r="O208" s="5"/>
      <c r="P208" s="5">
        <v>3</v>
      </c>
    </row>
    <row r="209" spans="2:16" ht="16.5" x14ac:dyDescent="0.3">
      <c r="B209"/>
      <c r="C209" t="s">
        <v>211</v>
      </c>
      <c r="D209" s="5"/>
      <c r="E209" s="5">
        <v>1</v>
      </c>
      <c r="F209" s="5"/>
      <c r="G209" s="5"/>
      <c r="H209" s="5"/>
      <c r="I209" s="5"/>
      <c r="J209" s="5"/>
      <c r="K209" s="5"/>
      <c r="L209" s="5"/>
      <c r="M209" s="5"/>
      <c r="N209" s="5"/>
      <c r="O209" s="5">
        <v>2</v>
      </c>
      <c r="P209" s="5">
        <v>3</v>
      </c>
    </row>
    <row r="210" spans="2:16" ht="16.5" x14ac:dyDescent="0.3">
      <c r="B210"/>
      <c r="C210" t="s">
        <v>142</v>
      </c>
      <c r="D210" s="5"/>
      <c r="E210" s="5"/>
      <c r="F210" s="5">
        <v>1</v>
      </c>
      <c r="G210" s="5"/>
      <c r="H210" s="5">
        <v>1</v>
      </c>
      <c r="I210" s="5"/>
      <c r="J210" s="5"/>
      <c r="K210" s="5"/>
      <c r="L210" s="5"/>
      <c r="M210" s="5"/>
      <c r="N210" s="5"/>
      <c r="O210" s="5"/>
      <c r="P210" s="5">
        <v>2</v>
      </c>
    </row>
    <row r="211" spans="2:16" ht="16.5" x14ac:dyDescent="0.3">
      <c r="B211"/>
      <c r="C211" t="s">
        <v>202</v>
      </c>
      <c r="D211" s="5"/>
      <c r="E211" s="5"/>
      <c r="F211" s="5"/>
      <c r="G211" s="5">
        <v>1</v>
      </c>
      <c r="H211" s="5">
        <v>1</v>
      </c>
      <c r="I211" s="5"/>
      <c r="J211" s="5"/>
      <c r="K211" s="5"/>
      <c r="L211" s="5"/>
      <c r="M211" s="5"/>
      <c r="N211" s="5"/>
      <c r="O211" s="5"/>
      <c r="P211" s="5">
        <v>2</v>
      </c>
    </row>
    <row r="212" spans="2:16" ht="16.5" x14ac:dyDescent="0.3">
      <c r="B212"/>
      <c r="C212" t="s">
        <v>222</v>
      </c>
      <c r="D212" s="5"/>
      <c r="E212" s="5"/>
      <c r="F212" s="5"/>
      <c r="G212" s="5">
        <v>2</v>
      </c>
      <c r="H212" s="5"/>
      <c r="I212" s="5"/>
      <c r="J212" s="5"/>
      <c r="K212" s="5"/>
      <c r="L212" s="5">
        <v>1</v>
      </c>
      <c r="M212" s="5">
        <v>1</v>
      </c>
      <c r="N212" s="5"/>
      <c r="O212" s="5"/>
      <c r="P212" s="5">
        <v>4</v>
      </c>
    </row>
    <row r="213" spans="2:16" ht="16.5" x14ac:dyDescent="0.3">
      <c r="B213"/>
      <c r="C213" t="s">
        <v>182</v>
      </c>
      <c r="D213" s="5"/>
      <c r="E213" s="5"/>
      <c r="F213" s="5"/>
      <c r="G213" s="5"/>
      <c r="H213" s="5"/>
      <c r="I213" s="5"/>
      <c r="J213" s="5"/>
      <c r="K213" s="5"/>
      <c r="L213" s="5"/>
      <c r="M213" s="5">
        <v>1</v>
      </c>
      <c r="N213" s="5"/>
      <c r="O213" s="5"/>
      <c r="P213" s="5">
        <v>1</v>
      </c>
    </row>
    <row r="214" spans="2:16" ht="16.5" x14ac:dyDescent="0.3">
      <c r="B214"/>
      <c r="C214" t="s">
        <v>185</v>
      </c>
      <c r="D214" s="5"/>
      <c r="E214" s="5"/>
      <c r="F214" s="5">
        <v>2</v>
      </c>
      <c r="G214" s="5"/>
      <c r="H214" s="5"/>
      <c r="I214" s="5"/>
      <c r="J214" s="5"/>
      <c r="K214" s="5"/>
      <c r="L214" s="5"/>
      <c r="M214" s="5"/>
      <c r="N214" s="5"/>
      <c r="O214" s="5"/>
      <c r="P214" s="5">
        <v>2</v>
      </c>
    </row>
    <row r="215" spans="2:16" ht="16.5" x14ac:dyDescent="0.3">
      <c r="B215"/>
      <c r="C215" t="s">
        <v>130</v>
      </c>
      <c r="D215" s="5"/>
      <c r="E215" s="5"/>
      <c r="F215" s="5"/>
      <c r="G215" s="5">
        <v>1</v>
      </c>
      <c r="H215" s="5">
        <v>2</v>
      </c>
      <c r="I215" s="5">
        <v>1</v>
      </c>
      <c r="J215" s="5"/>
      <c r="K215" s="5"/>
      <c r="L215" s="5"/>
      <c r="M215" s="5"/>
      <c r="N215" s="5"/>
      <c r="O215" s="5"/>
      <c r="P215" s="5">
        <v>4</v>
      </c>
    </row>
    <row r="216" spans="2:16" ht="16.5" x14ac:dyDescent="0.3">
      <c r="B216"/>
      <c r="C216" t="s">
        <v>159</v>
      </c>
      <c r="D216" s="5"/>
      <c r="E216" s="5"/>
      <c r="F216" s="5"/>
      <c r="G216" s="5"/>
      <c r="H216" s="5">
        <v>1</v>
      </c>
      <c r="I216" s="5"/>
      <c r="J216" s="5"/>
      <c r="K216" s="5"/>
      <c r="L216" s="5"/>
      <c r="M216" s="5"/>
      <c r="N216" s="5"/>
      <c r="O216" s="5"/>
      <c r="P216" s="5">
        <v>1</v>
      </c>
    </row>
    <row r="217" spans="2:16" ht="16.5" x14ac:dyDescent="0.3">
      <c r="B217"/>
      <c r="C217" t="s">
        <v>197</v>
      </c>
      <c r="D217" s="5"/>
      <c r="E217" s="5"/>
      <c r="F217" s="5">
        <v>1</v>
      </c>
      <c r="G217" s="5"/>
      <c r="H217" s="5"/>
      <c r="I217" s="5"/>
      <c r="J217" s="5"/>
      <c r="K217" s="5"/>
      <c r="L217" s="5"/>
      <c r="M217" s="5"/>
      <c r="N217" s="5"/>
      <c r="O217" s="5"/>
      <c r="P217" s="5">
        <v>1</v>
      </c>
    </row>
    <row r="218" spans="2:16" ht="16.5" x14ac:dyDescent="0.3">
      <c r="B218"/>
      <c r="C218" t="s">
        <v>169</v>
      </c>
      <c r="D218" s="5"/>
      <c r="E218" s="5"/>
      <c r="F218" s="5"/>
      <c r="G218" s="5"/>
      <c r="H218" s="5"/>
      <c r="I218" s="5"/>
      <c r="J218" s="5"/>
      <c r="K218" s="5"/>
      <c r="L218" s="5"/>
      <c r="M218" s="5">
        <v>1</v>
      </c>
      <c r="N218" s="5"/>
      <c r="O218" s="5"/>
      <c r="P218" s="5">
        <v>1</v>
      </c>
    </row>
    <row r="219" spans="2:16" ht="16.5" x14ac:dyDescent="0.3">
      <c r="B219" t="s">
        <v>147</v>
      </c>
      <c r="C219" t="s">
        <v>151</v>
      </c>
      <c r="D219" s="5"/>
      <c r="E219" s="5"/>
      <c r="F219" s="5"/>
      <c r="G219" s="5">
        <v>1</v>
      </c>
      <c r="H219" s="5"/>
      <c r="I219" s="5"/>
      <c r="J219" s="5"/>
      <c r="K219" s="5"/>
      <c r="L219" s="5"/>
      <c r="M219" s="5"/>
      <c r="N219" s="5"/>
      <c r="O219" s="5"/>
      <c r="P219" s="5">
        <v>1</v>
      </c>
    </row>
    <row r="220" spans="2:16" ht="16.5" x14ac:dyDescent="0.3">
      <c r="B220"/>
      <c r="C220" t="s">
        <v>173</v>
      </c>
      <c r="D220" s="5"/>
      <c r="E220" s="5"/>
      <c r="F220" s="5"/>
      <c r="G220" s="5"/>
      <c r="H220" s="5"/>
      <c r="I220" s="5"/>
      <c r="J220" s="5"/>
      <c r="K220" s="5"/>
      <c r="L220" s="5"/>
      <c r="M220" s="5">
        <v>1</v>
      </c>
      <c r="N220" s="5">
        <v>1</v>
      </c>
      <c r="O220" s="5"/>
      <c r="P220" s="5">
        <v>2</v>
      </c>
    </row>
    <row r="221" spans="2:16" ht="16.5" x14ac:dyDescent="0.3">
      <c r="B221"/>
      <c r="C221" t="s">
        <v>155</v>
      </c>
      <c r="D221" s="5"/>
      <c r="E221" s="5"/>
      <c r="F221" s="5"/>
      <c r="G221" s="5"/>
      <c r="H221" s="5"/>
      <c r="I221" s="5"/>
      <c r="J221" s="5"/>
      <c r="K221" s="5"/>
      <c r="L221" s="5"/>
      <c r="M221" s="5">
        <v>3</v>
      </c>
      <c r="N221" s="5"/>
      <c r="O221" s="5"/>
      <c r="P221" s="5">
        <v>3</v>
      </c>
    </row>
    <row r="222" spans="2:16" ht="16.5" x14ac:dyDescent="0.3">
      <c r="B222"/>
      <c r="C222" t="s">
        <v>138</v>
      </c>
      <c r="D222" s="5"/>
      <c r="E222" s="5"/>
      <c r="F222" s="5"/>
      <c r="G222" s="5"/>
      <c r="H222" s="5">
        <v>1</v>
      </c>
      <c r="I222" s="5"/>
      <c r="J222" s="5"/>
      <c r="K222" s="5"/>
      <c r="L222" s="5"/>
      <c r="M222" s="5"/>
      <c r="N222" s="5"/>
      <c r="O222" s="5"/>
      <c r="P222" s="5">
        <v>1</v>
      </c>
    </row>
    <row r="223" spans="2:16" ht="16.5" x14ac:dyDescent="0.3">
      <c r="B223"/>
      <c r="C223" t="s">
        <v>211</v>
      </c>
      <c r="D223" s="5"/>
      <c r="E223" s="5"/>
      <c r="F223" s="5"/>
      <c r="G223" s="5"/>
      <c r="H223" s="5"/>
      <c r="I223" s="5">
        <v>1</v>
      </c>
      <c r="J223" s="5"/>
      <c r="K223" s="5"/>
      <c r="L223" s="5"/>
      <c r="M223" s="5">
        <v>2</v>
      </c>
      <c r="N223" s="5"/>
      <c r="O223" s="5"/>
      <c r="P223" s="5">
        <v>3</v>
      </c>
    </row>
    <row r="224" spans="2:16" ht="16.5" x14ac:dyDescent="0.3">
      <c r="B224"/>
      <c r="C224" t="s">
        <v>142</v>
      </c>
      <c r="D224" s="5"/>
      <c r="E224" s="5"/>
      <c r="F224" s="5"/>
      <c r="G224" s="5"/>
      <c r="H224" s="5"/>
      <c r="I224" s="5"/>
      <c r="J224" s="5"/>
      <c r="K224" s="5"/>
      <c r="L224" s="5"/>
      <c r="M224" s="5">
        <v>2</v>
      </c>
      <c r="N224" s="5"/>
      <c r="O224" s="5"/>
      <c r="P224" s="5">
        <v>2</v>
      </c>
    </row>
    <row r="225" spans="2:16" ht="16.5" x14ac:dyDescent="0.3">
      <c r="B225"/>
      <c r="C225" t="s">
        <v>202</v>
      </c>
      <c r="D225" s="5"/>
      <c r="E225" s="5"/>
      <c r="F225" s="5">
        <v>1</v>
      </c>
      <c r="G225" s="5"/>
      <c r="H225" s="5"/>
      <c r="I225" s="5"/>
      <c r="J225" s="5"/>
      <c r="K225" s="5"/>
      <c r="L225" s="5"/>
      <c r="M225" s="5">
        <v>1</v>
      </c>
      <c r="N225" s="5"/>
      <c r="O225" s="5"/>
      <c r="P225" s="5">
        <v>2</v>
      </c>
    </row>
    <row r="226" spans="2:16" ht="16.5" x14ac:dyDescent="0.3">
      <c r="B226"/>
      <c r="C226" t="s">
        <v>222</v>
      </c>
      <c r="D226" s="5"/>
      <c r="E226" s="5"/>
      <c r="F226" s="5">
        <v>2</v>
      </c>
      <c r="G226" s="5"/>
      <c r="H226" s="5">
        <v>1</v>
      </c>
      <c r="I226" s="5"/>
      <c r="J226" s="5"/>
      <c r="K226" s="5"/>
      <c r="L226" s="5"/>
      <c r="M226" s="5">
        <v>1</v>
      </c>
      <c r="N226" s="5"/>
      <c r="O226" s="5">
        <v>1</v>
      </c>
      <c r="P226" s="5">
        <v>5</v>
      </c>
    </row>
    <row r="227" spans="2:16" ht="16.5" x14ac:dyDescent="0.3">
      <c r="B227"/>
      <c r="C227" t="s">
        <v>182</v>
      </c>
      <c r="D227" s="5"/>
      <c r="E227" s="5"/>
      <c r="F227" s="5"/>
      <c r="G227" s="5"/>
      <c r="H227" s="5"/>
      <c r="I227" s="5"/>
      <c r="J227" s="5"/>
      <c r="K227" s="5"/>
      <c r="L227" s="5"/>
      <c r="M227" s="5">
        <v>2</v>
      </c>
      <c r="N227" s="5"/>
      <c r="O227" s="5"/>
      <c r="P227" s="5">
        <v>2</v>
      </c>
    </row>
    <row r="228" spans="2:16" ht="16.5" x14ac:dyDescent="0.3">
      <c r="B228"/>
      <c r="C228" t="s">
        <v>185</v>
      </c>
      <c r="D228" s="5"/>
      <c r="E228" s="5">
        <v>2</v>
      </c>
      <c r="F228" s="5"/>
      <c r="G228" s="5">
        <v>2</v>
      </c>
      <c r="H228" s="5"/>
      <c r="I228" s="5"/>
      <c r="J228" s="5"/>
      <c r="K228" s="5"/>
      <c r="L228" s="5"/>
      <c r="M228" s="5"/>
      <c r="N228" s="5"/>
      <c r="O228" s="5"/>
      <c r="P228" s="5">
        <v>4</v>
      </c>
    </row>
    <row r="229" spans="2:16" ht="16.5" x14ac:dyDescent="0.3">
      <c r="B229"/>
      <c r="C229" t="s">
        <v>130</v>
      </c>
      <c r="D229" s="5"/>
      <c r="E229" s="5"/>
      <c r="F229" s="5"/>
      <c r="G229" s="5"/>
      <c r="H229" s="5">
        <v>2</v>
      </c>
      <c r="I229" s="5">
        <v>1</v>
      </c>
      <c r="J229" s="5"/>
      <c r="K229" s="5"/>
      <c r="L229" s="5"/>
      <c r="M229" s="5">
        <v>1</v>
      </c>
      <c r="N229" s="5"/>
      <c r="O229" s="5"/>
      <c r="P229" s="5">
        <v>4</v>
      </c>
    </row>
    <row r="230" spans="2:16" ht="16.5" x14ac:dyDescent="0.3">
      <c r="B230"/>
      <c r="C230" t="s">
        <v>197</v>
      </c>
      <c r="D230" s="5"/>
      <c r="E230" s="5"/>
      <c r="F230" s="5">
        <v>2</v>
      </c>
      <c r="G230" s="5">
        <v>1</v>
      </c>
      <c r="H230" s="5"/>
      <c r="I230" s="5"/>
      <c r="J230" s="5"/>
      <c r="K230" s="5"/>
      <c r="L230" s="5"/>
      <c r="M230" s="5"/>
      <c r="N230" s="5"/>
      <c r="O230" s="5"/>
      <c r="P230" s="5">
        <v>3</v>
      </c>
    </row>
    <row r="231" spans="2:16" ht="16.5" x14ac:dyDescent="0.3">
      <c r="B231" t="s">
        <v>739</v>
      </c>
      <c r="C231"/>
      <c r="D231" s="5">
        <v>11</v>
      </c>
      <c r="E231" s="5">
        <v>25</v>
      </c>
      <c r="F231" s="5">
        <v>110</v>
      </c>
      <c r="G231" s="5">
        <v>70</v>
      </c>
      <c r="H231" s="5">
        <v>50</v>
      </c>
      <c r="I231" s="5">
        <v>28</v>
      </c>
      <c r="J231" s="5">
        <v>1</v>
      </c>
      <c r="K231" s="5">
        <v>2</v>
      </c>
      <c r="L231" s="5">
        <v>35</v>
      </c>
      <c r="M231" s="5">
        <v>118</v>
      </c>
      <c r="N231" s="5">
        <v>13</v>
      </c>
      <c r="O231" s="5">
        <v>17</v>
      </c>
      <c r="P231" s="5">
        <v>480</v>
      </c>
    </row>
  </sheetData>
  <mergeCells count="2">
    <mergeCell ref="A1:S1"/>
    <mergeCell ref="A2:S2"/>
  </mergeCells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43EA-3509-4D90-B2DF-94C88CB1FB94}">
  <dimension ref="A1:S506"/>
  <sheetViews>
    <sheetView showGridLines="0" workbookViewId="0">
      <selection sqref="A1:S1"/>
    </sheetView>
  </sheetViews>
  <sheetFormatPr defaultRowHeight="13.5" x14ac:dyDescent="0.3"/>
  <cols>
    <col min="1" max="1" width="2.25" style="3" customWidth="1"/>
    <col min="2" max="2" width="18.625" style="3" bestFit="1" customWidth="1"/>
    <col min="3" max="10" width="15.375" style="3" bestFit="1" customWidth="1"/>
    <col min="11" max="11" width="7.375" style="3" bestFit="1" customWidth="1"/>
    <col min="12" max="12" width="7.25" style="3" bestFit="1" customWidth="1"/>
    <col min="13" max="13" width="5.5" style="3" bestFit="1" customWidth="1"/>
    <col min="14" max="14" width="8" style="3" bestFit="1" customWidth="1"/>
    <col min="15" max="15" width="7.375" style="3" bestFit="1" customWidth="1"/>
    <col min="16" max="19" width="12.625" style="3" customWidth="1"/>
    <col min="20" max="16384" width="9" style="3"/>
  </cols>
  <sheetData>
    <row r="1" spans="1:19" ht="33.950000000000003" customHeight="1" x14ac:dyDescent="0.3">
      <c r="A1" s="7" t="s">
        <v>796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.95" customHeight="1" x14ac:dyDescent="0.3">
      <c r="A2" s="9" t="s">
        <v>797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3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5" spans="1:19" ht="16.5" x14ac:dyDescent="0.3">
      <c r="B5" s="39" t="s">
        <v>798</v>
      </c>
    </row>
    <row r="6" spans="1:19" ht="16.5" x14ac:dyDescent="0.3">
      <c r="B6" s="4" t="s">
        <v>2</v>
      </c>
      <c r="C6" t="s">
        <v>16</v>
      </c>
    </row>
    <row r="8" spans="1:19" ht="16.5" x14ac:dyDescent="0.3">
      <c r="B8" s="4" t="s">
        <v>740</v>
      </c>
      <c r="C8" s="4" t="s">
        <v>737</v>
      </c>
      <c r="D8"/>
      <c r="E8"/>
      <c r="F8"/>
      <c r="G8"/>
      <c r="H8"/>
      <c r="I8"/>
      <c r="J8"/>
      <c r="K8"/>
      <c r="L8"/>
      <c r="M8"/>
      <c r="N8"/>
      <c r="O8"/>
    </row>
    <row r="9" spans="1:19" ht="16.5" x14ac:dyDescent="0.3">
      <c r="B9" s="4" t="s">
        <v>750</v>
      </c>
      <c r="C9" t="s">
        <v>722</v>
      </c>
      <c r="D9" t="s">
        <v>724</v>
      </c>
      <c r="E9" t="s">
        <v>725</v>
      </c>
      <c r="F9" t="s">
        <v>726</v>
      </c>
      <c r="G9" t="s">
        <v>727</v>
      </c>
      <c r="H9" t="s">
        <v>728</v>
      </c>
      <c r="I9" t="s">
        <v>132</v>
      </c>
      <c r="J9" t="s">
        <v>239</v>
      </c>
      <c r="K9" t="s">
        <v>739</v>
      </c>
      <c r="L9"/>
      <c r="M9"/>
      <c r="N9"/>
      <c r="O9"/>
    </row>
    <row r="10" spans="1:19" ht="16.5" x14ac:dyDescent="0.3">
      <c r="B10" t="s">
        <v>17</v>
      </c>
      <c r="C10" s="5">
        <v>1</v>
      </c>
      <c r="D10" s="5"/>
      <c r="E10" s="5">
        <v>5</v>
      </c>
      <c r="F10" s="5">
        <v>4</v>
      </c>
      <c r="G10" s="5">
        <v>3</v>
      </c>
      <c r="H10" s="5">
        <v>2</v>
      </c>
      <c r="I10" s="5">
        <v>6</v>
      </c>
      <c r="J10" s="5">
        <v>2</v>
      </c>
      <c r="K10" s="5">
        <v>23</v>
      </c>
      <c r="L10"/>
      <c r="M10"/>
      <c r="N10"/>
      <c r="O10"/>
    </row>
    <row r="11" spans="1:19" ht="16.5" x14ac:dyDescent="0.3">
      <c r="B11" t="s">
        <v>44</v>
      </c>
      <c r="C11" s="5"/>
      <c r="D11" s="5">
        <v>1</v>
      </c>
      <c r="E11" s="5">
        <v>1</v>
      </c>
      <c r="F11" s="5">
        <v>1</v>
      </c>
      <c r="G11" s="5"/>
      <c r="H11" s="5"/>
      <c r="I11" s="5">
        <v>1</v>
      </c>
      <c r="J11" s="5">
        <v>1</v>
      </c>
      <c r="K11" s="5">
        <v>5</v>
      </c>
      <c r="L11"/>
      <c r="M11"/>
      <c r="N11"/>
      <c r="O11"/>
    </row>
    <row r="12" spans="1:19" ht="16.5" x14ac:dyDescent="0.3">
      <c r="B12" t="s">
        <v>37</v>
      </c>
      <c r="C12" s="5"/>
      <c r="D12" s="5"/>
      <c r="E12" s="5"/>
      <c r="F12" s="5"/>
      <c r="G12" s="5">
        <v>1</v>
      </c>
      <c r="H12" s="5"/>
      <c r="I12" s="5">
        <v>1</v>
      </c>
      <c r="J12" s="5"/>
      <c r="K12" s="5">
        <v>2</v>
      </c>
      <c r="L12"/>
      <c r="M12"/>
      <c r="N12"/>
      <c r="O12"/>
    </row>
    <row r="13" spans="1:19" ht="16.5" x14ac:dyDescent="0.3">
      <c r="B13" t="s">
        <v>21</v>
      </c>
      <c r="C13" s="5"/>
      <c r="D13" s="5"/>
      <c r="E13" s="5"/>
      <c r="F13" s="5"/>
      <c r="G13" s="5"/>
      <c r="H13" s="5"/>
      <c r="I13" s="5">
        <v>2</v>
      </c>
      <c r="J13" s="5"/>
      <c r="K13" s="5">
        <v>2</v>
      </c>
      <c r="L13"/>
      <c r="M13"/>
      <c r="N13"/>
      <c r="O13"/>
    </row>
    <row r="14" spans="1:19" ht="16.5" x14ac:dyDescent="0.3">
      <c r="B14" t="s">
        <v>93</v>
      </c>
      <c r="C14" s="5"/>
      <c r="D14" s="5"/>
      <c r="E14" s="5"/>
      <c r="F14" s="5">
        <v>1</v>
      </c>
      <c r="G14" s="5"/>
      <c r="H14" s="5"/>
      <c r="I14" s="5"/>
      <c r="J14" s="5"/>
      <c r="K14" s="5">
        <v>1</v>
      </c>
      <c r="L14"/>
      <c r="M14"/>
      <c r="N14"/>
      <c r="O14"/>
    </row>
    <row r="15" spans="1:19" ht="16.5" x14ac:dyDescent="0.3">
      <c r="B15" t="s">
        <v>51</v>
      </c>
      <c r="C15" s="5"/>
      <c r="D15" s="5">
        <v>1</v>
      </c>
      <c r="E15" s="5"/>
      <c r="F15" s="5"/>
      <c r="G15" s="5"/>
      <c r="H15" s="5"/>
      <c r="I15" s="5"/>
      <c r="J15" s="5"/>
      <c r="K15" s="5">
        <v>1</v>
      </c>
      <c r="L15"/>
      <c r="M15"/>
      <c r="N15"/>
      <c r="O15"/>
    </row>
    <row r="16" spans="1:19" ht="16.5" x14ac:dyDescent="0.3">
      <c r="B16" t="s">
        <v>739</v>
      </c>
      <c r="C16" s="5">
        <v>1</v>
      </c>
      <c r="D16" s="5">
        <v>2</v>
      </c>
      <c r="E16" s="5">
        <v>6</v>
      </c>
      <c r="F16" s="5">
        <v>6</v>
      </c>
      <c r="G16" s="5">
        <v>4</v>
      </c>
      <c r="H16" s="5">
        <v>2</v>
      </c>
      <c r="I16" s="5">
        <v>10</v>
      </c>
      <c r="J16" s="5">
        <v>3</v>
      </c>
      <c r="K16" s="5">
        <v>34</v>
      </c>
      <c r="L16"/>
      <c r="M16"/>
      <c r="N16"/>
      <c r="O16"/>
    </row>
    <row r="17" spans="2:15" ht="16.5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2:15" ht="16.5" x14ac:dyDescent="0.3">
      <c r="B18"/>
      <c r="C18"/>
      <c r="D18"/>
    </row>
    <row r="19" spans="2:15" ht="16.5" x14ac:dyDescent="0.3">
      <c r="B19"/>
      <c r="C19"/>
      <c r="D19"/>
    </row>
    <row r="20" spans="2:15" ht="16.5" x14ac:dyDescent="0.3">
      <c r="B20"/>
      <c r="C20"/>
      <c r="D20"/>
    </row>
    <row r="21" spans="2:15" ht="16.5" x14ac:dyDescent="0.3">
      <c r="B21"/>
      <c r="C21"/>
      <c r="D21"/>
    </row>
    <row r="22" spans="2:15" ht="16.5" x14ac:dyDescent="0.3">
      <c r="B22" s="40" t="s">
        <v>801</v>
      </c>
      <c r="C22"/>
      <c r="D22"/>
    </row>
    <row r="23" spans="2:15" ht="16.5" x14ac:dyDescent="0.3">
      <c r="B23" s="4" t="s">
        <v>802</v>
      </c>
      <c r="C23" t="s">
        <v>805</v>
      </c>
      <c r="D23"/>
    </row>
    <row r="24" spans="2:15" ht="16.5" x14ac:dyDescent="0.3">
      <c r="B24"/>
      <c r="C24"/>
      <c r="D24"/>
    </row>
    <row r="25" spans="2:15" ht="16.5" x14ac:dyDescent="0.3">
      <c r="B25" s="4" t="s">
        <v>803</v>
      </c>
      <c r="C25" s="4" t="s">
        <v>113</v>
      </c>
      <c r="D25" s="4" t="s">
        <v>114</v>
      </c>
      <c r="E25" s="4" t="s">
        <v>1</v>
      </c>
      <c r="F25" s="4" t="s">
        <v>737</v>
      </c>
      <c r="G25" s="4" t="s">
        <v>750</v>
      </c>
      <c r="H25" t="s">
        <v>804</v>
      </c>
    </row>
    <row r="26" spans="2:15" ht="16.5" x14ac:dyDescent="0.3">
      <c r="B26" s="1">
        <v>46299</v>
      </c>
      <c r="C26" t="s">
        <v>162</v>
      </c>
      <c r="D26" t="s">
        <v>130</v>
      </c>
      <c r="E26" t="s">
        <v>90</v>
      </c>
      <c r="F26" t="s">
        <v>728</v>
      </c>
      <c r="G26" t="s">
        <v>17</v>
      </c>
      <c r="H26" s="5">
        <v>27</v>
      </c>
    </row>
    <row r="27" spans="2:15" ht="16.5" x14ac:dyDescent="0.3">
      <c r="B27" s="1">
        <v>46315</v>
      </c>
      <c r="C27" t="s">
        <v>184</v>
      </c>
      <c r="D27" t="s">
        <v>142</v>
      </c>
      <c r="E27" t="s">
        <v>92</v>
      </c>
      <c r="F27" t="s">
        <v>726</v>
      </c>
      <c r="G27" t="s">
        <v>93</v>
      </c>
      <c r="H27" s="5">
        <v>43</v>
      </c>
    </row>
    <row r="28" spans="2:15" ht="16.5" x14ac:dyDescent="0.3">
      <c r="B28" s="1">
        <v>46319</v>
      </c>
      <c r="C28" t="s">
        <v>184</v>
      </c>
      <c r="D28" t="s">
        <v>173</v>
      </c>
      <c r="E28" t="s">
        <v>31</v>
      </c>
      <c r="F28" t="s">
        <v>725</v>
      </c>
      <c r="G28" t="s">
        <v>17</v>
      </c>
      <c r="H28" s="5">
        <v>47</v>
      </c>
    </row>
    <row r="29" spans="2:15" ht="16.5" x14ac:dyDescent="0.3">
      <c r="B29" s="1">
        <v>46328</v>
      </c>
      <c r="C29" t="s">
        <v>154</v>
      </c>
      <c r="D29" t="s">
        <v>207</v>
      </c>
      <c r="E29" t="s">
        <v>58</v>
      </c>
      <c r="F29" t="s">
        <v>727</v>
      </c>
      <c r="G29" t="s">
        <v>37</v>
      </c>
      <c r="H29" s="5">
        <v>56</v>
      </c>
    </row>
    <row r="30" spans="2:15" ht="16.5" x14ac:dyDescent="0.3">
      <c r="B30" s="1">
        <v>46355</v>
      </c>
      <c r="C30" t="s">
        <v>236</v>
      </c>
      <c r="D30" t="s">
        <v>169</v>
      </c>
      <c r="E30" t="s">
        <v>25</v>
      </c>
      <c r="F30" t="s">
        <v>725</v>
      </c>
      <c r="G30" t="s">
        <v>17</v>
      </c>
      <c r="H30" s="5">
        <v>83</v>
      </c>
    </row>
    <row r="31" spans="2:15" ht="16.5" x14ac:dyDescent="0.3">
      <c r="B31"/>
      <c r="C31" t="s">
        <v>184</v>
      </c>
      <c r="D31" t="s">
        <v>197</v>
      </c>
      <c r="E31" t="s">
        <v>102</v>
      </c>
      <c r="F31" t="s">
        <v>726</v>
      </c>
      <c r="G31" t="s">
        <v>17</v>
      </c>
      <c r="H31" s="5">
        <v>83</v>
      </c>
    </row>
    <row r="32" spans="2:15" ht="16.5" x14ac:dyDescent="0.3">
      <c r="B32" s="1">
        <v>46360</v>
      </c>
      <c r="C32" t="s">
        <v>129</v>
      </c>
      <c r="D32" t="s">
        <v>159</v>
      </c>
      <c r="E32" t="s">
        <v>77</v>
      </c>
      <c r="F32" t="s">
        <v>722</v>
      </c>
      <c r="G32" t="s">
        <v>17</v>
      </c>
      <c r="H32" s="5">
        <v>88</v>
      </c>
    </row>
    <row r="33" spans="2:14" ht="16.5" x14ac:dyDescent="0.3">
      <c r="B33" s="1">
        <v>46369</v>
      </c>
      <c r="C33" t="s">
        <v>129</v>
      </c>
      <c r="D33" t="s">
        <v>155</v>
      </c>
      <c r="E33" t="s">
        <v>83</v>
      </c>
      <c r="F33" t="s">
        <v>132</v>
      </c>
      <c r="G33" t="s">
        <v>17</v>
      </c>
      <c r="H33" s="5">
        <v>97</v>
      </c>
    </row>
    <row r="34" spans="2:14" ht="16.5" x14ac:dyDescent="0.3">
      <c r="B34" s="1">
        <v>46393</v>
      </c>
      <c r="C34" t="s">
        <v>236</v>
      </c>
      <c r="D34" t="s">
        <v>185</v>
      </c>
      <c r="E34" t="s">
        <v>30</v>
      </c>
      <c r="F34" t="s">
        <v>239</v>
      </c>
      <c r="G34" t="s">
        <v>17</v>
      </c>
      <c r="H34" s="5">
        <v>121</v>
      </c>
    </row>
    <row r="35" spans="2:14" ht="16.5" x14ac:dyDescent="0.3">
      <c r="B35"/>
      <c r="C35" t="s">
        <v>137</v>
      </c>
      <c r="D35" t="s">
        <v>151</v>
      </c>
      <c r="E35" t="s">
        <v>32</v>
      </c>
      <c r="F35" t="s">
        <v>725</v>
      </c>
      <c r="G35" t="s">
        <v>17</v>
      </c>
      <c r="H35" s="5">
        <v>121</v>
      </c>
    </row>
    <row r="36" spans="2:14" ht="16.5" x14ac:dyDescent="0.3">
      <c r="B36" s="1">
        <v>46407</v>
      </c>
      <c r="C36" t="s">
        <v>147</v>
      </c>
      <c r="D36" t="s">
        <v>211</v>
      </c>
      <c r="E36" t="s">
        <v>87</v>
      </c>
      <c r="F36" t="s">
        <v>132</v>
      </c>
      <c r="G36" t="s">
        <v>44</v>
      </c>
      <c r="H36" s="5">
        <v>135</v>
      </c>
    </row>
    <row r="37" spans="2:14" ht="16.5" x14ac:dyDescent="0.3">
      <c r="B37" s="1">
        <v>46409</v>
      </c>
      <c r="C37" t="s">
        <v>147</v>
      </c>
      <c r="D37" t="s">
        <v>202</v>
      </c>
      <c r="E37" t="s">
        <v>64</v>
      </c>
      <c r="F37" t="s">
        <v>725</v>
      </c>
      <c r="G37" t="s">
        <v>44</v>
      </c>
      <c r="H37" s="5">
        <v>137</v>
      </c>
    </row>
    <row r="38" spans="2:14" ht="16.5" x14ac:dyDescent="0.3">
      <c r="B38" s="1">
        <v>46439</v>
      </c>
      <c r="C38" t="s">
        <v>147</v>
      </c>
      <c r="D38" t="s">
        <v>182</v>
      </c>
      <c r="E38" t="s">
        <v>36</v>
      </c>
      <c r="F38" t="s">
        <v>132</v>
      </c>
      <c r="G38" t="s">
        <v>37</v>
      </c>
      <c r="H38" s="5">
        <v>167</v>
      </c>
    </row>
    <row r="39" spans="2:14" ht="16.5" x14ac:dyDescent="0.3">
      <c r="B39" t="s">
        <v>739</v>
      </c>
      <c r="C39"/>
      <c r="D39"/>
      <c r="E39"/>
      <c r="F39"/>
      <c r="G39"/>
      <c r="H39" s="5">
        <v>1205</v>
      </c>
      <c r="K39" s="39" t="s">
        <v>799</v>
      </c>
    </row>
    <row r="40" spans="2:14" ht="16.5" x14ac:dyDescent="0.3">
      <c r="B40"/>
      <c r="C40"/>
      <c r="D40"/>
      <c r="E40"/>
      <c r="F40"/>
      <c r="G40"/>
      <c r="H40"/>
      <c r="K40" s="4" t="s">
        <v>736</v>
      </c>
      <c r="L40" t="s">
        <v>741</v>
      </c>
    </row>
    <row r="41" spans="2:14" ht="16.5" x14ac:dyDescent="0.3">
      <c r="B41"/>
      <c r="C41"/>
      <c r="D41"/>
      <c r="E41"/>
      <c r="F41"/>
      <c r="G41"/>
      <c r="H41"/>
    </row>
    <row r="42" spans="2:14" ht="16.5" x14ac:dyDescent="0.3">
      <c r="B42"/>
      <c r="C42"/>
      <c r="D42"/>
      <c r="E42"/>
      <c r="F42"/>
      <c r="G42"/>
      <c r="H42"/>
      <c r="K42"/>
      <c r="L42" s="4" t="s">
        <v>800</v>
      </c>
      <c r="M42"/>
      <c r="N42"/>
    </row>
    <row r="43" spans="2:14" ht="16.5" x14ac:dyDescent="0.3">
      <c r="B43"/>
      <c r="C43"/>
      <c r="D43"/>
      <c r="E43"/>
      <c r="F43"/>
      <c r="G43"/>
      <c r="H43"/>
      <c r="K43" s="4" t="s">
        <v>737</v>
      </c>
      <c r="L43" t="s">
        <v>740</v>
      </c>
      <c r="M43" t="s">
        <v>16</v>
      </c>
      <c r="N43" t="s">
        <v>742</v>
      </c>
    </row>
    <row r="44" spans="2:14" ht="16.5" x14ac:dyDescent="0.3">
      <c r="B44"/>
      <c r="C44"/>
      <c r="D44"/>
      <c r="E44"/>
      <c r="F44"/>
      <c r="G44"/>
      <c r="H44"/>
      <c r="K44" t="s">
        <v>722</v>
      </c>
      <c r="L44" s="5">
        <v>11</v>
      </c>
      <c r="M44" s="5">
        <v>1</v>
      </c>
      <c r="N44" s="2">
        <v>9.0909090909090912E-2</v>
      </c>
    </row>
    <row r="45" spans="2:14" ht="16.5" x14ac:dyDescent="0.3">
      <c r="B45"/>
      <c r="C45"/>
      <c r="D45"/>
      <c r="E45"/>
      <c r="F45"/>
      <c r="G45"/>
      <c r="H45"/>
      <c r="K45" t="s">
        <v>724</v>
      </c>
      <c r="L45" s="5">
        <v>25</v>
      </c>
      <c r="M45" s="5">
        <v>2</v>
      </c>
      <c r="N45" s="2">
        <v>0.08</v>
      </c>
    </row>
    <row r="46" spans="2:14" ht="16.5" x14ac:dyDescent="0.3">
      <c r="B46"/>
      <c r="C46"/>
      <c r="D46"/>
      <c r="E46"/>
      <c r="F46"/>
      <c r="G46"/>
      <c r="H46"/>
      <c r="K46" t="s">
        <v>725</v>
      </c>
      <c r="L46" s="5">
        <v>110</v>
      </c>
      <c r="M46" s="5">
        <v>6</v>
      </c>
      <c r="N46" s="2">
        <v>5.4545454545454543E-2</v>
      </c>
    </row>
    <row r="47" spans="2:14" ht="16.5" x14ac:dyDescent="0.3">
      <c r="B47"/>
      <c r="C47"/>
      <c r="D47"/>
      <c r="E47"/>
      <c r="F47"/>
      <c r="G47"/>
      <c r="H47"/>
      <c r="K47" t="s">
        <v>726</v>
      </c>
      <c r="L47" s="5">
        <v>70</v>
      </c>
      <c r="M47" s="5">
        <v>6</v>
      </c>
      <c r="N47" s="2">
        <v>8.5714285714285715E-2</v>
      </c>
    </row>
    <row r="48" spans="2:14" ht="16.5" x14ac:dyDescent="0.3">
      <c r="B48"/>
      <c r="C48"/>
      <c r="D48"/>
      <c r="E48"/>
      <c r="F48"/>
      <c r="G48"/>
      <c r="H48"/>
      <c r="K48" t="s">
        <v>727</v>
      </c>
      <c r="L48" s="5">
        <v>50</v>
      </c>
      <c r="M48" s="5">
        <v>4</v>
      </c>
      <c r="N48" s="2">
        <v>0.08</v>
      </c>
    </row>
    <row r="49" spans="2:14" ht="16.5" x14ac:dyDescent="0.3">
      <c r="B49"/>
      <c r="C49"/>
      <c r="D49"/>
      <c r="E49"/>
      <c r="F49"/>
      <c r="G49"/>
      <c r="H49"/>
      <c r="K49" t="s">
        <v>728</v>
      </c>
      <c r="L49" s="5">
        <v>28</v>
      </c>
      <c r="M49" s="5">
        <v>2</v>
      </c>
      <c r="N49" s="2">
        <v>7.1428571428571425E-2</v>
      </c>
    </row>
    <row r="50" spans="2:14" ht="16.5" x14ac:dyDescent="0.3">
      <c r="B50"/>
      <c r="C50"/>
      <c r="D50"/>
      <c r="E50"/>
      <c r="F50"/>
      <c r="G50"/>
      <c r="H50"/>
      <c r="K50" t="s">
        <v>729</v>
      </c>
      <c r="L50" s="5">
        <v>1</v>
      </c>
      <c r="M50" s="5">
        <v>0</v>
      </c>
      <c r="N50" s="2">
        <v>0</v>
      </c>
    </row>
    <row r="51" spans="2:14" ht="16.5" x14ac:dyDescent="0.3">
      <c r="B51"/>
      <c r="C51"/>
      <c r="D51"/>
      <c r="E51"/>
      <c r="F51"/>
      <c r="G51"/>
      <c r="H51"/>
      <c r="K51" t="s">
        <v>730</v>
      </c>
      <c r="L51" s="5">
        <v>2</v>
      </c>
      <c r="M51" s="5">
        <v>0</v>
      </c>
      <c r="N51" s="2">
        <v>0</v>
      </c>
    </row>
    <row r="52" spans="2:14" ht="16.5" x14ac:dyDescent="0.3">
      <c r="B52"/>
      <c r="C52"/>
      <c r="D52"/>
      <c r="E52"/>
      <c r="F52"/>
      <c r="G52"/>
      <c r="H52"/>
      <c r="K52" t="s">
        <v>239</v>
      </c>
      <c r="L52" s="5">
        <v>35</v>
      </c>
      <c r="M52" s="5">
        <v>3</v>
      </c>
      <c r="N52" s="2">
        <v>8.5714285714285715E-2</v>
      </c>
    </row>
    <row r="53" spans="2:14" ht="16.5" x14ac:dyDescent="0.3">
      <c r="B53"/>
      <c r="C53"/>
      <c r="D53"/>
      <c r="E53"/>
      <c r="F53"/>
      <c r="G53"/>
      <c r="H53"/>
      <c r="K53" t="s">
        <v>132</v>
      </c>
      <c r="L53" s="5">
        <v>118</v>
      </c>
      <c r="M53" s="5">
        <v>10</v>
      </c>
      <c r="N53" s="2">
        <v>8.4745762711864403E-2</v>
      </c>
    </row>
    <row r="54" spans="2:14" ht="16.5" x14ac:dyDescent="0.3">
      <c r="B54"/>
      <c r="C54"/>
      <c r="D54"/>
      <c r="E54"/>
      <c r="F54"/>
      <c r="G54"/>
      <c r="H54"/>
      <c r="K54" t="s">
        <v>739</v>
      </c>
      <c r="L54" s="5">
        <v>450</v>
      </c>
      <c r="M54" s="5">
        <v>34</v>
      </c>
      <c r="N54" s="2">
        <v>7.5555555555555556E-2</v>
      </c>
    </row>
    <row r="55" spans="2:14" ht="16.5" x14ac:dyDescent="0.3">
      <c r="B55"/>
      <c r="C55"/>
      <c r="D55"/>
      <c r="E55"/>
      <c r="F55"/>
      <c r="G55"/>
      <c r="H55"/>
      <c r="K55"/>
      <c r="L55"/>
      <c r="M55"/>
      <c r="N55"/>
    </row>
    <row r="56" spans="2:14" ht="16.5" x14ac:dyDescent="0.3">
      <c r="B56"/>
      <c r="C56"/>
      <c r="D56"/>
      <c r="E56"/>
      <c r="F56"/>
      <c r="G56"/>
      <c r="H56"/>
      <c r="K56"/>
      <c r="L56"/>
      <c r="M56"/>
      <c r="N56"/>
    </row>
    <row r="57" spans="2:14" ht="16.5" x14ac:dyDescent="0.3">
      <c r="B57"/>
      <c r="C57"/>
      <c r="D57"/>
      <c r="E57"/>
      <c r="F57"/>
      <c r="G57"/>
      <c r="H57"/>
      <c r="K57"/>
      <c r="L57"/>
      <c r="M57"/>
    </row>
    <row r="58" spans="2:14" ht="16.5" x14ac:dyDescent="0.3">
      <c r="B58"/>
      <c r="C58"/>
      <c r="D58"/>
      <c r="E58"/>
      <c r="F58"/>
      <c r="G58"/>
      <c r="H58"/>
      <c r="K58"/>
      <c r="L58"/>
      <c r="M58"/>
    </row>
    <row r="59" spans="2:14" ht="16.5" x14ac:dyDescent="0.3">
      <c r="B59"/>
      <c r="C59"/>
      <c r="D59"/>
      <c r="E59"/>
      <c r="F59"/>
      <c r="G59"/>
      <c r="H59"/>
      <c r="K59"/>
      <c r="L59"/>
      <c r="M59"/>
    </row>
    <row r="60" spans="2:14" ht="16.5" x14ac:dyDescent="0.3">
      <c r="B60"/>
      <c r="C60"/>
      <c r="D60"/>
      <c r="E60"/>
      <c r="F60"/>
      <c r="G60"/>
      <c r="H60"/>
    </row>
    <row r="61" spans="2:14" ht="16.5" x14ac:dyDescent="0.3">
      <c r="B61"/>
      <c r="C61"/>
      <c r="D61"/>
      <c r="E61"/>
      <c r="F61"/>
      <c r="G61"/>
      <c r="H61"/>
    </row>
    <row r="62" spans="2:14" ht="16.5" x14ac:dyDescent="0.3">
      <c r="B62"/>
      <c r="C62"/>
      <c r="D62"/>
      <c r="E62"/>
      <c r="F62"/>
      <c r="G62"/>
      <c r="H62"/>
    </row>
    <row r="63" spans="2:14" ht="16.5" x14ac:dyDescent="0.3">
      <c r="B63"/>
      <c r="C63"/>
      <c r="D63"/>
      <c r="E63"/>
      <c r="F63"/>
      <c r="G63"/>
      <c r="H63"/>
    </row>
    <row r="64" spans="2:14" ht="16.5" x14ac:dyDescent="0.3">
      <c r="B64"/>
      <c r="C64"/>
      <c r="D64"/>
      <c r="E64"/>
      <c r="F64"/>
      <c r="G64"/>
      <c r="H64"/>
    </row>
    <row r="65" spans="2:8" ht="16.5" x14ac:dyDescent="0.3">
      <c r="B65"/>
      <c r="C65"/>
      <c r="D65"/>
      <c r="E65"/>
      <c r="F65"/>
      <c r="G65"/>
      <c r="H65"/>
    </row>
    <row r="66" spans="2:8" ht="16.5" x14ac:dyDescent="0.3">
      <c r="B66"/>
      <c r="C66"/>
      <c r="D66"/>
      <c r="E66"/>
      <c r="F66"/>
      <c r="G66"/>
      <c r="H66"/>
    </row>
    <row r="67" spans="2:8" ht="16.5" x14ac:dyDescent="0.3">
      <c r="B67"/>
      <c r="C67"/>
      <c r="D67"/>
      <c r="E67"/>
      <c r="F67"/>
      <c r="G67"/>
      <c r="H67"/>
    </row>
    <row r="68" spans="2:8" ht="16.5" x14ac:dyDescent="0.3">
      <c r="B68"/>
      <c r="C68"/>
      <c r="D68"/>
      <c r="E68"/>
      <c r="F68"/>
      <c r="G68"/>
      <c r="H68"/>
    </row>
    <row r="69" spans="2:8" ht="16.5" x14ac:dyDescent="0.3">
      <c r="B69"/>
      <c r="C69"/>
      <c r="D69"/>
      <c r="E69"/>
      <c r="F69"/>
      <c r="G69"/>
      <c r="H69"/>
    </row>
    <row r="70" spans="2:8" ht="16.5" x14ac:dyDescent="0.3">
      <c r="B70"/>
      <c r="C70"/>
      <c r="D70"/>
      <c r="E70"/>
      <c r="F70"/>
      <c r="G70"/>
      <c r="H70"/>
    </row>
    <row r="71" spans="2:8" ht="16.5" x14ac:dyDescent="0.3">
      <c r="B71"/>
      <c r="C71"/>
      <c r="D71"/>
      <c r="E71"/>
      <c r="F71"/>
      <c r="G71"/>
      <c r="H71"/>
    </row>
    <row r="72" spans="2:8" ht="16.5" x14ac:dyDescent="0.3">
      <c r="B72"/>
      <c r="C72"/>
      <c r="D72"/>
      <c r="E72"/>
      <c r="F72"/>
      <c r="G72"/>
      <c r="H72"/>
    </row>
    <row r="73" spans="2:8" ht="16.5" x14ac:dyDescent="0.3">
      <c r="B73"/>
      <c r="C73"/>
      <c r="D73"/>
      <c r="E73"/>
      <c r="F73"/>
      <c r="G73"/>
      <c r="H73"/>
    </row>
    <row r="74" spans="2:8" ht="16.5" x14ac:dyDescent="0.3">
      <c r="B74"/>
      <c r="C74"/>
      <c r="D74"/>
      <c r="E74"/>
      <c r="F74"/>
      <c r="G74"/>
      <c r="H74"/>
    </row>
    <row r="75" spans="2:8" ht="16.5" x14ac:dyDescent="0.3">
      <c r="B75"/>
      <c r="C75"/>
      <c r="D75"/>
      <c r="E75"/>
      <c r="F75"/>
      <c r="G75"/>
      <c r="H75"/>
    </row>
    <row r="76" spans="2:8" ht="16.5" x14ac:dyDescent="0.3">
      <c r="B76"/>
      <c r="C76"/>
      <c r="D76"/>
      <c r="E76"/>
      <c r="F76"/>
      <c r="G76"/>
      <c r="H76"/>
    </row>
    <row r="77" spans="2:8" ht="16.5" x14ac:dyDescent="0.3">
      <c r="B77"/>
      <c r="C77"/>
      <c r="D77"/>
      <c r="E77"/>
      <c r="F77"/>
      <c r="G77"/>
      <c r="H77"/>
    </row>
    <row r="78" spans="2:8" ht="16.5" x14ac:dyDescent="0.3">
      <c r="B78"/>
      <c r="C78"/>
      <c r="D78"/>
      <c r="E78"/>
      <c r="F78"/>
      <c r="G78"/>
      <c r="H78"/>
    </row>
    <row r="79" spans="2:8" ht="16.5" x14ac:dyDescent="0.3">
      <c r="B79"/>
      <c r="C79"/>
      <c r="D79"/>
      <c r="E79"/>
      <c r="F79"/>
      <c r="G79"/>
      <c r="H79"/>
    </row>
    <row r="80" spans="2:8" ht="16.5" x14ac:dyDescent="0.3">
      <c r="B80"/>
      <c r="C80"/>
      <c r="D80"/>
      <c r="E80"/>
      <c r="F80"/>
      <c r="G80"/>
      <c r="H80"/>
    </row>
    <row r="81" spans="2:8" ht="16.5" x14ac:dyDescent="0.3">
      <c r="B81"/>
      <c r="C81"/>
      <c r="D81"/>
      <c r="E81"/>
      <c r="F81"/>
      <c r="G81"/>
      <c r="H81"/>
    </row>
    <row r="82" spans="2:8" ht="16.5" x14ac:dyDescent="0.3">
      <c r="B82"/>
      <c r="C82"/>
      <c r="D82"/>
      <c r="E82"/>
      <c r="F82"/>
      <c r="G82"/>
      <c r="H82"/>
    </row>
    <row r="83" spans="2:8" ht="16.5" x14ac:dyDescent="0.3">
      <c r="B83"/>
      <c r="C83"/>
      <c r="D83"/>
      <c r="E83"/>
      <c r="F83"/>
      <c r="G83"/>
      <c r="H83"/>
    </row>
    <row r="84" spans="2:8" ht="16.5" x14ac:dyDescent="0.3">
      <c r="B84"/>
      <c r="C84"/>
      <c r="D84"/>
      <c r="E84"/>
      <c r="F84"/>
      <c r="G84"/>
      <c r="H84"/>
    </row>
    <row r="85" spans="2:8" ht="16.5" x14ac:dyDescent="0.3">
      <c r="B85"/>
      <c r="C85"/>
      <c r="D85"/>
      <c r="E85"/>
      <c r="F85"/>
      <c r="G85"/>
      <c r="H85"/>
    </row>
    <row r="86" spans="2:8" ht="16.5" x14ac:dyDescent="0.3">
      <c r="B86"/>
      <c r="C86"/>
      <c r="D86"/>
      <c r="E86"/>
      <c r="F86"/>
      <c r="G86"/>
      <c r="H86"/>
    </row>
    <row r="87" spans="2:8" ht="16.5" x14ac:dyDescent="0.3">
      <c r="B87"/>
      <c r="C87"/>
      <c r="D87"/>
      <c r="E87"/>
      <c r="F87"/>
      <c r="G87"/>
      <c r="H87"/>
    </row>
    <row r="88" spans="2:8" ht="16.5" x14ac:dyDescent="0.3">
      <c r="B88"/>
      <c r="C88"/>
      <c r="D88"/>
      <c r="E88"/>
      <c r="F88"/>
      <c r="G88"/>
      <c r="H88"/>
    </row>
    <row r="89" spans="2:8" ht="16.5" x14ac:dyDescent="0.3">
      <c r="B89"/>
      <c r="C89"/>
      <c r="D89"/>
      <c r="E89"/>
      <c r="F89"/>
      <c r="G89"/>
      <c r="H89"/>
    </row>
    <row r="90" spans="2:8" ht="16.5" x14ac:dyDescent="0.3">
      <c r="B90"/>
      <c r="C90"/>
      <c r="D90"/>
      <c r="E90"/>
      <c r="F90"/>
      <c r="G90"/>
      <c r="H90"/>
    </row>
    <row r="91" spans="2:8" ht="16.5" x14ac:dyDescent="0.3">
      <c r="B91"/>
      <c r="C91"/>
      <c r="D91"/>
      <c r="E91"/>
      <c r="F91"/>
      <c r="G91"/>
      <c r="H91"/>
    </row>
    <row r="92" spans="2:8" ht="16.5" x14ac:dyDescent="0.3">
      <c r="B92"/>
      <c r="C92"/>
      <c r="D92"/>
      <c r="E92"/>
      <c r="F92"/>
      <c r="G92"/>
      <c r="H92"/>
    </row>
    <row r="93" spans="2:8" ht="16.5" x14ac:dyDescent="0.3">
      <c r="B93"/>
      <c r="C93"/>
      <c r="D93"/>
      <c r="E93"/>
      <c r="F93"/>
      <c r="G93"/>
      <c r="H93"/>
    </row>
    <row r="94" spans="2:8" ht="16.5" x14ac:dyDescent="0.3">
      <c r="B94"/>
      <c r="C94"/>
      <c r="D94"/>
      <c r="E94"/>
      <c r="F94"/>
      <c r="G94"/>
      <c r="H94"/>
    </row>
    <row r="95" spans="2:8" ht="16.5" x14ac:dyDescent="0.3">
      <c r="B95"/>
      <c r="C95"/>
      <c r="D95"/>
      <c r="E95"/>
      <c r="F95"/>
      <c r="G95"/>
      <c r="H95"/>
    </row>
    <row r="96" spans="2:8" ht="16.5" x14ac:dyDescent="0.3">
      <c r="B96"/>
      <c r="C96"/>
      <c r="D96"/>
      <c r="E96"/>
      <c r="F96"/>
      <c r="G96"/>
      <c r="H96"/>
    </row>
    <row r="97" spans="2:8" ht="16.5" x14ac:dyDescent="0.3">
      <c r="B97"/>
      <c r="C97"/>
      <c r="D97"/>
      <c r="E97"/>
      <c r="F97"/>
      <c r="G97"/>
      <c r="H97"/>
    </row>
    <row r="98" spans="2:8" ht="16.5" x14ac:dyDescent="0.3">
      <c r="B98"/>
      <c r="C98"/>
      <c r="D98"/>
      <c r="E98"/>
      <c r="F98"/>
      <c r="G98"/>
      <c r="H98"/>
    </row>
    <row r="99" spans="2:8" ht="16.5" x14ac:dyDescent="0.3">
      <c r="B99"/>
      <c r="C99"/>
      <c r="D99"/>
      <c r="E99"/>
      <c r="F99"/>
      <c r="G99"/>
      <c r="H99"/>
    </row>
    <row r="100" spans="2:8" ht="16.5" x14ac:dyDescent="0.3">
      <c r="B100"/>
      <c r="C100"/>
      <c r="D100"/>
      <c r="E100"/>
      <c r="F100"/>
      <c r="G100"/>
      <c r="H100"/>
    </row>
    <row r="101" spans="2:8" ht="16.5" x14ac:dyDescent="0.3">
      <c r="B101"/>
      <c r="C101"/>
      <c r="D101"/>
      <c r="E101"/>
      <c r="F101"/>
      <c r="G101"/>
      <c r="H101"/>
    </row>
    <row r="102" spans="2:8" ht="16.5" x14ac:dyDescent="0.3">
      <c r="B102"/>
      <c r="C102"/>
      <c r="D102"/>
      <c r="E102"/>
      <c r="F102"/>
      <c r="G102"/>
      <c r="H102"/>
    </row>
    <row r="103" spans="2:8" ht="16.5" x14ac:dyDescent="0.3">
      <c r="B103"/>
      <c r="C103"/>
      <c r="D103"/>
      <c r="E103"/>
      <c r="F103"/>
      <c r="G103"/>
      <c r="H103"/>
    </row>
    <row r="104" spans="2:8" ht="16.5" x14ac:dyDescent="0.3">
      <c r="B104"/>
      <c r="C104"/>
      <c r="D104"/>
      <c r="E104"/>
      <c r="F104"/>
      <c r="G104"/>
      <c r="H104"/>
    </row>
    <row r="105" spans="2:8" ht="16.5" x14ac:dyDescent="0.3">
      <c r="B105"/>
      <c r="C105"/>
      <c r="D105"/>
      <c r="E105"/>
      <c r="F105"/>
      <c r="G105"/>
      <c r="H105"/>
    </row>
    <row r="106" spans="2:8" ht="16.5" x14ac:dyDescent="0.3">
      <c r="B106"/>
      <c r="C106"/>
      <c r="D106"/>
      <c r="E106"/>
      <c r="F106"/>
      <c r="G106"/>
      <c r="H106"/>
    </row>
    <row r="107" spans="2:8" ht="16.5" x14ac:dyDescent="0.3">
      <c r="B107"/>
      <c r="C107"/>
      <c r="D107"/>
      <c r="E107"/>
      <c r="F107"/>
      <c r="G107"/>
      <c r="H107"/>
    </row>
    <row r="108" spans="2:8" ht="16.5" x14ac:dyDescent="0.3">
      <c r="B108"/>
      <c r="C108"/>
      <c r="D108"/>
      <c r="E108"/>
      <c r="F108"/>
      <c r="G108"/>
      <c r="H108"/>
    </row>
    <row r="109" spans="2:8" ht="16.5" x14ac:dyDescent="0.3">
      <c r="B109"/>
      <c r="C109"/>
      <c r="D109"/>
      <c r="E109"/>
      <c r="F109"/>
      <c r="G109"/>
      <c r="H109"/>
    </row>
    <row r="110" spans="2:8" ht="16.5" x14ac:dyDescent="0.3">
      <c r="B110"/>
      <c r="C110"/>
      <c r="D110"/>
      <c r="E110"/>
      <c r="F110"/>
      <c r="G110"/>
      <c r="H110"/>
    </row>
    <row r="111" spans="2:8" ht="16.5" x14ac:dyDescent="0.3">
      <c r="B111"/>
      <c r="C111"/>
      <c r="D111"/>
      <c r="E111"/>
      <c r="F111"/>
      <c r="G111"/>
      <c r="H111"/>
    </row>
    <row r="112" spans="2:8" ht="16.5" x14ac:dyDescent="0.3">
      <c r="B112"/>
      <c r="C112"/>
      <c r="D112"/>
      <c r="E112"/>
      <c r="F112"/>
      <c r="G112"/>
      <c r="H112"/>
    </row>
    <row r="113" spans="2:8" ht="16.5" x14ac:dyDescent="0.3">
      <c r="B113"/>
      <c r="C113"/>
      <c r="D113"/>
      <c r="E113"/>
      <c r="F113"/>
      <c r="G113"/>
      <c r="H113"/>
    </row>
    <row r="114" spans="2:8" ht="16.5" x14ac:dyDescent="0.3">
      <c r="B114"/>
      <c r="C114"/>
      <c r="D114"/>
      <c r="E114"/>
      <c r="F114"/>
      <c r="G114"/>
      <c r="H114"/>
    </row>
    <row r="115" spans="2:8" ht="16.5" x14ac:dyDescent="0.3">
      <c r="B115"/>
      <c r="C115"/>
      <c r="D115"/>
      <c r="E115"/>
      <c r="F115"/>
      <c r="G115"/>
      <c r="H115"/>
    </row>
    <row r="116" spans="2:8" ht="16.5" x14ac:dyDescent="0.3">
      <c r="B116"/>
      <c r="C116"/>
      <c r="D116"/>
      <c r="E116"/>
      <c r="F116"/>
      <c r="G116"/>
      <c r="H116"/>
    </row>
    <row r="117" spans="2:8" ht="16.5" x14ac:dyDescent="0.3">
      <c r="B117"/>
      <c r="C117"/>
      <c r="D117"/>
      <c r="E117"/>
      <c r="F117"/>
      <c r="G117"/>
      <c r="H117"/>
    </row>
    <row r="118" spans="2:8" ht="16.5" x14ac:dyDescent="0.3">
      <c r="B118"/>
      <c r="C118"/>
      <c r="D118"/>
      <c r="E118"/>
      <c r="F118"/>
      <c r="G118"/>
      <c r="H118"/>
    </row>
    <row r="119" spans="2:8" ht="16.5" x14ac:dyDescent="0.3">
      <c r="B119"/>
      <c r="C119"/>
      <c r="D119"/>
      <c r="E119"/>
      <c r="F119"/>
      <c r="G119"/>
      <c r="H119"/>
    </row>
    <row r="120" spans="2:8" ht="16.5" x14ac:dyDescent="0.3">
      <c r="B120"/>
      <c r="C120"/>
      <c r="D120"/>
      <c r="E120"/>
      <c r="F120"/>
      <c r="G120"/>
      <c r="H120"/>
    </row>
    <row r="121" spans="2:8" ht="16.5" x14ac:dyDescent="0.3">
      <c r="B121"/>
      <c r="C121"/>
      <c r="D121"/>
      <c r="E121"/>
      <c r="F121"/>
      <c r="G121"/>
      <c r="H121"/>
    </row>
    <row r="122" spans="2:8" ht="16.5" x14ac:dyDescent="0.3">
      <c r="B122"/>
      <c r="C122"/>
      <c r="D122"/>
      <c r="E122"/>
      <c r="F122"/>
      <c r="G122"/>
      <c r="H122"/>
    </row>
    <row r="123" spans="2:8" ht="16.5" x14ac:dyDescent="0.3">
      <c r="B123"/>
      <c r="C123"/>
      <c r="D123"/>
      <c r="E123"/>
      <c r="F123"/>
      <c r="G123"/>
      <c r="H123"/>
    </row>
    <row r="124" spans="2:8" ht="16.5" x14ac:dyDescent="0.3">
      <c r="B124"/>
      <c r="C124"/>
      <c r="D124"/>
      <c r="E124"/>
      <c r="F124"/>
      <c r="G124"/>
      <c r="H124"/>
    </row>
    <row r="125" spans="2:8" ht="16.5" x14ac:dyDescent="0.3">
      <c r="B125"/>
      <c r="C125"/>
      <c r="D125"/>
      <c r="E125"/>
      <c r="F125"/>
      <c r="G125"/>
      <c r="H125"/>
    </row>
    <row r="126" spans="2:8" ht="16.5" x14ac:dyDescent="0.3">
      <c r="B126"/>
      <c r="C126"/>
      <c r="D126"/>
      <c r="E126"/>
      <c r="F126"/>
      <c r="G126"/>
      <c r="H126"/>
    </row>
    <row r="127" spans="2:8" ht="16.5" x14ac:dyDescent="0.3">
      <c r="B127"/>
      <c r="C127"/>
      <c r="D127"/>
      <c r="E127"/>
      <c r="F127"/>
      <c r="G127"/>
      <c r="H127"/>
    </row>
    <row r="128" spans="2:8" ht="16.5" x14ac:dyDescent="0.3">
      <c r="B128"/>
      <c r="C128"/>
      <c r="D128"/>
      <c r="E128"/>
      <c r="F128"/>
      <c r="G128"/>
      <c r="H128"/>
    </row>
    <row r="129" spans="2:8" ht="16.5" x14ac:dyDescent="0.3">
      <c r="B129"/>
      <c r="C129"/>
      <c r="D129"/>
      <c r="E129"/>
      <c r="F129"/>
      <c r="G129"/>
      <c r="H129"/>
    </row>
    <row r="130" spans="2:8" ht="16.5" x14ac:dyDescent="0.3">
      <c r="B130"/>
      <c r="C130"/>
      <c r="D130"/>
      <c r="E130"/>
      <c r="F130"/>
      <c r="G130"/>
      <c r="H130"/>
    </row>
    <row r="131" spans="2:8" ht="16.5" x14ac:dyDescent="0.3">
      <c r="B131"/>
      <c r="C131"/>
      <c r="D131"/>
      <c r="E131"/>
      <c r="F131"/>
      <c r="G131"/>
      <c r="H131"/>
    </row>
    <row r="132" spans="2:8" ht="16.5" x14ac:dyDescent="0.3">
      <c r="B132"/>
      <c r="C132"/>
      <c r="D132"/>
      <c r="E132"/>
      <c r="F132"/>
      <c r="G132"/>
      <c r="H132"/>
    </row>
    <row r="133" spans="2:8" ht="16.5" x14ac:dyDescent="0.3">
      <c r="B133"/>
      <c r="C133"/>
      <c r="D133"/>
      <c r="E133"/>
      <c r="F133"/>
      <c r="G133"/>
      <c r="H133"/>
    </row>
    <row r="134" spans="2:8" ht="16.5" x14ac:dyDescent="0.3">
      <c r="B134"/>
      <c r="C134"/>
      <c r="D134"/>
      <c r="E134"/>
      <c r="F134"/>
      <c r="G134"/>
      <c r="H134"/>
    </row>
    <row r="135" spans="2:8" ht="16.5" x14ac:dyDescent="0.3">
      <c r="B135"/>
      <c r="C135"/>
      <c r="D135"/>
      <c r="E135"/>
      <c r="F135"/>
      <c r="G135"/>
      <c r="H135"/>
    </row>
    <row r="136" spans="2:8" ht="16.5" x14ac:dyDescent="0.3">
      <c r="B136"/>
      <c r="C136"/>
      <c r="D136"/>
      <c r="E136"/>
      <c r="F136"/>
      <c r="G136"/>
      <c r="H136"/>
    </row>
    <row r="137" spans="2:8" ht="16.5" x14ac:dyDescent="0.3">
      <c r="B137"/>
      <c r="C137"/>
      <c r="D137"/>
      <c r="E137"/>
      <c r="F137"/>
      <c r="G137"/>
      <c r="H137"/>
    </row>
    <row r="138" spans="2:8" ht="16.5" x14ac:dyDescent="0.3">
      <c r="B138"/>
      <c r="C138"/>
      <c r="D138"/>
      <c r="E138"/>
      <c r="F138"/>
      <c r="G138"/>
      <c r="H138"/>
    </row>
    <row r="139" spans="2:8" ht="16.5" x14ac:dyDescent="0.3">
      <c r="B139"/>
      <c r="C139"/>
      <c r="D139"/>
      <c r="E139"/>
      <c r="F139"/>
      <c r="G139"/>
      <c r="H139"/>
    </row>
    <row r="140" spans="2:8" ht="16.5" x14ac:dyDescent="0.3">
      <c r="B140"/>
      <c r="C140"/>
      <c r="D140"/>
      <c r="E140"/>
      <c r="F140"/>
      <c r="G140"/>
      <c r="H140"/>
    </row>
    <row r="141" spans="2:8" ht="16.5" x14ac:dyDescent="0.3">
      <c r="B141"/>
      <c r="C141"/>
      <c r="D141"/>
      <c r="E141"/>
      <c r="F141"/>
      <c r="G141"/>
      <c r="H141"/>
    </row>
    <row r="142" spans="2:8" ht="16.5" x14ac:dyDescent="0.3">
      <c r="B142"/>
      <c r="C142"/>
      <c r="D142"/>
      <c r="E142"/>
      <c r="F142"/>
      <c r="G142"/>
      <c r="H142"/>
    </row>
    <row r="143" spans="2:8" ht="16.5" x14ac:dyDescent="0.3">
      <c r="B143"/>
      <c r="C143"/>
      <c r="D143"/>
      <c r="E143"/>
      <c r="F143"/>
      <c r="G143"/>
      <c r="H143"/>
    </row>
    <row r="144" spans="2:8" ht="16.5" x14ac:dyDescent="0.3">
      <c r="B144"/>
      <c r="C144"/>
      <c r="D144"/>
      <c r="E144"/>
      <c r="F144"/>
      <c r="G144"/>
      <c r="H144"/>
    </row>
    <row r="145" spans="2:8" ht="16.5" x14ac:dyDescent="0.3">
      <c r="B145"/>
      <c r="C145"/>
      <c r="D145"/>
      <c r="E145"/>
      <c r="F145"/>
      <c r="G145"/>
      <c r="H145"/>
    </row>
    <row r="146" spans="2:8" ht="16.5" x14ac:dyDescent="0.3">
      <c r="B146"/>
      <c r="C146"/>
      <c r="D146"/>
      <c r="E146"/>
      <c r="F146"/>
      <c r="G146"/>
      <c r="H146"/>
    </row>
    <row r="147" spans="2:8" ht="16.5" x14ac:dyDescent="0.3">
      <c r="B147"/>
      <c r="C147"/>
      <c r="D147"/>
      <c r="E147"/>
      <c r="F147"/>
      <c r="G147"/>
      <c r="H147"/>
    </row>
    <row r="148" spans="2:8" ht="16.5" x14ac:dyDescent="0.3">
      <c r="B148"/>
      <c r="C148"/>
      <c r="D148"/>
      <c r="E148"/>
      <c r="F148"/>
      <c r="G148"/>
      <c r="H148"/>
    </row>
    <row r="149" spans="2:8" ht="16.5" x14ac:dyDescent="0.3">
      <c r="B149"/>
      <c r="C149"/>
      <c r="D149"/>
      <c r="E149"/>
      <c r="F149"/>
      <c r="G149"/>
      <c r="H149"/>
    </row>
    <row r="150" spans="2:8" ht="16.5" x14ac:dyDescent="0.3">
      <c r="B150"/>
      <c r="C150"/>
      <c r="D150"/>
      <c r="E150"/>
      <c r="F150"/>
      <c r="G150"/>
      <c r="H150"/>
    </row>
    <row r="151" spans="2:8" ht="16.5" x14ac:dyDescent="0.3">
      <c r="B151"/>
      <c r="C151"/>
      <c r="D151"/>
      <c r="E151"/>
      <c r="F151"/>
      <c r="G151"/>
      <c r="H151"/>
    </row>
    <row r="152" spans="2:8" ht="16.5" x14ac:dyDescent="0.3">
      <c r="B152"/>
      <c r="C152"/>
      <c r="D152"/>
      <c r="E152"/>
      <c r="F152"/>
      <c r="G152"/>
      <c r="H152"/>
    </row>
    <row r="153" spans="2:8" ht="16.5" x14ac:dyDescent="0.3">
      <c r="B153"/>
      <c r="C153"/>
      <c r="D153"/>
      <c r="E153"/>
      <c r="F153"/>
      <c r="G153"/>
      <c r="H153"/>
    </row>
    <row r="154" spans="2:8" ht="16.5" x14ac:dyDescent="0.3">
      <c r="B154"/>
      <c r="C154"/>
      <c r="D154"/>
      <c r="E154"/>
      <c r="F154"/>
      <c r="G154"/>
      <c r="H154"/>
    </row>
    <row r="155" spans="2:8" ht="16.5" x14ac:dyDescent="0.3">
      <c r="B155"/>
      <c r="C155"/>
      <c r="D155"/>
      <c r="E155"/>
      <c r="F155"/>
      <c r="G155"/>
      <c r="H155"/>
    </row>
    <row r="156" spans="2:8" ht="16.5" x14ac:dyDescent="0.3">
      <c r="B156"/>
      <c r="C156"/>
      <c r="D156"/>
      <c r="E156"/>
      <c r="F156"/>
      <c r="G156"/>
      <c r="H156"/>
    </row>
    <row r="157" spans="2:8" ht="16.5" x14ac:dyDescent="0.3">
      <c r="B157"/>
      <c r="C157"/>
      <c r="D157"/>
      <c r="E157"/>
      <c r="F157"/>
      <c r="G157"/>
      <c r="H157"/>
    </row>
    <row r="158" spans="2:8" ht="16.5" x14ac:dyDescent="0.3">
      <c r="B158"/>
      <c r="C158"/>
      <c r="D158"/>
      <c r="E158"/>
      <c r="F158"/>
      <c r="G158"/>
      <c r="H158"/>
    </row>
    <row r="159" spans="2:8" ht="16.5" x14ac:dyDescent="0.3">
      <c r="B159"/>
      <c r="C159"/>
      <c r="D159"/>
      <c r="E159"/>
      <c r="F159"/>
      <c r="G159"/>
      <c r="H159"/>
    </row>
    <row r="160" spans="2:8" ht="16.5" x14ac:dyDescent="0.3">
      <c r="B160"/>
      <c r="C160"/>
      <c r="D160"/>
      <c r="E160"/>
      <c r="F160"/>
      <c r="G160"/>
      <c r="H160"/>
    </row>
    <row r="161" spans="2:8" ht="16.5" x14ac:dyDescent="0.3">
      <c r="B161"/>
      <c r="C161"/>
      <c r="D161"/>
      <c r="E161"/>
      <c r="F161"/>
      <c r="G161"/>
      <c r="H161"/>
    </row>
    <row r="162" spans="2:8" ht="16.5" x14ac:dyDescent="0.3">
      <c r="B162"/>
      <c r="C162"/>
      <c r="D162"/>
      <c r="E162"/>
      <c r="F162"/>
      <c r="G162"/>
      <c r="H162"/>
    </row>
    <row r="163" spans="2:8" ht="16.5" x14ac:dyDescent="0.3">
      <c r="B163"/>
      <c r="C163"/>
      <c r="D163"/>
      <c r="E163"/>
      <c r="F163"/>
      <c r="G163"/>
      <c r="H163"/>
    </row>
    <row r="164" spans="2:8" ht="16.5" x14ac:dyDescent="0.3">
      <c r="B164"/>
      <c r="C164"/>
      <c r="D164"/>
      <c r="E164"/>
      <c r="F164"/>
      <c r="G164"/>
      <c r="H164"/>
    </row>
    <row r="165" spans="2:8" ht="16.5" x14ac:dyDescent="0.3">
      <c r="B165"/>
      <c r="C165"/>
      <c r="D165"/>
      <c r="E165"/>
      <c r="F165"/>
      <c r="G165"/>
      <c r="H165"/>
    </row>
    <row r="166" spans="2:8" ht="16.5" x14ac:dyDescent="0.3">
      <c r="B166"/>
      <c r="C166"/>
      <c r="D166"/>
      <c r="E166"/>
      <c r="F166"/>
      <c r="G166"/>
      <c r="H166"/>
    </row>
    <row r="167" spans="2:8" ht="16.5" x14ac:dyDescent="0.3">
      <c r="B167"/>
      <c r="C167"/>
      <c r="D167"/>
      <c r="E167"/>
      <c r="F167"/>
      <c r="G167"/>
      <c r="H167"/>
    </row>
    <row r="168" spans="2:8" ht="16.5" x14ac:dyDescent="0.3">
      <c r="B168"/>
      <c r="C168"/>
      <c r="D168"/>
      <c r="E168"/>
      <c r="F168"/>
      <c r="G168"/>
      <c r="H168"/>
    </row>
    <row r="169" spans="2:8" ht="16.5" x14ac:dyDescent="0.3">
      <c r="B169"/>
      <c r="C169"/>
      <c r="D169"/>
      <c r="E169"/>
      <c r="F169"/>
      <c r="G169"/>
      <c r="H169"/>
    </row>
    <row r="170" spans="2:8" ht="16.5" x14ac:dyDescent="0.3">
      <c r="B170"/>
      <c r="C170"/>
      <c r="D170"/>
      <c r="E170"/>
      <c r="F170"/>
      <c r="G170"/>
      <c r="H170"/>
    </row>
    <row r="171" spans="2:8" ht="16.5" x14ac:dyDescent="0.3">
      <c r="B171"/>
      <c r="C171"/>
      <c r="D171"/>
      <c r="E171"/>
      <c r="F171"/>
      <c r="G171"/>
      <c r="H171"/>
    </row>
    <row r="172" spans="2:8" ht="16.5" x14ac:dyDescent="0.3">
      <c r="B172"/>
      <c r="C172"/>
      <c r="D172"/>
      <c r="E172"/>
      <c r="F172"/>
      <c r="G172"/>
      <c r="H172"/>
    </row>
    <row r="173" spans="2:8" ht="16.5" x14ac:dyDescent="0.3">
      <c r="B173"/>
      <c r="C173"/>
      <c r="D173"/>
      <c r="E173"/>
      <c r="F173"/>
      <c r="G173"/>
      <c r="H173"/>
    </row>
    <row r="174" spans="2:8" ht="16.5" x14ac:dyDescent="0.3">
      <c r="B174"/>
      <c r="C174"/>
      <c r="D174"/>
      <c r="E174"/>
      <c r="F174"/>
      <c r="G174"/>
      <c r="H174"/>
    </row>
    <row r="175" spans="2:8" ht="16.5" x14ac:dyDescent="0.3">
      <c r="B175"/>
      <c r="C175"/>
      <c r="D175"/>
      <c r="E175"/>
      <c r="F175"/>
      <c r="G175"/>
      <c r="H175"/>
    </row>
    <row r="176" spans="2:8" ht="16.5" x14ac:dyDescent="0.3">
      <c r="B176"/>
      <c r="C176"/>
      <c r="D176"/>
      <c r="E176"/>
      <c r="F176"/>
      <c r="G176"/>
      <c r="H176"/>
    </row>
    <row r="177" spans="2:8" ht="16.5" x14ac:dyDescent="0.3">
      <c r="B177"/>
      <c r="C177"/>
      <c r="D177"/>
      <c r="E177"/>
      <c r="F177"/>
      <c r="G177"/>
      <c r="H177"/>
    </row>
    <row r="178" spans="2:8" ht="16.5" x14ac:dyDescent="0.3">
      <c r="B178"/>
      <c r="C178"/>
      <c r="D178"/>
      <c r="E178"/>
      <c r="F178"/>
      <c r="G178"/>
      <c r="H178"/>
    </row>
    <row r="179" spans="2:8" ht="16.5" x14ac:dyDescent="0.3">
      <c r="B179"/>
      <c r="C179"/>
      <c r="D179"/>
      <c r="E179"/>
      <c r="F179"/>
      <c r="G179"/>
      <c r="H179"/>
    </row>
    <row r="180" spans="2:8" ht="16.5" x14ac:dyDescent="0.3">
      <c r="B180"/>
      <c r="C180"/>
      <c r="D180"/>
      <c r="E180"/>
      <c r="F180"/>
      <c r="G180"/>
      <c r="H180"/>
    </row>
    <row r="181" spans="2:8" ht="16.5" x14ac:dyDescent="0.3">
      <c r="B181"/>
      <c r="C181"/>
      <c r="D181"/>
      <c r="E181"/>
      <c r="F181"/>
      <c r="G181"/>
      <c r="H181"/>
    </row>
    <row r="182" spans="2:8" ht="16.5" x14ac:dyDescent="0.3">
      <c r="B182"/>
      <c r="C182"/>
      <c r="D182"/>
      <c r="E182"/>
      <c r="F182"/>
      <c r="G182"/>
      <c r="H182"/>
    </row>
    <row r="183" spans="2:8" ht="16.5" x14ac:dyDescent="0.3">
      <c r="B183"/>
      <c r="C183"/>
      <c r="D183"/>
      <c r="E183"/>
      <c r="F183"/>
      <c r="G183"/>
      <c r="H183"/>
    </row>
    <row r="184" spans="2:8" ht="16.5" x14ac:dyDescent="0.3">
      <c r="B184"/>
      <c r="C184"/>
      <c r="D184"/>
      <c r="E184"/>
      <c r="F184"/>
      <c r="G184"/>
      <c r="H184"/>
    </row>
    <row r="185" spans="2:8" ht="16.5" x14ac:dyDescent="0.3">
      <c r="B185"/>
      <c r="C185"/>
      <c r="D185"/>
      <c r="E185"/>
      <c r="F185"/>
      <c r="G185"/>
      <c r="H185"/>
    </row>
    <row r="186" spans="2:8" ht="16.5" x14ac:dyDescent="0.3">
      <c r="B186"/>
      <c r="C186"/>
      <c r="D186"/>
      <c r="E186"/>
      <c r="F186"/>
      <c r="G186"/>
      <c r="H186"/>
    </row>
    <row r="187" spans="2:8" ht="16.5" x14ac:dyDescent="0.3">
      <c r="B187"/>
      <c r="C187"/>
      <c r="D187"/>
      <c r="E187"/>
      <c r="F187"/>
      <c r="G187"/>
      <c r="H187"/>
    </row>
    <row r="188" spans="2:8" ht="16.5" x14ac:dyDescent="0.3">
      <c r="B188"/>
      <c r="C188"/>
      <c r="D188"/>
      <c r="E188"/>
      <c r="F188"/>
      <c r="G188"/>
      <c r="H188"/>
    </row>
    <row r="189" spans="2:8" ht="16.5" x14ac:dyDescent="0.3">
      <c r="B189"/>
      <c r="C189"/>
      <c r="D189"/>
      <c r="E189"/>
      <c r="F189"/>
      <c r="G189"/>
      <c r="H189"/>
    </row>
    <row r="190" spans="2:8" ht="16.5" x14ac:dyDescent="0.3">
      <c r="B190"/>
      <c r="C190"/>
      <c r="D190"/>
      <c r="E190"/>
      <c r="F190"/>
      <c r="G190"/>
      <c r="H190"/>
    </row>
    <row r="191" spans="2:8" ht="16.5" x14ac:dyDescent="0.3">
      <c r="B191"/>
      <c r="C191"/>
      <c r="D191"/>
      <c r="E191"/>
      <c r="F191"/>
      <c r="G191"/>
      <c r="H191"/>
    </row>
    <row r="192" spans="2:8" ht="16.5" x14ac:dyDescent="0.3">
      <c r="B192"/>
      <c r="C192"/>
      <c r="D192"/>
      <c r="E192"/>
      <c r="F192"/>
      <c r="G192"/>
      <c r="H192"/>
    </row>
    <row r="193" spans="2:8" ht="16.5" x14ac:dyDescent="0.3">
      <c r="B193"/>
      <c r="C193"/>
      <c r="D193"/>
      <c r="E193"/>
      <c r="F193"/>
      <c r="G193"/>
      <c r="H193"/>
    </row>
    <row r="194" spans="2:8" ht="16.5" x14ac:dyDescent="0.3">
      <c r="B194"/>
      <c r="C194"/>
      <c r="D194"/>
      <c r="E194"/>
      <c r="F194"/>
      <c r="G194"/>
      <c r="H194"/>
    </row>
    <row r="195" spans="2:8" ht="16.5" x14ac:dyDescent="0.3">
      <c r="B195"/>
      <c r="C195"/>
      <c r="D195"/>
      <c r="E195"/>
      <c r="F195"/>
      <c r="G195"/>
      <c r="H195"/>
    </row>
    <row r="196" spans="2:8" ht="16.5" x14ac:dyDescent="0.3">
      <c r="B196"/>
      <c r="C196"/>
      <c r="D196"/>
      <c r="E196"/>
      <c r="F196"/>
      <c r="G196"/>
      <c r="H196"/>
    </row>
    <row r="197" spans="2:8" ht="16.5" x14ac:dyDescent="0.3">
      <c r="B197"/>
      <c r="C197"/>
      <c r="D197"/>
      <c r="E197"/>
      <c r="F197"/>
      <c r="G197"/>
      <c r="H197"/>
    </row>
    <row r="198" spans="2:8" ht="16.5" x14ac:dyDescent="0.3">
      <c r="B198"/>
      <c r="C198"/>
      <c r="D198"/>
      <c r="E198"/>
      <c r="F198"/>
      <c r="G198"/>
      <c r="H198"/>
    </row>
    <row r="199" spans="2:8" ht="16.5" x14ac:dyDescent="0.3">
      <c r="B199"/>
      <c r="C199"/>
      <c r="D199"/>
      <c r="E199"/>
      <c r="F199"/>
      <c r="G199"/>
      <c r="H199"/>
    </row>
    <row r="200" spans="2:8" ht="16.5" x14ac:dyDescent="0.3">
      <c r="B200"/>
      <c r="C200"/>
      <c r="D200"/>
      <c r="E200"/>
      <c r="F200"/>
      <c r="G200"/>
      <c r="H200"/>
    </row>
    <row r="201" spans="2:8" ht="16.5" x14ac:dyDescent="0.3">
      <c r="B201"/>
      <c r="C201"/>
      <c r="D201"/>
      <c r="E201"/>
      <c r="F201"/>
      <c r="G201"/>
      <c r="H201"/>
    </row>
    <row r="202" spans="2:8" ht="16.5" x14ac:dyDescent="0.3">
      <c r="B202"/>
      <c r="C202"/>
      <c r="D202"/>
      <c r="E202"/>
      <c r="F202"/>
      <c r="G202"/>
      <c r="H202"/>
    </row>
    <row r="203" spans="2:8" ht="16.5" x14ac:dyDescent="0.3">
      <c r="B203"/>
      <c r="C203"/>
      <c r="D203"/>
      <c r="E203"/>
      <c r="F203"/>
      <c r="G203"/>
      <c r="H203"/>
    </row>
    <row r="204" spans="2:8" ht="16.5" x14ac:dyDescent="0.3">
      <c r="B204"/>
      <c r="C204"/>
      <c r="D204"/>
      <c r="E204"/>
      <c r="F204"/>
      <c r="G204"/>
      <c r="H204"/>
    </row>
    <row r="205" spans="2:8" ht="16.5" x14ac:dyDescent="0.3">
      <c r="B205"/>
      <c r="C205"/>
      <c r="D205"/>
      <c r="E205"/>
      <c r="F205"/>
      <c r="G205"/>
      <c r="H205"/>
    </row>
    <row r="206" spans="2:8" ht="16.5" x14ac:dyDescent="0.3">
      <c r="B206"/>
      <c r="C206"/>
      <c r="D206"/>
      <c r="E206"/>
      <c r="F206"/>
      <c r="G206"/>
      <c r="H206"/>
    </row>
    <row r="207" spans="2:8" ht="16.5" x14ac:dyDescent="0.3">
      <c r="B207"/>
      <c r="C207"/>
      <c r="D207"/>
      <c r="E207"/>
      <c r="F207"/>
      <c r="G207"/>
      <c r="H207"/>
    </row>
    <row r="208" spans="2:8" ht="16.5" x14ac:dyDescent="0.3">
      <c r="B208"/>
      <c r="C208"/>
      <c r="D208"/>
      <c r="E208"/>
      <c r="F208"/>
      <c r="G208"/>
      <c r="H208"/>
    </row>
    <row r="209" spans="2:8" ht="16.5" x14ac:dyDescent="0.3">
      <c r="B209"/>
      <c r="C209"/>
      <c r="D209"/>
      <c r="E209"/>
      <c r="F209"/>
      <c r="G209"/>
      <c r="H209"/>
    </row>
    <row r="210" spans="2:8" ht="16.5" x14ac:dyDescent="0.3">
      <c r="B210"/>
      <c r="C210"/>
      <c r="D210"/>
      <c r="E210"/>
      <c r="F210"/>
      <c r="G210"/>
      <c r="H210"/>
    </row>
    <row r="211" spans="2:8" ht="16.5" x14ac:dyDescent="0.3">
      <c r="B211"/>
      <c r="C211"/>
      <c r="D211"/>
      <c r="E211"/>
      <c r="F211"/>
      <c r="G211"/>
      <c r="H211"/>
    </row>
    <row r="212" spans="2:8" ht="16.5" x14ac:dyDescent="0.3">
      <c r="B212"/>
      <c r="C212"/>
      <c r="D212"/>
      <c r="E212"/>
      <c r="F212"/>
      <c r="G212"/>
      <c r="H212"/>
    </row>
    <row r="213" spans="2:8" ht="16.5" x14ac:dyDescent="0.3">
      <c r="B213"/>
      <c r="C213"/>
      <c r="D213"/>
      <c r="E213"/>
      <c r="F213"/>
      <c r="G213"/>
      <c r="H213"/>
    </row>
    <row r="214" spans="2:8" ht="16.5" x14ac:dyDescent="0.3">
      <c r="B214"/>
      <c r="C214"/>
      <c r="D214"/>
      <c r="E214"/>
      <c r="F214"/>
      <c r="G214"/>
      <c r="H214"/>
    </row>
    <row r="215" spans="2:8" ht="16.5" x14ac:dyDescent="0.3">
      <c r="B215"/>
      <c r="C215"/>
      <c r="D215"/>
      <c r="E215"/>
      <c r="F215"/>
      <c r="G215"/>
      <c r="H215"/>
    </row>
    <row r="216" spans="2:8" ht="16.5" x14ac:dyDescent="0.3">
      <c r="B216"/>
      <c r="C216"/>
      <c r="D216"/>
      <c r="E216"/>
      <c r="F216"/>
      <c r="G216"/>
      <c r="H216"/>
    </row>
    <row r="217" spans="2:8" ht="16.5" x14ac:dyDescent="0.3">
      <c r="B217"/>
      <c r="C217"/>
      <c r="D217"/>
      <c r="E217"/>
      <c r="F217"/>
      <c r="G217"/>
      <c r="H217"/>
    </row>
    <row r="218" spans="2:8" ht="16.5" x14ac:dyDescent="0.3">
      <c r="B218"/>
      <c r="C218"/>
      <c r="D218"/>
      <c r="E218"/>
      <c r="F218"/>
      <c r="G218"/>
      <c r="H218"/>
    </row>
    <row r="219" spans="2:8" ht="16.5" x14ac:dyDescent="0.3">
      <c r="B219"/>
      <c r="C219"/>
      <c r="D219"/>
      <c r="E219"/>
      <c r="F219"/>
      <c r="G219"/>
      <c r="H219"/>
    </row>
    <row r="220" spans="2:8" ht="16.5" x14ac:dyDescent="0.3">
      <c r="B220"/>
      <c r="C220"/>
      <c r="D220"/>
      <c r="E220"/>
      <c r="F220"/>
      <c r="G220"/>
      <c r="H220"/>
    </row>
    <row r="221" spans="2:8" ht="16.5" x14ac:dyDescent="0.3">
      <c r="B221"/>
      <c r="C221"/>
      <c r="D221"/>
      <c r="E221"/>
      <c r="F221"/>
      <c r="G221"/>
      <c r="H221"/>
    </row>
    <row r="222" spans="2:8" ht="16.5" x14ac:dyDescent="0.3">
      <c r="B222"/>
      <c r="C222"/>
      <c r="D222"/>
      <c r="E222"/>
      <c r="F222"/>
      <c r="G222"/>
      <c r="H222"/>
    </row>
    <row r="223" spans="2:8" ht="16.5" x14ac:dyDescent="0.3">
      <c r="B223"/>
      <c r="C223"/>
      <c r="D223"/>
      <c r="E223"/>
      <c r="F223"/>
      <c r="G223"/>
      <c r="H223"/>
    </row>
    <row r="224" spans="2:8" ht="16.5" x14ac:dyDescent="0.3">
      <c r="B224"/>
      <c r="C224"/>
      <c r="D224"/>
      <c r="E224"/>
      <c r="F224"/>
      <c r="G224"/>
      <c r="H224"/>
    </row>
    <row r="225" spans="2:8" ht="16.5" x14ac:dyDescent="0.3">
      <c r="B225"/>
      <c r="C225"/>
      <c r="D225"/>
      <c r="E225"/>
      <c r="F225"/>
      <c r="G225"/>
      <c r="H225"/>
    </row>
    <row r="226" spans="2:8" ht="16.5" x14ac:dyDescent="0.3">
      <c r="B226"/>
      <c r="C226"/>
      <c r="D226"/>
      <c r="E226"/>
      <c r="F226"/>
      <c r="G226"/>
      <c r="H226"/>
    </row>
    <row r="227" spans="2:8" ht="16.5" x14ac:dyDescent="0.3">
      <c r="B227"/>
      <c r="C227"/>
      <c r="D227"/>
      <c r="E227"/>
      <c r="F227"/>
      <c r="G227"/>
      <c r="H227"/>
    </row>
    <row r="228" spans="2:8" ht="16.5" x14ac:dyDescent="0.3">
      <c r="B228"/>
      <c r="C228"/>
      <c r="D228"/>
      <c r="E228"/>
      <c r="F228"/>
      <c r="G228"/>
      <c r="H228"/>
    </row>
    <row r="229" spans="2:8" ht="16.5" x14ac:dyDescent="0.3">
      <c r="B229"/>
      <c r="C229"/>
      <c r="D229"/>
      <c r="E229"/>
      <c r="F229"/>
      <c r="G229"/>
      <c r="H229"/>
    </row>
    <row r="230" spans="2:8" ht="16.5" x14ac:dyDescent="0.3">
      <c r="B230"/>
      <c r="C230"/>
      <c r="D230"/>
      <c r="E230"/>
      <c r="F230"/>
      <c r="G230"/>
      <c r="H230"/>
    </row>
    <row r="231" spans="2:8" ht="16.5" x14ac:dyDescent="0.3">
      <c r="B231"/>
      <c r="C231"/>
      <c r="D231"/>
      <c r="E231"/>
      <c r="F231"/>
      <c r="G231"/>
      <c r="H231"/>
    </row>
    <row r="232" spans="2:8" ht="16.5" x14ac:dyDescent="0.3">
      <c r="B232"/>
      <c r="C232"/>
      <c r="D232"/>
      <c r="E232"/>
      <c r="F232"/>
      <c r="G232"/>
      <c r="H232"/>
    </row>
    <row r="233" spans="2:8" ht="16.5" x14ac:dyDescent="0.3">
      <c r="B233"/>
      <c r="C233"/>
      <c r="D233"/>
      <c r="E233"/>
      <c r="F233"/>
      <c r="G233"/>
      <c r="H233"/>
    </row>
    <row r="234" spans="2:8" ht="16.5" x14ac:dyDescent="0.3">
      <c r="B234"/>
      <c r="C234"/>
      <c r="D234"/>
      <c r="E234"/>
      <c r="F234"/>
      <c r="G234"/>
      <c r="H234"/>
    </row>
    <row r="235" spans="2:8" ht="16.5" x14ac:dyDescent="0.3">
      <c r="B235"/>
      <c r="C235"/>
      <c r="D235"/>
      <c r="E235"/>
      <c r="F235"/>
      <c r="G235"/>
      <c r="H235"/>
    </row>
    <row r="236" spans="2:8" ht="16.5" x14ac:dyDescent="0.3">
      <c r="B236"/>
      <c r="C236"/>
      <c r="D236"/>
      <c r="E236"/>
      <c r="F236"/>
      <c r="G236"/>
      <c r="H236"/>
    </row>
    <row r="237" spans="2:8" ht="16.5" x14ac:dyDescent="0.3">
      <c r="B237"/>
      <c r="C237"/>
      <c r="D237"/>
      <c r="E237"/>
      <c r="F237"/>
      <c r="G237"/>
      <c r="H237"/>
    </row>
    <row r="238" spans="2:8" ht="16.5" x14ac:dyDescent="0.3">
      <c r="B238"/>
      <c r="C238"/>
      <c r="D238"/>
      <c r="E238"/>
      <c r="F238"/>
      <c r="G238"/>
      <c r="H238"/>
    </row>
    <row r="239" spans="2:8" ht="16.5" x14ac:dyDescent="0.3">
      <c r="B239"/>
      <c r="C239"/>
      <c r="D239"/>
      <c r="E239"/>
      <c r="F239"/>
      <c r="G239"/>
      <c r="H239"/>
    </row>
    <row r="240" spans="2:8" ht="16.5" x14ac:dyDescent="0.3">
      <c r="B240"/>
      <c r="C240"/>
      <c r="D240"/>
      <c r="E240"/>
      <c r="F240"/>
      <c r="G240"/>
      <c r="H240"/>
    </row>
    <row r="241" spans="2:8" ht="16.5" x14ac:dyDescent="0.3">
      <c r="B241"/>
      <c r="C241"/>
      <c r="D241"/>
      <c r="E241"/>
      <c r="F241"/>
      <c r="G241"/>
      <c r="H241"/>
    </row>
    <row r="242" spans="2:8" ht="16.5" x14ac:dyDescent="0.3">
      <c r="B242"/>
      <c r="C242"/>
      <c r="D242"/>
      <c r="E242"/>
      <c r="F242"/>
      <c r="G242"/>
      <c r="H242"/>
    </row>
    <row r="243" spans="2:8" ht="16.5" x14ac:dyDescent="0.3">
      <c r="B243"/>
      <c r="C243"/>
      <c r="D243"/>
      <c r="E243"/>
      <c r="F243"/>
      <c r="G243"/>
      <c r="H243"/>
    </row>
    <row r="244" spans="2:8" ht="16.5" x14ac:dyDescent="0.3">
      <c r="B244"/>
      <c r="C244"/>
      <c r="D244"/>
      <c r="E244"/>
      <c r="F244"/>
      <c r="G244"/>
      <c r="H244"/>
    </row>
    <row r="245" spans="2:8" ht="16.5" x14ac:dyDescent="0.3">
      <c r="B245"/>
      <c r="C245"/>
      <c r="D245"/>
      <c r="E245"/>
      <c r="F245"/>
      <c r="G245"/>
      <c r="H245"/>
    </row>
    <row r="246" spans="2:8" ht="16.5" x14ac:dyDescent="0.3">
      <c r="B246"/>
      <c r="C246"/>
      <c r="D246"/>
      <c r="E246"/>
      <c r="F246"/>
      <c r="G246"/>
      <c r="H246"/>
    </row>
    <row r="247" spans="2:8" ht="16.5" x14ac:dyDescent="0.3">
      <c r="B247"/>
      <c r="C247"/>
      <c r="D247"/>
      <c r="E247"/>
      <c r="F247"/>
      <c r="G247"/>
      <c r="H247"/>
    </row>
    <row r="248" spans="2:8" ht="16.5" x14ac:dyDescent="0.3">
      <c r="B248"/>
      <c r="C248"/>
      <c r="D248"/>
      <c r="E248"/>
      <c r="F248"/>
      <c r="G248"/>
      <c r="H248"/>
    </row>
    <row r="249" spans="2:8" ht="16.5" x14ac:dyDescent="0.3">
      <c r="B249"/>
      <c r="C249"/>
      <c r="D249"/>
      <c r="E249"/>
      <c r="F249"/>
      <c r="G249"/>
      <c r="H249"/>
    </row>
    <row r="250" spans="2:8" ht="16.5" x14ac:dyDescent="0.3">
      <c r="B250"/>
      <c r="C250"/>
      <c r="D250"/>
      <c r="E250"/>
      <c r="F250"/>
      <c r="G250"/>
      <c r="H250"/>
    </row>
    <row r="251" spans="2:8" ht="16.5" x14ac:dyDescent="0.3">
      <c r="B251"/>
      <c r="C251"/>
      <c r="D251"/>
      <c r="E251"/>
      <c r="F251"/>
      <c r="G251"/>
      <c r="H251"/>
    </row>
    <row r="252" spans="2:8" ht="16.5" x14ac:dyDescent="0.3">
      <c r="B252"/>
      <c r="C252"/>
      <c r="D252"/>
      <c r="E252"/>
      <c r="F252"/>
      <c r="G252"/>
      <c r="H252"/>
    </row>
    <row r="253" spans="2:8" ht="16.5" x14ac:dyDescent="0.3">
      <c r="B253"/>
      <c r="C253"/>
      <c r="D253"/>
      <c r="E253"/>
      <c r="F253"/>
      <c r="G253"/>
      <c r="H253"/>
    </row>
    <row r="254" spans="2:8" ht="16.5" x14ac:dyDescent="0.3">
      <c r="B254"/>
      <c r="C254"/>
      <c r="D254"/>
      <c r="E254"/>
      <c r="F254"/>
      <c r="G254"/>
      <c r="H254"/>
    </row>
    <row r="255" spans="2:8" ht="16.5" x14ac:dyDescent="0.3">
      <c r="B255"/>
      <c r="C255"/>
      <c r="D255"/>
      <c r="E255"/>
      <c r="F255"/>
      <c r="G255"/>
      <c r="H255"/>
    </row>
    <row r="256" spans="2:8" ht="16.5" x14ac:dyDescent="0.3">
      <c r="B256"/>
      <c r="C256"/>
      <c r="D256"/>
      <c r="E256"/>
      <c r="F256"/>
      <c r="G256"/>
      <c r="H256"/>
    </row>
    <row r="257" spans="2:8" ht="16.5" x14ac:dyDescent="0.3">
      <c r="B257"/>
      <c r="C257"/>
      <c r="D257"/>
      <c r="E257"/>
      <c r="F257"/>
      <c r="G257"/>
      <c r="H257"/>
    </row>
    <row r="258" spans="2:8" ht="16.5" x14ac:dyDescent="0.3">
      <c r="B258"/>
      <c r="C258"/>
      <c r="D258"/>
      <c r="E258"/>
      <c r="F258"/>
      <c r="G258"/>
      <c r="H258"/>
    </row>
    <row r="259" spans="2:8" ht="16.5" x14ac:dyDescent="0.3">
      <c r="B259"/>
      <c r="C259"/>
      <c r="D259"/>
      <c r="E259"/>
      <c r="F259"/>
      <c r="G259"/>
      <c r="H259"/>
    </row>
    <row r="260" spans="2:8" ht="16.5" x14ac:dyDescent="0.3">
      <c r="B260"/>
      <c r="C260"/>
      <c r="D260"/>
      <c r="E260"/>
      <c r="F260"/>
      <c r="G260"/>
      <c r="H260"/>
    </row>
    <row r="261" spans="2:8" ht="16.5" x14ac:dyDescent="0.3">
      <c r="B261"/>
      <c r="C261"/>
      <c r="D261"/>
      <c r="E261"/>
      <c r="F261"/>
      <c r="G261"/>
      <c r="H261"/>
    </row>
    <row r="262" spans="2:8" ht="16.5" x14ac:dyDescent="0.3">
      <c r="B262"/>
      <c r="C262"/>
      <c r="D262"/>
      <c r="E262"/>
      <c r="F262"/>
      <c r="G262"/>
      <c r="H262"/>
    </row>
    <row r="263" spans="2:8" ht="16.5" x14ac:dyDescent="0.3">
      <c r="B263"/>
      <c r="C263"/>
      <c r="D263"/>
      <c r="E263"/>
      <c r="F263"/>
      <c r="G263"/>
      <c r="H263"/>
    </row>
    <row r="264" spans="2:8" ht="16.5" x14ac:dyDescent="0.3">
      <c r="B264"/>
      <c r="C264"/>
      <c r="D264"/>
      <c r="E264"/>
      <c r="F264"/>
      <c r="G264"/>
      <c r="H264"/>
    </row>
    <row r="265" spans="2:8" ht="16.5" x14ac:dyDescent="0.3">
      <c r="B265"/>
      <c r="C265"/>
      <c r="D265"/>
      <c r="E265"/>
      <c r="F265"/>
      <c r="G265"/>
      <c r="H265"/>
    </row>
    <row r="266" spans="2:8" ht="16.5" x14ac:dyDescent="0.3">
      <c r="B266"/>
      <c r="C266"/>
      <c r="D266"/>
      <c r="E266"/>
      <c r="F266"/>
      <c r="G266"/>
      <c r="H266"/>
    </row>
    <row r="267" spans="2:8" ht="16.5" x14ac:dyDescent="0.3">
      <c r="B267"/>
      <c r="C267"/>
      <c r="D267"/>
      <c r="E267"/>
      <c r="F267"/>
      <c r="G267"/>
      <c r="H267"/>
    </row>
    <row r="268" spans="2:8" ht="16.5" x14ac:dyDescent="0.3">
      <c r="B268"/>
      <c r="C268"/>
      <c r="D268"/>
      <c r="E268"/>
      <c r="F268"/>
      <c r="G268"/>
      <c r="H268"/>
    </row>
    <row r="269" spans="2:8" ht="16.5" x14ac:dyDescent="0.3">
      <c r="B269"/>
      <c r="C269"/>
      <c r="D269"/>
      <c r="E269"/>
      <c r="F269"/>
      <c r="G269"/>
      <c r="H269"/>
    </row>
    <row r="270" spans="2:8" ht="16.5" x14ac:dyDescent="0.3">
      <c r="B270"/>
      <c r="C270"/>
      <c r="D270"/>
      <c r="E270"/>
      <c r="F270"/>
      <c r="G270"/>
      <c r="H270"/>
    </row>
    <row r="271" spans="2:8" ht="16.5" x14ac:dyDescent="0.3">
      <c r="B271"/>
      <c r="C271"/>
      <c r="D271"/>
      <c r="E271"/>
      <c r="F271"/>
      <c r="G271"/>
      <c r="H271"/>
    </row>
    <row r="272" spans="2:8" ht="16.5" x14ac:dyDescent="0.3">
      <c r="B272"/>
      <c r="C272"/>
      <c r="D272"/>
      <c r="E272"/>
      <c r="F272"/>
      <c r="G272"/>
      <c r="H272"/>
    </row>
    <row r="273" spans="2:8" ht="16.5" x14ac:dyDescent="0.3">
      <c r="B273"/>
      <c r="C273"/>
      <c r="D273"/>
      <c r="E273"/>
      <c r="F273"/>
      <c r="G273"/>
      <c r="H273"/>
    </row>
    <row r="274" spans="2:8" ht="16.5" x14ac:dyDescent="0.3">
      <c r="B274"/>
      <c r="C274"/>
      <c r="D274"/>
      <c r="E274"/>
      <c r="F274"/>
      <c r="G274"/>
      <c r="H274"/>
    </row>
    <row r="275" spans="2:8" ht="16.5" x14ac:dyDescent="0.3">
      <c r="B275"/>
      <c r="C275"/>
      <c r="D275"/>
      <c r="E275"/>
      <c r="F275"/>
      <c r="G275"/>
      <c r="H275"/>
    </row>
    <row r="276" spans="2:8" ht="16.5" x14ac:dyDescent="0.3">
      <c r="B276"/>
      <c r="C276"/>
      <c r="D276"/>
      <c r="E276"/>
      <c r="F276"/>
      <c r="G276"/>
      <c r="H276"/>
    </row>
    <row r="277" spans="2:8" ht="16.5" x14ac:dyDescent="0.3">
      <c r="B277"/>
      <c r="C277"/>
      <c r="D277"/>
      <c r="E277"/>
      <c r="F277"/>
      <c r="G277"/>
      <c r="H277"/>
    </row>
    <row r="278" spans="2:8" ht="16.5" x14ac:dyDescent="0.3">
      <c r="B278"/>
      <c r="C278"/>
      <c r="D278"/>
      <c r="E278"/>
      <c r="F278"/>
      <c r="G278"/>
      <c r="H278"/>
    </row>
    <row r="279" spans="2:8" ht="16.5" x14ac:dyDescent="0.3">
      <c r="B279"/>
      <c r="C279"/>
      <c r="D279"/>
      <c r="E279"/>
      <c r="F279"/>
      <c r="G279"/>
      <c r="H279"/>
    </row>
    <row r="280" spans="2:8" ht="16.5" x14ac:dyDescent="0.3">
      <c r="B280"/>
      <c r="C280"/>
      <c r="D280"/>
      <c r="E280"/>
      <c r="F280"/>
      <c r="G280"/>
      <c r="H280"/>
    </row>
    <row r="281" spans="2:8" ht="16.5" x14ac:dyDescent="0.3">
      <c r="B281"/>
      <c r="C281"/>
      <c r="D281"/>
      <c r="E281"/>
      <c r="F281"/>
      <c r="G281"/>
      <c r="H281"/>
    </row>
    <row r="282" spans="2:8" ht="16.5" x14ac:dyDescent="0.3">
      <c r="B282"/>
      <c r="C282"/>
      <c r="D282"/>
      <c r="E282"/>
      <c r="F282"/>
      <c r="G282"/>
      <c r="H282"/>
    </row>
    <row r="283" spans="2:8" ht="16.5" x14ac:dyDescent="0.3">
      <c r="B283"/>
      <c r="C283"/>
      <c r="D283"/>
      <c r="E283"/>
      <c r="F283"/>
      <c r="G283"/>
      <c r="H283"/>
    </row>
    <row r="284" spans="2:8" ht="16.5" x14ac:dyDescent="0.3">
      <c r="B284"/>
      <c r="C284"/>
      <c r="D284"/>
      <c r="E284"/>
      <c r="F284"/>
      <c r="G284"/>
      <c r="H284"/>
    </row>
    <row r="285" spans="2:8" ht="16.5" x14ac:dyDescent="0.3">
      <c r="B285"/>
      <c r="C285"/>
      <c r="D285"/>
      <c r="E285"/>
      <c r="F285"/>
      <c r="G285"/>
      <c r="H285"/>
    </row>
    <row r="286" spans="2:8" ht="16.5" x14ac:dyDescent="0.3">
      <c r="B286"/>
      <c r="C286"/>
      <c r="D286"/>
      <c r="E286"/>
      <c r="F286"/>
      <c r="G286"/>
      <c r="H286"/>
    </row>
    <row r="287" spans="2:8" ht="16.5" x14ac:dyDescent="0.3">
      <c r="B287"/>
      <c r="C287"/>
      <c r="D287"/>
      <c r="E287"/>
      <c r="F287"/>
      <c r="G287"/>
      <c r="H287"/>
    </row>
    <row r="288" spans="2:8" ht="16.5" x14ac:dyDescent="0.3">
      <c r="B288"/>
      <c r="C288"/>
      <c r="D288"/>
      <c r="E288"/>
      <c r="F288"/>
      <c r="G288"/>
      <c r="H288"/>
    </row>
    <row r="289" spans="2:8" ht="16.5" x14ac:dyDescent="0.3">
      <c r="B289"/>
      <c r="C289"/>
      <c r="D289"/>
      <c r="E289"/>
      <c r="F289"/>
      <c r="G289"/>
      <c r="H289"/>
    </row>
    <row r="290" spans="2:8" ht="16.5" x14ac:dyDescent="0.3">
      <c r="B290"/>
      <c r="C290"/>
      <c r="D290"/>
      <c r="E290"/>
      <c r="F290"/>
      <c r="G290"/>
      <c r="H290"/>
    </row>
    <row r="291" spans="2:8" ht="16.5" x14ac:dyDescent="0.3">
      <c r="B291"/>
      <c r="C291"/>
      <c r="D291"/>
      <c r="E291"/>
      <c r="F291"/>
      <c r="G291"/>
      <c r="H291"/>
    </row>
    <row r="292" spans="2:8" ht="16.5" x14ac:dyDescent="0.3">
      <c r="B292"/>
      <c r="C292"/>
      <c r="D292"/>
      <c r="E292"/>
      <c r="F292"/>
      <c r="G292"/>
      <c r="H292"/>
    </row>
    <row r="293" spans="2:8" ht="16.5" x14ac:dyDescent="0.3">
      <c r="B293"/>
      <c r="C293"/>
      <c r="D293"/>
      <c r="E293"/>
      <c r="F293"/>
      <c r="G293"/>
      <c r="H293"/>
    </row>
    <row r="294" spans="2:8" ht="16.5" x14ac:dyDescent="0.3">
      <c r="B294"/>
      <c r="C294"/>
      <c r="D294"/>
      <c r="E294"/>
      <c r="F294"/>
      <c r="G294"/>
      <c r="H294"/>
    </row>
    <row r="295" spans="2:8" ht="16.5" x14ac:dyDescent="0.3">
      <c r="B295"/>
      <c r="C295"/>
      <c r="D295"/>
      <c r="E295"/>
      <c r="F295"/>
      <c r="G295"/>
      <c r="H295"/>
    </row>
    <row r="296" spans="2:8" ht="16.5" x14ac:dyDescent="0.3">
      <c r="B296"/>
      <c r="C296"/>
      <c r="D296"/>
      <c r="E296"/>
      <c r="F296"/>
      <c r="G296"/>
      <c r="H296"/>
    </row>
    <row r="297" spans="2:8" ht="16.5" x14ac:dyDescent="0.3">
      <c r="B297"/>
      <c r="C297"/>
      <c r="D297"/>
      <c r="E297"/>
      <c r="F297"/>
      <c r="G297"/>
      <c r="H297"/>
    </row>
    <row r="298" spans="2:8" ht="16.5" x14ac:dyDescent="0.3">
      <c r="B298"/>
      <c r="C298"/>
      <c r="D298"/>
      <c r="E298"/>
      <c r="F298"/>
      <c r="G298"/>
      <c r="H298"/>
    </row>
    <row r="299" spans="2:8" ht="16.5" x14ac:dyDescent="0.3">
      <c r="B299"/>
      <c r="C299"/>
      <c r="D299"/>
      <c r="E299"/>
      <c r="F299"/>
      <c r="G299"/>
      <c r="H299"/>
    </row>
    <row r="300" spans="2:8" ht="16.5" x14ac:dyDescent="0.3">
      <c r="B300"/>
      <c r="C300"/>
      <c r="D300"/>
      <c r="E300"/>
      <c r="F300"/>
      <c r="G300"/>
      <c r="H300"/>
    </row>
    <row r="301" spans="2:8" ht="16.5" x14ac:dyDescent="0.3">
      <c r="B301"/>
      <c r="C301"/>
      <c r="D301"/>
      <c r="E301"/>
      <c r="F301"/>
      <c r="G301"/>
      <c r="H301"/>
    </row>
    <row r="302" spans="2:8" ht="16.5" x14ac:dyDescent="0.3">
      <c r="B302"/>
      <c r="C302"/>
      <c r="D302"/>
      <c r="E302"/>
      <c r="F302"/>
      <c r="G302"/>
      <c r="H302"/>
    </row>
    <row r="303" spans="2:8" ht="16.5" x14ac:dyDescent="0.3">
      <c r="B303"/>
      <c r="C303"/>
      <c r="D303"/>
      <c r="E303"/>
      <c r="F303"/>
      <c r="G303"/>
      <c r="H303"/>
    </row>
    <row r="304" spans="2:8" ht="16.5" x14ac:dyDescent="0.3">
      <c r="B304"/>
      <c r="C304"/>
      <c r="D304"/>
      <c r="E304"/>
      <c r="F304"/>
      <c r="G304"/>
      <c r="H304"/>
    </row>
    <row r="305" spans="2:8" ht="16.5" x14ac:dyDescent="0.3">
      <c r="B305"/>
      <c r="C305"/>
      <c r="D305"/>
      <c r="E305"/>
      <c r="F305"/>
      <c r="G305"/>
      <c r="H305"/>
    </row>
    <row r="306" spans="2:8" ht="16.5" x14ac:dyDescent="0.3">
      <c r="B306"/>
      <c r="C306"/>
      <c r="D306"/>
      <c r="E306"/>
      <c r="F306"/>
      <c r="G306"/>
      <c r="H306"/>
    </row>
    <row r="307" spans="2:8" ht="16.5" x14ac:dyDescent="0.3">
      <c r="B307"/>
      <c r="C307"/>
      <c r="D307"/>
      <c r="E307"/>
      <c r="F307"/>
      <c r="G307"/>
      <c r="H307"/>
    </row>
    <row r="308" spans="2:8" ht="16.5" x14ac:dyDescent="0.3">
      <c r="B308"/>
      <c r="C308"/>
      <c r="D308"/>
      <c r="E308"/>
      <c r="F308"/>
      <c r="G308"/>
      <c r="H308"/>
    </row>
    <row r="309" spans="2:8" ht="16.5" x14ac:dyDescent="0.3">
      <c r="B309"/>
      <c r="C309"/>
      <c r="D309"/>
      <c r="E309"/>
      <c r="F309"/>
      <c r="G309"/>
      <c r="H309"/>
    </row>
    <row r="310" spans="2:8" ht="16.5" x14ac:dyDescent="0.3">
      <c r="B310"/>
      <c r="C310"/>
      <c r="D310"/>
      <c r="E310"/>
      <c r="F310"/>
      <c r="G310"/>
      <c r="H310"/>
    </row>
    <row r="311" spans="2:8" ht="16.5" x14ac:dyDescent="0.3">
      <c r="B311"/>
      <c r="C311"/>
      <c r="D311"/>
      <c r="E311"/>
      <c r="F311"/>
      <c r="G311"/>
      <c r="H311"/>
    </row>
    <row r="312" spans="2:8" ht="16.5" x14ac:dyDescent="0.3">
      <c r="B312"/>
      <c r="C312"/>
      <c r="D312"/>
      <c r="E312"/>
      <c r="F312"/>
      <c r="G312"/>
      <c r="H312"/>
    </row>
    <row r="313" spans="2:8" ht="16.5" x14ac:dyDescent="0.3">
      <c r="B313"/>
      <c r="C313"/>
      <c r="D313"/>
      <c r="E313"/>
      <c r="F313"/>
      <c r="G313"/>
      <c r="H313"/>
    </row>
    <row r="314" spans="2:8" ht="16.5" x14ac:dyDescent="0.3">
      <c r="B314"/>
      <c r="C314"/>
      <c r="D314"/>
      <c r="E314"/>
      <c r="F314"/>
      <c r="G314"/>
      <c r="H314"/>
    </row>
    <row r="315" spans="2:8" ht="16.5" x14ac:dyDescent="0.3">
      <c r="B315"/>
      <c r="C315"/>
      <c r="D315"/>
      <c r="E315"/>
      <c r="F315"/>
      <c r="G315"/>
      <c r="H315"/>
    </row>
    <row r="316" spans="2:8" ht="16.5" x14ac:dyDescent="0.3">
      <c r="B316"/>
      <c r="C316"/>
      <c r="D316"/>
      <c r="E316"/>
      <c r="F316"/>
      <c r="G316"/>
      <c r="H316"/>
    </row>
    <row r="317" spans="2:8" ht="16.5" x14ac:dyDescent="0.3">
      <c r="B317"/>
      <c r="C317"/>
      <c r="D317"/>
      <c r="E317"/>
      <c r="F317"/>
      <c r="G317"/>
      <c r="H317"/>
    </row>
    <row r="318" spans="2:8" ht="16.5" x14ac:dyDescent="0.3">
      <c r="B318"/>
      <c r="C318"/>
      <c r="D318"/>
      <c r="E318"/>
      <c r="F318"/>
      <c r="G318"/>
      <c r="H318"/>
    </row>
    <row r="319" spans="2:8" ht="16.5" x14ac:dyDescent="0.3">
      <c r="B319"/>
      <c r="C319"/>
      <c r="D319"/>
      <c r="E319"/>
      <c r="F319"/>
      <c r="G319"/>
      <c r="H319"/>
    </row>
    <row r="320" spans="2:8" ht="16.5" x14ac:dyDescent="0.3">
      <c r="B320"/>
      <c r="C320"/>
      <c r="D320"/>
      <c r="E320"/>
      <c r="F320"/>
      <c r="G320"/>
      <c r="H320"/>
    </row>
    <row r="321" spans="2:8" ht="16.5" x14ac:dyDescent="0.3">
      <c r="B321"/>
      <c r="C321"/>
      <c r="D321"/>
      <c r="E321"/>
      <c r="F321"/>
      <c r="G321"/>
      <c r="H321"/>
    </row>
    <row r="322" spans="2:8" ht="16.5" x14ac:dyDescent="0.3">
      <c r="B322"/>
      <c r="C322"/>
      <c r="D322"/>
      <c r="E322"/>
      <c r="F322"/>
      <c r="G322"/>
      <c r="H322"/>
    </row>
    <row r="323" spans="2:8" ht="16.5" x14ac:dyDescent="0.3">
      <c r="B323"/>
      <c r="C323"/>
      <c r="D323"/>
      <c r="E323"/>
      <c r="F323"/>
      <c r="G323"/>
      <c r="H323"/>
    </row>
    <row r="324" spans="2:8" ht="16.5" x14ac:dyDescent="0.3">
      <c r="B324"/>
      <c r="C324"/>
      <c r="D324"/>
      <c r="E324"/>
      <c r="F324"/>
      <c r="G324"/>
      <c r="H324"/>
    </row>
    <row r="325" spans="2:8" ht="16.5" x14ac:dyDescent="0.3">
      <c r="B325"/>
      <c r="C325"/>
      <c r="D325"/>
      <c r="E325"/>
      <c r="F325"/>
      <c r="G325"/>
      <c r="H325"/>
    </row>
    <row r="326" spans="2:8" ht="16.5" x14ac:dyDescent="0.3">
      <c r="B326"/>
      <c r="C326"/>
      <c r="D326"/>
      <c r="E326"/>
      <c r="F326"/>
      <c r="G326"/>
      <c r="H326"/>
    </row>
    <row r="327" spans="2:8" ht="16.5" x14ac:dyDescent="0.3">
      <c r="B327"/>
      <c r="C327"/>
      <c r="D327"/>
      <c r="E327"/>
      <c r="F327"/>
      <c r="G327"/>
      <c r="H327"/>
    </row>
    <row r="328" spans="2:8" ht="16.5" x14ac:dyDescent="0.3">
      <c r="B328"/>
      <c r="C328"/>
      <c r="D328"/>
      <c r="E328"/>
      <c r="F328"/>
      <c r="G328"/>
      <c r="H328"/>
    </row>
    <row r="329" spans="2:8" ht="16.5" x14ac:dyDescent="0.3">
      <c r="B329"/>
      <c r="C329"/>
      <c r="D329"/>
      <c r="E329"/>
      <c r="F329"/>
      <c r="G329"/>
      <c r="H329"/>
    </row>
    <row r="330" spans="2:8" ht="16.5" x14ac:dyDescent="0.3">
      <c r="B330"/>
      <c r="C330"/>
      <c r="D330"/>
      <c r="E330"/>
      <c r="F330"/>
      <c r="G330"/>
      <c r="H330"/>
    </row>
    <row r="331" spans="2:8" ht="16.5" x14ac:dyDescent="0.3">
      <c r="B331"/>
      <c r="C331"/>
      <c r="D331"/>
      <c r="E331"/>
      <c r="F331"/>
      <c r="G331"/>
      <c r="H331"/>
    </row>
    <row r="332" spans="2:8" ht="16.5" x14ac:dyDescent="0.3">
      <c r="B332"/>
      <c r="C332"/>
      <c r="D332"/>
      <c r="E332"/>
      <c r="F332"/>
      <c r="G332"/>
      <c r="H332"/>
    </row>
    <row r="333" spans="2:8" ht="16.5" x14ac:dyDescent="0.3">
      <c r="B333"/>
      <c r="C333"/>
      <c r="D333"/>
      <c r="E333"/>
      <c r="F333"/>
      <c r="G333"/>
      <c r="H333"/>
    </row>
    <row r="334" spans="2:8" ht="16.5" x14ac:dyDescent="0.3">
      <c r="B334"/>
      <c r="C334"/>
      <c r="D334"/>
      <c r="E334"/>
      <c r="F334"/>
      <c r="G334"/>
      <c r="H334"/>
    </row>
    <row r="335" spans="2:8" ht="16.5" x14ac:dyDescent="0.3">
      <c r="B335"/>
      <c r="C335"/>
      <c r="D335"/>
      <c r="E335"/>
      <c r="F335"/>
      <c r="G335"/>
      <c r="H335"/>
    </row>
    <row r="336" spans="2:8" ht="16.5" x14ac:dyDescent="0.3">
      <c r="B336"/>
      <c r="C336"/>
      <c r="D336"/>
      <c r="E336"/>
      <c r="F336"/>
      <c r="G336"/>
      <c r="H336"/>
    </row>
    <row r="337" spans="2:8" ht="16.5" x14ac:dyDescent="0.3">
      <c r="B337"/>
      <c r="C337"/>
      <c r="D337"/>
      <c r="E337"/>
      <c r="F337"/>
      <c r="G337"/>
      <c r="H337"/>
    </row>
    <row r="338" spans="2:8" ht="16.5" x14ac:dyDescent="0.3">
      <c r="B338"/>
      <c r="C338"/>
      <c r="D338"/>
      <c r="E338"/>
      <c r="F338"/>
      <c r="G338"/>
      <c r="H338"/>
    </row>
    <row r="339" spans="2:8" ht="16.5" x14ac:dyDescent="0.3">
      <c r="B339"/>
      <c r="C339"/>
      <c r="D339"/>
      <c r="E339"/>
      <c r="F339"/>
      <c r="G339"/>
      <c r="H339"/>
    </row>
    <row r="340" spans="2:8" ht="16.5" x14ac:dyDescent="0.3">
      <c r="B340"/>
      <c r="C340"/>
      <c r="D340"/>
      <c r="E340"/>
      <c r="F340"/>
      <c r="G340"/>
      <c r="H340"/>
    </row>
    <row r="341" spans="2:8" ht="16.5" x14ac:dyDescent="0.3">
      <c r="B341"/>
      <c r="C341"/>
      <c r="D341"/>
      <c r="E341"/>
      <c r="F341"/>
      <c r="G341"/>
      <c r="H341"/>
    </row>
    <row r="342" spans="2:8" ht="16.5" x14ac:dyDescent="0.3">
      <c r="B342"/>
      <c r="C342"/>
      <c r="D342"/>
      <c r="E342"/>
      <c r="F342"/>
      <c r="G342"/>
      <c r="H342"/>
    </row>
    <row r="343" spans="2:8" ht="16.5" x14ac:dyDescent="0.3">
      <c r="B343"/>
      <c r="C343"/>
      <c r="D343"/>
      <c r="E343"/>
      <c r="F343"/>
      <c r="G343"/>
      <c r="H343"/>
    </row>
    <row r="344" spans="2:8" ht="16.5" x14ac:dyDescent="0.3">
      <c r="B344"/>
      <c r="C344"/>
      <c r="D344"/>
      <c r="E344"/>
      <c r="F344"/>
      <c r="G344"/>
      <c r="H344"/>
    </row>
    <row r="345" spans="2:8" ht="16.5" x14ac:dyDescent="0.3">
      <c r="B345"/>
      <c r="C345"/>
      <c r="D345"/>
      <c r="E345"/>
      <c r="F345"/>
      <c r="G345"/>
      <c r="H345"/>
    </row>
    <row r="346" spans="2:8" ht="16.5" x14ac:dyDescent="0.3">
      <c r="B346"/>
      <c r="C346"/>
      <c r="D346"/>
      <c r="E346"/>
      <c r="F346"/>
      <c r="G346"/>
      <c r="H346"/>
    </row>
    <row r="347" spans="2:8" ht="16.5" x14ac:dyDescent="0.3">
      <c r="B347"/>
      <c r="C347"/>
      <c r="D347"/>
      <c r="E347"/>
      <c r="F347"/>
      <c r="G347"/>
      <c r="H347"/>
    </row>
    <row r="348" spans="2:8" ht="16.5" x14ac:dyDescent="0.3">
      <c r="B348"/>
      <c r="C348"/>
      <c r="D348"/>
      <c r="E348"/>
      <c r="F348"/>
      <c r="G348"/>
      <c r="H348"/>
    </row>
    <row r="349" spans="2:8" ht="16.5" x14ac:dyDescent="0.3">
      <c r="B349"/>
      <c r="C349"/>
      <c r="D349"/>
      <c r="E349"/>
      <c r="F349"/>
      <c r="G349"/>
      <c r="H349"/>
    </row>
    <row r="350" spans="2:8" ht="16.5" x14ac:dyDescent="0.3">
      <c r="B350"/>
      <c r="C350"/>
      <c r="D350"/>
      <c r="E350"/>
      <c r="F350"/>
      <c r="G350"/>
      <c r="H350"/>
    </row>
    <row r="351" spans="2:8" ht="16.5" x14ac:dyDescent="0.3">
      <c r="B351"/>
      <c r="C351"/>
      <c r="D351"/>
      <c r="E351"/>
      <c r="F351"/>
      <c r="G351"/>
      <c r="H351"/>
    </row>
    <row r="352" spans="2:8" ht="16.5" x14ac:dyDescent="0.3">
      <c r="B352"/>
      <c r="C352"/>
      <c r="D352"/>
      <c r="E352"/>
      <c r="F352"/>
      <c r="G352"/>
      <c r="H352"/>
    </row>
    <row r="353" spans="2:8" ht="16.5" x14ac:dyDescent="0.3">
      <c r="B353"/>
      <c r="C353"/>
      <c r="D353"/>
      <c r="E353"/>
      <c r="F353"/>
      <c r="G353"/>
      <c r="H353"/>
    </row>
    <row r="354" spans="2:8" ht="16.5" x14ac:dyDescent="0.3">
      <c r="B354"/>
      <c r="C354"/>
      <c r="D354"/>
      <c r="E354"/>
      <c r="F354"/>
      <c r="G354"/>
      <c r="H354"/>
    </row>
    <row r="355" spans="2:8" ht="16.5" x14ac:dyDescent="0.3">
      <c r="B355"/>
      <c r="C355"/>
      <c r="D355"/>
      <c r="E355"/>
      <c r="F355"/>
      <c r="G355"/>
      <c r="H355"/>
    </row>
    <row r="356" spans="2:8" ht="16.5" x14ac:dyDescent="0.3">
      <c r="B356"/>
      <c r="C356"/>
      <c r="D356"/>
      <c r="E356"/>
      <c r="F356"/>
      <c r="G356"/>
      <c r="H356"/>
    </row>
    <row r="357" spans="2:8" ht="16.5" x14ac:dyDescent="0.3">
      <c r="B357"/>
      <c r="C357"/>
      <c r="D357"/>
      <c r="E357"/>
      <c r="F357"/>
      <c r="G357"/>
      <c r="H357"/>
    </row>
    <row r="358" spans="2:8" ht="16.5" x14ac:dyDescent="0.3">
      <c r="B358"/>
      <c r="C358"/>
      <c r="D358"/>
      <c r="E358"/>
      <c r="F358"/>
      <c r="G358"/>
      <c r="H358"/>
    </row>
    <row r="359" spans="2:8" ht="16.5" x14ac:dyDescent="0.3">
      <c r="B359"/>
      <c r="C359"/>
      <c r="D359"/>
      <c r="E359"/>
      <c r="F359"/>
      <c r="G359"/>
      <c r="H359"/>
    </row>
    <row r="360" spans="2:8" ht="16.5" x14ac:dyDescent="0.3">
      <c r="B360"/>
      <c r="C360"/>
      <c r="D360"/>
      <c r="E360"/>
      <c r="F360"/>
      <c r="G360"/>
      <c r="H360"/>
    </row>
    <row r="361" spans="2:8" ht="16.5" x14ac:dyDescent="0.3">
      <c r="B361"/>
      <c r="C361"/>
      <c r="D361"/>
      <c r="E361"/>
      <c r="F361"/>
      <c r="G361"/>
      <c r="H361"/>
    </row>
    <row r="362" spans="2:8" ht="16.5" x14ac:dyDescent="0.3">
      <c r="B362"/>
      <c r="C362"/>
      <c r="D362"/>
      <c r="E362"/>
      <c r="F362"/>
      <c r="G362"/>
      <c r="H362"/>
    </row>
    <row r="363" spans="2:8" ht="16.5" x14ac:dyDescent="0.3">
      <c r="B363"/>
      <c r="C363"/>
      <c r="D363"/>
      <c r="E363"/>
      <c r="F363"/>
      <c r="G363"/>
      <c r="H363"/>
    </row>
    <row r="364" spans="2:8" ht="16.5" x14ac:dyDescent="0.3">
      <c r="B364"/>
      <c r="C364"/>
      <c r="D364"/>
      <c r="E364"/>
      <c r="F364"/>
      <c r="G364"/>
      <c r="H364"/>
    </row>
    <row r="365" spans="2:8" ht="16.5" x14ac:dyDescent="0.3">
      <c r="B365"/>
      <c r="C365"/>
      <c r="D365"/>
      <c r="E365"/>
      <c r="F365"/>
      <c r="G365"/>
      <c r="H365"/>
    </row>
    <row r="366" spans="2:8" ht="16.5" x14ac:dyDescent="0.3">
      <c r="B366"/>
      <c r="C366"/>
      <c r="D366"/>
      <c r="E366"/>
      <c r="F366"/>
      <c r="G366"/>
      <c r="H366"/>
    </row>
    <row r="367" spans="2:8" ht="16.5" x14ac:dyDescent="0.3">
      <c r="B367"/>
      <c r="C367"/>
      <c r="D367"/>
      <c r="E367"/>
      <c r="F367"/>
      <c r="G367"/>
      <c r="H367"/>
    </row>
    <row r="368" spans="2:8" ht="16.5" x14ac:dyDescent="0.3">
      <c r="B368"/>
      <c r="C368"/>
      <c r="D368"/>
      <c r="E368"/>
      <c r="F368"/>
      <c r="G368"/>
      <c r="H368"/>
    </row>
    <row r="369" spans="2:8" ht="16.5" x14ac:dyDescent="0.3">
      <c r="B369"/>
      <c r="C369"/>
      <c r="D369"/>
      <c r="E369"/>
      <c r="F369"/>
      <c r="G369"/>
      <c r="H369"/>
    </row>
    <row r="370" spans="2:8" ht="16.5" x14ac:dyDescent="0.3">
      <c r="B370"/>
      <c r="C370"/>
      <c r="D370"/>
      <c r="E370"/>
      <c r="F370"/>
      <c r="G370"/>
      <c r="H370"/>
    </row>
    <row r="371" spans="2:8" ht="16.5" x14ac:dyDescent="0.3">
      <c r="B371"/>
      <c r="C371"/>
      <c r="D371"/>
      <c r="E371"/>
      <c r="F371"/>
      <c r="G371"/>
      <c r="H371"/>
    </row>
    <row r="372" spans="2:8" ht="16.5" x14ac:dyDescent="0.3">
      <c r="B372"/>
      <c r="C372"/>
      <c r="D372"/>
      <c r="E372"/>
      <c r="F372"/>
      <c r="G372"/>
      <c r="H372"/>
    </row>
    <row r="373" spans="2:8" ht="16.5" x14ac:dyDescent="0.3">
      <c r="B373"/>
      <c r="C373"/>
      <c r="D373"/>
      <c r="E373"/>
      <c r="F373"/>
      <c r="G373"/>
      <c r="H373"/>
    </row>
    <row r="374" spans="2:8" ht="16.5" x14ac:dyDescent="0.3">
      <c r="B374"/>
      <c r="C374"/>
      <c r="D374"/>
      <c r="E374"/>
      <c r="F374"/>
      <c r="G374"/>
      <c r="H374"/>
    </row>
    <row r="375" spans="2:8" ht="16.5" x14ac:dyDescent="0.3">
      <c r="B375"/>
      <c r="C375"/>
      <c r="D375"/>
      <c r="E375"/>
      <c r="F375"/>
      <c r="G375"/>
      <c r="H375"/>
    </row>
    <row r="376" spans="2:8" ht="16.5" x14ac:dyDescent="0.3">
      <c r="B376"/>
      <c r="C376"/>
      <c r="D376"/>
      <c r="E376"/>
      <c r="F376"/>
      <c r="G376"/>
      <c r="H376"/>
    </row>
    <row r="377" spans="2:8" ht="16.5" x14ac:dyDescent="0.3">
      <c r="B377"/>
      <c r="C377"/>
      <c r="D377"/>
      <c r="E377"/>
      <c r="F377"/>
      <c r="G377"/>
      <c r="H377"/>
    </row>
    <row r="378" spans="2:8" ht="16.5" x14ac:dyDescent="0.3">
      <c r="B378"/>
      <c r="C378"/>
      <c r="D378"/>
      <c r="E378"/>
      <c r="F378"/>
      <c r="G378"/>
      <c r="H378"/>
    </row>
    <row r="379" spans="2:8" ht="16.5" x14ac:dyDescent="0.3">
      <c r="B379"/>
      <c r="C379"/>
      <c r="D379"/>
      <c r="E379"/>
      <c r="F379"/>
      <c r="G379"/>
      <c r="H379"/>
    </row>
    <row r="380" spans="2:8" ht="16.5" x14ac:dyDescent="0.3">
      <c r="B380"/>
      <c r="C380"/>
      <c r="D380"/>
      <c r="E380"/>
      <c r="F380"/>
      <c r="G380"/>
      <c r="H380"/>
    </row>
    <row r="381" spans="2:8" ht="16.5" x14ac:dyDescent="0.3">
      <c r="B381"/>
      <c r="C381"/>
      <c r="D381"/>
      <c r="E381"/>
      <c r="F381"/>
      <c r="G381"/>
      <c r="H381"/>
    </row>
    <row r="382" spans="2:8" ht="16.5" x14ac:dyDescent="0.3">
      <c r="B382"/>
      <c r="C382"/>
      <c r="D382"/>
      <c r="E382"/>
      <c r="F382"/>
      <c r="G382"/>
      <c r="H382"/>
    </row>
    <row r="383" spans="2:8" ht="16.5" x14ac:dyDescent="0.3">
      <c r="B383"/>
      <c r="C383"/>
      <c r="D383"/>
      <c r="E383"/>
      <c r="F383"/>
      <c r="G383"/>
      <c r="H383"/>
    </row>
    <row r="384" spans="2:8" ht="16.5" x14ac:dyDescent="0.3">
      <c r="B384"/>
      <c r="C384"/>
      <c r="D384"/>
      <c r="E384"/>
      <c r="F384"/>
      <c r="G384"/>
      <c r="H384"/>
    </row>
    <row r="385" spans="2:8" ht="16.5" x14ac:dyDescent="0.3">
      <c r="B385"/>
      <c r="C385"/>
      <c r="D385"/>
      <c r="E385"/>
      <c r="F385"/>
      <c r="G385"/>
      <c r="H385"/>
    </row>
    <row r="386" spans="2:8" ht="16.5" x14ac:dyDescent="0.3">
      <c r="B386"/>
      <c r="C386"/>
      <c r="D386"/>
      <c r="E386"/>
      <c r="F386"/>
      <c r="G386"/>
      <c r="H386"/>
    </row>
    <row r="387" spans="2:8" ht="16.5" x14ac:dyDescent="0.3">
      <c r="B387"/>
      <c r="C387"/>
      <c r="D387"/>
      <c r="E387"/>
      <c r="F387"/>
      <c r="G387"/>
      <c r="H387"/>
    </row>
    <row r="388" spans="2:8" ht="16.5" x14ac:dyDescent="0.3">
      <c r="B388"/>
      <c r="C388"/>
      <c r="D388"/>
      <c r="E388"/>
      <c r="F388"/>
      <c r="G388"/>
      <c r="H388"/>
    </row>
    <row r="389" spans="2:8" ht="16.5" x14ac:dyDescent="0.3">
      <c r="B389"/>
      <c r="C389"/>
      <c r="D389"/>
      <c r="E389"/>
      <c r="F389"/>
      <c r="G389"/>
      <c r="H389"/>
    </row>
    <row r="390" spans="2:8" ht="16.5" x14ac:dyDescent="0.3">
      <c r="B390"/>
      <c r="C390"/>
      <c r="D390"/>
      <c r="E390"/>
      <c r="F390"/>
      <c r="G390"/>
      <c r="H390"/>
    </row>
    <row r="391" spans="2:8" ht="16.5" x14ac:dyDescent="0.3">
      <c r="B391"/>
      <c r="C391"/>
      <c r="D391"/>
      <c r="E391"/>
      <c r="F391"/>
      <c r="G391"/>
      <c r="H391"/>
    </row>
    <row r="392" spans="2:8" ht="16.5" x14ac:dyDescent="0.3">
      <c r="B392"/>
      <c r="C392"/>
      <c r="D392"/>
      <c r="E392"/>
      <c r="F392"/>
      <c r="G392"/>
      <c r="H392"/>
    </row>
    <row r="393" spans="2:8" ht="16.5" x14ac:dyDescent="0.3">
      <c r="B393"/>
      <c r="C393"/>
      <c r="D393"/>
      <c r="E393"/>
      <c r="F393"/>
      <c r="G393"/>
      <c r="H393"/>
    </row>
    <row r="394" spans="2:8" ht="16.5" x14ac:dyDescent="0.3">
      <c r="B394"/>
      <c r="C394"/>
      <c r="D394"/>
      <c r="E394"/>
      <c r="F394"/>
      <c r="G394"/>
      <c r="H394"/>
    </row>
    <row r="395" spans="2:8" ht="16.5" x14ac:dyDescent="0.3">
      <c r="B395"/>
      <c r="C395"/>
      <c r="D395"/>
      <c r="E395"/>
      <c r="F395"/>
      <c r="G395"/>
      <c r="H395"/>
    </row>
    <row r="396" spans="2:8" ht="16.5" x14ac:dyDescent="0.3">
      <c r="B396"/>
      <c r="C396"/>
      <c r="D396"/>
      <c r="E396"/>
      <c r="F396"/>
      <c r="G396"/>
      <c r="H396"/>
    </row>
    <row r="397" spans="2:8" ht="16.5" x14ac:dyDescent="0.3">
      <c r="B397"/>
      <c r="C397"/>
      <c r="D397"/>
      <c r="E397"/>
      <c r="F397"/>
      <c r="G397"/>
      <c r="H397"/>
    </row>
    <row r="398" spans="2:8" ht="16.5" x14ac:dyDescent="0.3">
      <c r="B398"/>
      <c r="C398"/>
      <c r="D398"/>
      <c r="E398"/>
      <c r="F398"/>
      <c r="G398"/>
      <c r="H398"/>
    </row>
    <row r="399" spans="2:8" ht="16.5" x14ac:dyDescent="0.3">
      <c r="B399"/>
      <c r="C399"/>
      <c r="D399"/>
      <c r="E399"/>
      <c r="F399"/>
      <c r="G399"/>
      <c r="H399"/>
    </row>
    <row r="400" spans="2:8" ht="16.5" x14ac:dyDescent="0.3">
      <c r="B400"/>
      <c r="C400"/>
      <c r="D400"/>
      <c r="E400"/>
      <c r="F400"/>
      <c r="G400"/>
      <c r="H400"/>
    </row>
    <row r="401" spans="2:8" ht="16.5" x14ac:dyDescent="0.3">
      <c r="B401"/>
      <c r="C401"/>
      <c r="D401"/>
      <c r="E401"/>
      <c r="F401"/>
      <c r="G401"/>
      <c r="H401"/>
    </row>
    <row r="402" spans="2:8" ht="16.5" x14ac:dyDescent="0.3">
      <c r="B402"/>
      <c r="C402"/>
      <c r="D402"/>
      <c r="E402"/>
      <c r="F402"/>
      <c r="G402"/>
      <c r="H402"/>
    </row>
    <row r="403" spans="2:8" ht="16.5" x14ac:dyDescent="0.3">
      <c r="B403"/>
      <c r="C403"/>
      <c r="D403"/>
      <c r="E403"/>
      <c r="F403"/>
      <c r="G403"/>
      <c r="H403"/>
    </row>
    <row r="404" spans="2:8" ht="16.5" x14ac:dyDescent="0.3">
      <c r="B404"/>
      <c r="C404"/>
      <c r="D404"/>
      <c r="E404"/>
      <c r="F404"/>
      <c r="G404"/>
      <c r="H404"/>
    </row>
    <row r="405" spans="2:8" ht="16.5" x14ac:dyDescent="0.3">
      <c r="B405"/>
      <c r="C405"/>
      <c r="D405"/>
      <c r="E405"/>
      <c r="F405"/>
      <c r="G405"/>
      <c r="H405"/>
    </row>
    <row r="406" spans="2:8" ht="16.5" x14ac:dyDescent="0.3">
      <c r="B406"/>
      <c r="C406"/>
      <c r="D406"/>
      <c r="E406"/>
      <c r="F406"/>
      <c r="G406"/>
      <c r="H406"/>
    </row>
    <row r="407" spans="2:8" ht="16.5" x14ac:dyDescent="0.3">
      <c r="B407"/>
      <c r="C407"/>
      <c r="D407"/>
      <c r="E407"/>
      <c r="F407"/>
      <c r="G407"/>
      <c r="H407"/>
    </row>
    <row r="408" spans="2:8" ht="16.5" x14ac:dyDescent="0.3">
      <c r="B408"/>
      <c r="C408"/>
      <c r="D408"/>
      <c r="E408"/>
      <c r="F408"/>
      <c r="G408"/>
      <c r="H408"/>
    </row>
    <row r="409" spans="2:8" ht="16.5" x14ac:dyDescent="0.3">
      <c r="B409"/>
      <c r="C409"/>
      <c r="D409"/>
      <c r="E409"/>
      <c r="F409"/>
      <c r="G409"/>
      <c r="H409"/>
    </row>
    <row r="410" spans="2:8" ht="16.5" x14ac:dyDescent="0.3">
      <c r="B410"/>
      <c r="C410"/>
      <c r="D410"/>
      <c r="E410"/>
      <c r="F410"/>
      <c r="G410"/>
      <c r="H410"/>
    </row>
    <row r="411" spans="2:8" ht="16.5" x14ac:dyDescent="0.3">
      <c r="B411"/>
      <c r="C411"/>
      <c r="D411"/>
      <c r="E411"/>
      <c r="F411"/>
      <c r="G411"/>
      <c r="H411"/>
    </row>
    <row r="412" spans="2:8" ht="16.5" x14ac:dyDescent="0.3">
      <c r="B412"/>
      <c r="C412"/>
      <c r="D412"/>
      <c r="E412"/>
      <c r="F412"/>
      <c r="G412"/>
      <c r="H412"/>
    </row>
    <row r="413" spans="2:8" ht="16.5" x14ac:dyDescent="0.3">
      <c r="B413"/>
      <c r="C413"/>
      <c r="D413"/>
      <c r="E413"/>
      <c r="F413"/>
      <c r="G413"/>
      <c r="H413"/>
    </row>
    <row r="414" spans="2:8" ht="16.5" x14ac:dyDescent="0.3">
      <c r="B414"/>
      <c r="C414"/>
      <c r="D414"/>
      <c r="E414"/>
      <c r="F414"/>
      <c r="G414"/>
      <c r="H414"/>
    </row>
    <row r="415" spans="2:8" ht="16.5" x14ac:dyDescent="0.3">
      <c r="B415"/>
      <c r="C415"/>
      <c r="D415"/>
      <c r="E415"/>
      <c r="F415"/>
      <c r="G415"/>
      <c r="H415"/>
    </row>
    <row r="416" spans="2:8" ht="16.5" x14ac:dyDescent="0.3">
      <c r="B416"/>
      <c r="C416"/>
      <c r="D416"/>
      <c r="E416"/>
      <c r="F416"/>
      <c r="G416"/>
      <c r="H416"/>
    </row>
    <row r="417" spans="2:8" ht="16.5" x14ac:dyDescent="0.3">
      <c r="B417"/>
      <c r="C417"/>
      <c r="D417"/>
      <c r="E417"/>
      <c r="F417"/>
      <c r="G417"/>
      <c r="H417"/>
    </row>
    <row r="418" spans="2:8" ht="16.5" x14ac:dyDescent="0.3">
      <c r="B418"/>
      <c r="C418"/>
      <c r="D418"/>
      <c r="E418"/>
      <c r="F418"/>
      <c r="G418"/>
      <c r="H418"/>
    </row>
    <row r="419" spans="2:8" ht="16.5" x14ac:dyDescent="0.3">
      <c r="B419"/>
      <c r="C419"/>
      <c r="D419"/>
      <c r="E419"/>
      <c r="F419"/>
      <c r="G419"/>
      <c r="H419"/>
    </row>
    <row r="420" spans="2:8" ht="16.5" x14ac:dyDescent="0.3">
      <c r="B420"/>
      <c r="C420"/>
      <c r="D420"/>
      <c r="E420"/>
      <c r="F420"/>
      <c r="G420"/>
      <c r="H420"/>
    </row>
    <row r="421" spans="2:8" ht="16.5" x14ac:dyDescent="0.3">
      <c r="B421"/>
      <c r="C421"/>
      <c r="D421"/>
      <c r="E421"/>
      <c r="F421"/>
      <c r="G421"/>
      <c r="H421"/>
    </row>
    <row r="422" spans="2:8" ht="16.5" x14ac:dyDescent="0.3">
      <c r="B422"/>
      <c r="C422"/>
      <c r="D422"/>
      <c r="E422"/>
      <c r="F422"/>
      <c r="G422"/>
      <c r="H422"/>
    </row>
    <row r="423" spans="2:8" ht="16.5" x14ac:dyDescent="0.3">
      <c r="B423"/>
      <c r="C423"/>
      <c r="D423"/>
      <c r="E423"/>
      <c r="F423"/>
      <c r="G423"/>
      <c r="H423"/>
    </row>
    <row r="424" spans="2:8" ht="16.5" x14ac:dyDescent="0.3">
      <c r="B424"/>
      <c r="C424"/>
      <c r="D424"/>
      <c r="E424"/>
      <c r="F424"/>
      <c r="G424"/>
      <c r="H424"/>
    </row>
    <row r="425" spans="2:8" ht="16.5" x14ac:dyDescent="0.3">
      <c r="B425"/>
      <c r="C425"/>
      <c r="D425"/>
      <c r="E425"/>
      <c r="F425"/>
      <c r="G425"/>
      <c r="H425"/>
    </row>
    <row r="426" spans="2:8" ht="16.5" x14ac:dyDescent="0.3">
      <c r="B426"/>
      <c r="C426"/>
      <c r="D426"/>
      <c r="E426"/>
      <c r="F426"/>
      <c r="G426"/>
      <c r="H426"/>
    </row>
    <row r="427" spans="2:8" ht="16.5" x14ac:dyDescent="0.3">
      <c r="B427"/>
      <c r="C427"/>
      <c r="D427"/>
      <c r="E427"/>
      <c r="F427"/>
      <c r="G427"/>
      <c r="H427"/>
    </row>
    <row r="428" spans="2:8" ht="16.5" x14ac:dyDescent="0.3">
      <c r="B428"/>
      <c r="C428"/>
      <c r="D428"/>
      <c r="E428"/>
      <c r="F428"/>
      <c r="G428"/>
      <c r="H428"/>
    </row>
    <row r="429" spans="2:8" ht="16.5" x14ac:dyDescent="0.3">
      <c r="B429"/>
      <c r="C429"/>
      <c r="D429"/>
      <c r="E429"/>
      <c r="F429"/>
      <c r="G429"/>
      <c r="H429"/>
    </row>
    <row r="430" spans="2:8" ht="16.5" x14ac:dyDescent="0.3">
      <c r="B430"/>
      <c r="C430"/>
      <c r="D430"/>
      <c r="E430"/>
      <c r="F430"/>
      <c r="G430"/>
      <c r="H430"/>
    </row>
    <row r="431" spans="2:8" ht="16.5" x14ac:dyDescent="0.3">
      <c r="B431"/>
      <c r="C431"/>
      <c r="D431"/>
      <c r="E431"/>
      <c r="F431"/>
      <c r="G431"/>
      <c r="H431"/>
    </row>
    <row r="432" spans="2:8" ht="16.5" x14ac:dyDescent="0.3">
      <c r="B432"/>
      <c r="C432"/>
      <c r="D432"/>
      <c r="E432"/>
      <c r="F432"/>
      <c r="G432"/>
      <c r="H432"/>
    </row>
    <row r="433" spans="2:8" ht="16.5" x14ac:dyDescent="0.3">
      <c r="B433"/>
      <c r="C433"/>
      <c r="D433"/>
      <c r="E433"/>
      <c r="F433"/>
      <c r="G433"/>
      <c r="H433"/>
    </row>
    <row r="434" spans="2:8" ht="16.5" x14ac:dyDescent="0.3">
      <c r="B434"/>
      <c r="C434"/>
      <c r="D434"/>
      <c r="E434"/>
      <c r="F434"/>
      <c r="G434"/>
      <c r="H434"/>
    </row>
    <row r="435" spans="2:8" ht="16.5" x14ac:dyDescent="0.3">
      <c r="B435"/>
      <c r="C435"/>
      <c r="D435"/>
      <c r="E435"/>
      <c r="F435"/>
      <c r="G435"/>
      <c r="H435"/>
    </row>
    <row r="436" spans="2:8" ht="16.5" x14ac:dyDescent="0.3">
      <c r="B436"/>
      <c r="C436"/>
      <c r="D436"/>
      <c r="E436"/>
      <c r="F436"/>
      <c r="G436"/>
      <c r="H436"/>
    </row>
    <row r="437" spans="2:8" ht="16.5" x14ac:dyDescent="0.3">
      <c r="B437"/>
      <c r="C437"/>
      <c r="D437"/>
      <c r="E437"/>
      <c r="F437"/>
      <c r="G437"/>
      <c r="H437"/>
    </row>
    <row r="438" spans="2:8" ht="16.5" x14ac:dyDescent="0.3">
      <c r="B438"/>
      <c r="C438"/>
      <c r="D438"/>
      <c r="E438"/>
      <c r="F438"/>
      <c r="G438"/>
      <c r="H438"/>
    </row>
    <row r="439" spans="2:8" ht="16.5" x14ac:dyDescent="0.3">
      <c r="B439"/>
      <c r="C439"/>
      <c r="D439"/>
      <c r="E439"/>
      <c r="F439"/>
      <c r="G439"/>
      <c r="H439"/>
    </row>
    <row r="440" spans="2:8" ht="16.5" x14ac:dyDescent="0.3">
      <c r="B440"/>
      <c r="C440"/>
      <c r="D440"/>
      <c r="E440"/>
      <c r="F440"/>
      <c r="G440"/>
      <c r="H440"/>
    </row>
    <row r="441" spans="2:8" ht="16.5" x14ac:dyDescent="0.3">
      <c r="B441"/>
      <c r="C441"/>
      <c r="D441"/>
      <c r="E441"/>
      <c r="F441"/>
      <c r="G441"/>
      <c r="H441"/>
    </row>
    <row r="442" spans="2:8" ht="16.5" x14ac:dyDescent="0.3">
      <c r="B442"/>
      <c r="C442"/>
      <c r="D442"/>
      <c r="E442"/>
      <c r="F442"/>
      <c r="G442"/>
      <c r="H442"/>
    </row>
    <row r="443" spans="2:8" ht="16.5" x14ac:dyDescent="0.3">
      <c r="B443"/>
      <c r="C443"/>
      <c r="D443"/>
      <c r="E443"/>
      <c r="F443"/>
      <c r="G443"/>
      <c r="H443"/>
    </row>
    <row r="444" spans="2:8" ht="16.5" x14ac:dyDescent="0.3">
      <c r="B444"/>
      <c r="C444"/>
      <c r="D444"/>
      <c r="E444"/>
      <c r="F444"/>
      <c r="G444"/>
      <c r="H444"/>
    </row>
    <row r="445" spans="2:8" ht="16.5" x14ac:dyDescent="0.3">
      <c r="B445"/>
      <c r="C445"/>
      <c r="D445"/>
      <c r="E445"/>
      <c r="F445"/>
      <c r="G445"/>
      <c r="H445"/>
    </row>
    <row r="446" spans="2:8" ht="16.5" x14ac:dyDescent="0.3">
      <c r="B446"/>
      <c r="C446"/>
      <c r="D446"/>
      <c r="E446"/>
      <c r="F446"/>
      <c r="G446"/>
      <c r="H446"/>
    </row>
    <row r="447" spans="2:8" ht="16.5" x14ac:dyDescent="0.3">
      <c r="B447"/>
      <c r="C447"/>
      <c r="D447"/>
      <c r="E447"/>
      <c r="F447"/>
      <c r="G447"/>
      <c r="H447"/>
    </row>
    <row r="448" spans="2:8" ht="16.5" x14ac:dyDescent="0.3">
      <c r="B448"/>
      <c r="C448"/>
      <c r="D448"/>
      <c r="E448"/>
      <c r="F448"/>
      <c r="G448"/>
      <c r="H448"/>
    </row>
    <row r="449" spans="2:8" ht="16.5" x14ac:dyDescent="0.3">
      <c r="B449"/>
      <c r="C449"/>
      <c r="D449"/>
      <c r="E449"/>
      <c r="F449"/>
      <c r="G449"/>
      <c r="H449"/>
    </row>
    <row r="450" spans="2:8" ht="16.5" x14ac:dyDescent="0.3">
      <c r="B450"/>
      <c r="C450"/>
      <c r="D450"/>
      <c r="E450"/>
      <c r="F450"/>
      <c r="G450"/>
      <c r="H450"/>
    </row>
    <row r="451" spans="2:8" ht="16.5" x14ac:dyDescent="0.3">
      <c r="B451"/>
      <c r="C451"/>
      <c r="D451"/>
      <c r="E451"/>
      <c r="F451"/>
      <c r="G451"/>
      <c r="H451"/>
    </row>
    <row r="452" spans="2:8" ht="16.5" x14ac:dyDescent="0.3">
      <c r="B452"/>
      <c r="C452"/>
      <c r="D452"/>
      <c r="E452"/>
      <c r="F452"/>
      <c r="G452"/>
      <c r="H452"/>
    </row>
    <row r="453" spans="2:8" ht="16.5" x14ac:dyDescent="0.3">
      <c r="B453"/>
      <c r="C453"/>
      <c r="D453"/>
      <c r="E453"/>
      <c r="F453"/>
      <c r="G453"/>
      <c r="H453"/>
    </row>
    <row r="454" spans="2:8" ht="16.5" x14ac:dyDescent="0.3">
      <c r="B454"/>
      <c r="C454"/>
      <c r="D454"/>
      <c r="E454"/>
      <c r="F454"/>
      <c r="G454"/>
      <c r="H454"/>
    </row>
    <row r="455" spans="2:8" ht="16.5" x14ac:dyDescent="0.3">
      <c r="B455"/>
      <c r="C455"/>
      <c r="D455"/>
      <c r="E455"/>
      <c r="F455"/>
      <c r="G455"/>
      <c r="H455"/>
    </row>
    <row r="456" spans="2:8" ht="16.5" x14ac:dyDescent="0.3">
      <c r="B456"/>
      <c r="C456"/>
      <c r="D456"/>
      <c r="E456"/>
      <c r="F456"/>
      <c r="G456"/>
      <c r="H456"/>
    </row>
    <row r="457" spans="2:8" ht="16.5" x14ac:dyDescent="0.3">
      <c r="B457"/>
      <c r="C457"/>
      <c r="D457"/>
      <c r="E457"/>
      <c r="F457"/>
      <c r="G457"/>
      <c r="H457"/>
    </row>
    <row r="458" spans="2:8" ht="16.5" x14ac:dyDescent="0.3">
      <c r="B458"/>
      <c r="C458"/>
      <c r="D458"/>
      <c r="E458"/>
      <c r="F458"/>
      <c r="G458"/>
      <c r="H458"/>
    </row>
    <row r="459" spans="2:8" ht="16.5" x14ac:dyDescent="0.3">
      <c r="B459"/>
      <c r="C459"/>
      <c r="D459"/>
      <c r="E459"/>
      <c r="F459"/>
      <c r="G459"/>
      <c r="H459"/>
    </row>
    <row r="460" spans="2:8" ht="16.5" x14ac:dyDescent="0.3">
      <c r="B460"/>
      <c r="C460"/>
      <c r="D460"/>
      <c r="E460"/>
      <c r="F460"/>
      <c r="G460"/>
      <c r="H460"/>
    </row>
    <row r="461" spans="2:8" ht="16.5" x14ac:dyDescent="0.3">
      <c r="B461"/>
      <c r="C461"/>
      <c r="D461"/>
      <c r="E461"/>
      <c r="F461"/>
      <c r="G461"/>
      <c r="H461"/>
    </row>
    <row r="462" spans="2:8" ht="16.5" x14ac:dyDescent="0.3">
      <c r="B462"/>
      <c r="C462"/>
      <c r="D462"/>
      <c r="E462"/>
      <c r="F462"/>
      <c r="G462"/>
      <c r="H462"/>
    </row>
    <row r="463" spans="2:8" ht="16.5" x14ac:dyDescent="0.3">
      <c r="B463"/>
      <c r="C463"/>
      <c r="D463"/>
      <c r="E463"/>
      <c r="F463"/>
      <c r="G463"/>
      <c r="H463"/>
    </row>
    <row r="464" spans="2:8" ht="16.5" x14ac:dyDescent="0.3">
      <c r="B464"/>
      <c r="C464"/>
      <c r="D464"/>
      <c r="E464"/>
      <c r="F464"/>
      <c r="G464"/>
      <c r="H464"/>
    </row>
    <row r="465" spans="2:8" ht="16.5" x14ac:dyDescent="0.3">
      <c r="B465"/>
      <c r="C465"/>
      <c r="D465"/>
      <c r="E465"/>
      <c r="F465"/>
      <c r="G465"/>
      <c r="H465"/>
    </row>
    <row r="466" spans="2:8" ht="16.5" x14ac:dyDescent="0.3">
      <c r="B466"/>
      <c r="C466"/>
      <c r="D466"/>
      <c r="E466"/>
      <c r="F466"/>
      <c r="G466"/>
      <c r="H466"/>
    </row>
    <row r="467" spans="2:8" ht="16.5" x14ac:dyDescent="0.3">
      <c r="B467"/>
      <c r="C467"/>
      <c r="D467"/>
      <c r="E467"/>
      <c r="F467"/>
      <c r="G467"/>
      <c r="H467"/>
    </row>
    <row r="468" spans="2:8" ht="16.5" x14ac:dyDescent="0.3">
      <c r="B468"/>
      <c r="C468"/>
      <c r="D468"/>
      <c r="E468"/>
      <c r="F468"/>
      <c r="G468"/>
      <c r="H468"/>
    </row>
    <row r="469" spans="2:8" ht="16.5" x14ac:dyDescent="0.3">
      <c r="B469"/>
      <c r="C469"/>
      <c r="D469"/>
      <c r="E469"/>
      <c r="F469"/>
      <c r="G469"/>
      <c r="H469"/>
    </row>
    <row r="470" spans="2:8" ht="16.5" x14ac:dyDescent="0.3">
      <c r="B470"/>
      <c r="C470"/>
      <c r="D470"/>
      <c r="E470"/>
      <c r="F470"/>
      <c r="G470"/>
      <c r="H470"/>
    </row>
    <row r="471" spans="2:8" ht="16.5" x14ac:dyDescent="0.3">
      <c r="B471"/>
      <c r="C471"/>
      <c r="D471"/>
      <c r="E471"/>
      <c r="F471"/>
      <c r="G471"/>
      <c r="H471"/>
    </row>
    <row r="472" spans="2:8" ht="16.5" x14ac:dyDescent="0.3">
      <c r="B472"/>
      <c r="C472"/>
      <c r="D472"/>
      <c r="E472"/>
      <c r="F472"/>
      <c r="G472"/>
      <c r="H472"/>
    </row>
    <row r="473" spans="2:8" ht="16.5" x14ac:dyDescent="0.3">
      <c r="B473"/>
      <c r="C473"/>
      <c r="D473"/>
      <c r="E473"/>
      <c r="F473"/>
      <c r="G473"/>
      <c r="H473"/>
    </row>
    <row r="474" spans="2:8" ht="16.5" x14ac:dyDescent="0.3">
      <c r="B474"/>
      <c r="C474"/>
      <c r="D474"/>
      <c r="E474"/>
      <c r="F474"/>
      <c r="G474"/>
      <c r="H474"/>
    </row>
    <row r="475" spans="2:8" ht="16.5" x14ac:dyDescent="0.3">
      <c r="B475"/>
      <c r="C475"/>
      <c r="D475"/>
      <c r="E475"/>
      <c r="F475"/>
      <c r="G475"/>
      <c r="H475"/>
    </row>
    <row r="476" spans="2:8" ht="16.5" x14ac:dyDescent="0.3">
      <c r="B476"/>
      <c r="C476"/>
      <c r="D476"/>
      <c r="E476"/>
      <c r="F476"/>
      <c r="G476"/>
      <c r="H476"/>
    </row>
    <row r="477" spans="2:8" ht="16.5" x14ac:dyDescent="0.3">
      <c r="B477"/>
      <c r="C477"/>
      <c r="D477"/>
      <c r="E477"/>
      <c r="F477"/>
      <c r="G477"/>
      <c r="H477"/>
    </row>
    <row r="478" spans="2:8" ht="16.5" x14ac:dyDescent="0.3">
      <c r="B478"/>
      <c r="C478"/>
      <c r="D478"/>
      <c r="E478"/>
      <c r="F478"/>
      <c r="G478"/>
      <c r="H478"/>
    </row>
    <row r="479" spans="2:8" ht="16.5" x14ac:dyDescent="0.3">
      <c r="B479"/>
      <c r="C479"/>
      <c r="D479"/>
      <c r="E479"/>
      <c r="F479"/>
      <c r="G479"/>
      <c r="H479"/>
    </row>
    <row r="480" spans="2:8" ht="16.5" x14ac:dyDescent="0.3">
      <c r="B480"/>
      <c r="C480"/>
      <c r="D480"/>
      <c r="E480"/>
      <c r="F480"/>
      <c r="G480"/>
      <c r="H480"/>
    </row>
    <row r="481" spans="2:8" ht="16.5" x14ac:dyDescent="0.3">
      <c r="B481"/>
      <c r="C481"/>
      <c r="D481"/>
      <c r="E481"/>
      <c r="F481"/>
      <c r="G481"/>
      <c r="H481"/>
    </row>
    <row r="482" spans="2:8" ht="16.5" x14ac:dyDescent="0.3">
      <c r="B482"/>
      <c r="C482"/>
      <c r="D482"/>
      <c r="E482"/>
      <c r="F482"/>
      <c r="G482"/>
      <c r="H482"/>
    </row>
    <row r="483" spans="2:8" ht="16.5" x14ac:dyDescent="0.3">
      <c r="B483"/>
      <c r="C483"/>
      <c r="D483"/>
      <c r="E483"/>
      <c r="F483"/>
      <c r="G483"/>
      <c r="H483"/>
    </row>
    <row r="484" spans="2:8" ht="16.5" x14ac:dyDescent="0.3">
      <c r="B484"/>
      <c r="C484"/>
      <c r="D484"/>
      <c r="E484"/>
      <c r="F484"/>
      <c r="G484"/>
      <c r="H484"/>
    </row>
    <row r="485" spans="2:8" ht="16.5" x14ac:dyDescent="0.3">
      <c r="B485"/>
      <c r="C485"/>
      <c r="D485"/>
      <c r="E485"/>
      <c r="F485"/>
      <c r="G485"/>
      <c r="H485"/>
    </row>
    <row r="486" spans="2:8" ht="16.5" x14ac:dyDescent="0.3">
      <c r="B486"/>
      <c r="C486"/>
      <c r="D486"/>
      <c r="E486"/>
      <c r="F486"/>
      <c r="G486"/>
      <c r="H486"/>
    </row>
    <row r="487" spans="2:8" ht="16.5" x14ac:dyDescent="0.3">
      <c r="B487"/>
      <c r="C487"/>
      <c r="D487"/>
      <c r="E487"/>
      <c r="F487"/>
      <c r="G487"/>
      <c r="H487"/>
    </row>
    <row r="488" spans="2:8" ht="16.5" x14ac:dyDescent="0.3">
      <c r="B488"/>
      <c r="C488"/>
      <c r="D488"/>
      <c r="E488"/>
      <c r="F488"/>
      <c r="G488"/>
      <c r="H488"/>
    </row>
    <row r="489" spans="2:8" ht="16.5" x14ac:dyDescent="0.3">
      <c r="B489"/>
      <c r="C489"/>
      <c r="D489"/>
      <c r="E489"/>
      <c r="F489"/>
      <c r="G489"/>
      <c r="H489"/>
    </row>
    <row r="490" spans="2:8" ht="16.5" x14ac:dyDescent="0.3">
      <c r="B490"/>
      <c r="C490"/>
      <c r="D490"/>
      <c r="E490"/>
      <c r="F490"/>
      <c r="G490"/>
      <c r="H490"/>
    </row>
    <row r="491" spans="2:8" ht="16.5" x14ac:dyDescent="0.3">
      <c r="B491"/>
      <c r="C491"/>
      <c r="D491"/>
      <c r="E491"/>
      <c r="F491"/>
      <c r="G491"/>
      <c r="H491"/>
    </row>
    <row r="492" spans="2:8" ht="16.5" x14ac:dyDescent="0.3">
      <c r="B492"/>
      <c r="C492"/>
      <c r="D492"/>
      <c r="E492"/>
      <c r="F492"/>
      <c r="G492"/>
      <c r="H492"/>
    </row>
    <row r="493" spans="2:8" ht="16.5" x14ac:dyDescent="0.3">
      <c r="B493"/>
      <c r="C493"/>
      <c r="D493"/>
      <c r="E493"/>
      <c r="F493"/>
      <c r="G493"/>
      <c r="H493"/>
    </row>
    <row r="494" spans="2:8" ht="16.5" x14ac:dyDescent="0.3">
      <c r="B494"/>
      <c r="C494"/>
      <c r="D494"/>
      <c r="E494"/>
      <c r="F494"/>
      <c r="G494"/>
      <c r="H494"/>
    </row>
    <row r="495" spans="2:8" ht="16.5" x14ac:dyDescent="0.3">
      <c r="B495"/>
      <c r="C495"/>
      <c r="D495"/>
      <c r="E495"/>
      <c r="F495"/>
      <c r="G495"/>
      <c r="H495"/>
    </row>
    <row r="496" spans="2:8" ht="16.5" x14ac:dyDescent="0.3">
      <c r="B496"/>
      <c r="C496"/>
      <c r="D496"/>
      <c r="E496"/>
      <c r="F496"/>
      <c r="G496"/>
      <c r="H496"/>
    </row>
    <row r="497" spans="2:8" ht="16.5" x14ac:dyDescent="0.3">
      <c r="B497"/>
      <c r="C497"/>
      <c r="D497"/>
      <c r="E497"/>
      <c r="F497"/>
      <c r="G497"/>
      <c r="H497"/>
    </row>
    <row r="498" spans="2:8" ht="16.5" x14ac:dyDescent="0.3">
      <c r="B498"/>
      <c r="C498"/>
      <c r="D498"/>
      <c r="E498"/>
      <c r="F498"/>
      <c r="G498"/>
      <c r="H498"/>
    </row>
    <row r="499" spans="2:8" ht="16.5" x14ac:dyDescent="0.3">
      <c r="B499"/>
      <c r="C499"/>
      <c r="D499"/>
      <c r="E499"/>
      <c r="F499"/>
      <c r="G499"/>
      <c r="H499"/>
    </row>
    <row r="500" spans="2:8" ht="16.5" x14ac:dyDescent="0.3">
      <c r="B500"/>
      <c r="C500"/>
      <c r="D500"/>
      <c r="E500"/>
      <c r="F500"/>
      <c r="G500"/>
      <c r="H500"/>
    </row>
    <row r="501" spans="2:8" ht="16.5" x14ac:dyDescent="0.3">
      <c r="B501"/>
      <c r="C501"/>
      <c r="D501"/>
      <c r="E501"/>
      <c r="F501"/>
      <c r="G501"/>
      <c r="H501"/>
    </row>
    <row r="502" spans="2:8" ht="16.5" x14ac:dyDescent="0.3">
      <c r="B502"/>
      <c r="C502"/>
      <c r="D502"/>
      <c r="E502"/>
      <c r="F502"/>
      <c r="G502"/>
      <c r="H502"/>
    </row>
    <row r="503" spans="2:8" ht="16.5" x14ac:dyDescent="0.3">
      <c r="B503"/>
      <c r="C503"/>
      <c r="D503"/>
      <c r="E503"/>
      <c r="F503"/>
      <c r="G503"/>
      <c r="H503"/>
    </row>
    <row r="504" spans="2:8" ht="16.5" x14ac:dyDescent="0.3">
      <c r="B504"/>
      <c r="C504"/>
      <c r="D504"/>
      <c r="E504"/>
      <c r="F504"/>
      <c r="G504"/>
      <c r="H504"/>
    </row>
    <row r="505" spans="2:8" ht="16.5" x14ac:dyDescent="0.3">
      <c r="B505"/>
      <c r="C505"/>
      <c r="D505"/>
      <c r="E505"/>
      <c r="F505"/>
      <c r="G505"/>
      <c r="H505"/>
    </row>
    <row r="506" spans="2:8" ht="16.5" x14ac:dyDescent="0.3">
      <c r="B506"/>
      <c r="C506"/>
      <c r="D506"/>
      <c r="E506"/>
      <c r="F506"/>
      <c r="G506"/>
      <c r="H506"/>
    </row>
  </sheetData>
  <mergeCells count="2">
    <mergeCell ref="A1:S1"/>
    <mergeCell ref="A2:S2"/>
  </mergeCells>
  <phoneticPr fontId="1" type="noConversion"/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C8B-B1A6-43A5-9A2C-3029FF358DD2}">
  <dimension ref="A1:S25"/>
  <sheetViews>
    <sheetView showGridLines="0" workbookViewId="0">
      <selection sqref="A1:S1"/>
    </sheetView>
  </sheetViews>
  <sheetFormatPr defaultRowHeight="13.5" x14ac:dyDescent="0.3"/>
  <cols>
    <col min="1" max="1" width="2.25" style="3" customWidth="1"/>
    <col min="2" max="2" width="20.625" style="3" customWidth="1"/>
    <col min="3" max="19" width="16.625" style="3" customWidth="1"/>
    <col min="20" max="16384" width="9" style="3"/>
  </cols>
  <sheetData>
    <row r="1" spans="1:19" ht="33.950000000000003" customHeight="1" x14ac:dyDescent="0.3">
      <c r="A1" s="7" t="s">
        <v>806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.95" customHeight="1" x14ac:dyDescent="0.3">
      <c r="A2" s="9" t="s">
        <v>807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3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5" spans="1:19" ht="16.5" x14ac:dyDescent="0.3">
      <c r="B5" s="39" t="s">
        <v>808</v>
      </c>
    </row>
    <row r="7" spans="1:19" x14ac:dyDescent="0.3">
      <c r="B7" s="41" t="s">
        <v>719</v>
      </c>
      <c r="C7" s="41" t="s">
        <v>721</v>
      </c>
      <c r="D7" s="41" t="s">
        <v>731</v>
      </c>
      <c r="E7" s="41" t="s">
        <v>732</v>
      </c>
      <c r="F7" s="41" t="s">
        <v>809</v>
      </c>
    </row>
    <row r="8" spans="1:19" x14ac:dyDescent="0.3">
      <c r="B8" s="42" t="s">
        <v>722</v>
      </c>
      <c r="C8" s="42">
        <f>SUMIFS(tblHistory[총계],tblHistory[기준시점],"2년 전(집계표)",tblHistory[구분],"4급")</f>
        <v>6</v>
      </c>
      <c r="D8" s="42">
        <f>SUMIFS(tblHistory[총계],tblHistory[기준시점],"1년 전(집계표)",tblHistory[구분],"4급")</f>
        <v>7</v>
      </c>
      <c r="E8" s="42">
        <f>SUMIFS(tblHistory[총계],tblHistory[기준시점],"당월(명부)",tblHistory[구분],"4급")</f>
        <v>11</v>
      </c>
      <c r="F8" s="44">
        <f>D8-C8</f>
        <v>1</v>
      </c>
    </row>
    <row r="9" spans="1:19" x14ac:dyDescent="0.3">
      <c r="B9" s="42" t="s">
        <v>724</v>
      </c>
      <c r="C9" s="42">
        <f>SUMIFS(tblHistory[총계],tblHistory[기준시점],"2년 전(집계표)",tblHistory[구분],"5급")</f>
        <v>23</v>
      </c>
      <c r="D9" s="42">
        <f>SUMIFS(tblHistory[총계],tblHistory[기준시점],"1년 전(집계표)",tblHistory[구분],"5급")</f>
        <v>24</v>
      </c>
      <c r="E9" s="42">
        <f>SUMIFS(tblHistory[총계],tblHistory[기준시점],"당월(명부)",tblHistory[구분],"5급")</f>
        <v>25</v>
      </c>
      <c r="F9" s="44">
        <f>D9-C9</f>
        <v>1</v>
      </c>
    </row>
    <row r="10" spans="1:19" x14ac:dyDescent="0.3">
      <c r="B10" s="42" t="s">
        <v>725</v>
      </c>
      <c r="C10" s="42">
        <f>SUMIFS(tblHistory[총계],tblHistory[기준시점],"2년 전(집계표)",tblHistory[구분],"6급")</f>
        <v>111</v>
      </c>
      <c r="D10" s="42">
        <f>SUMIFS(tblHistory[총계],tblHistory[기준시점],"1년 전(집계표)",tblHistory[구분],"6급")</f>
        <v>118</v>
      </c>
      <c r="E10" s="42">
        <f>SUMIFS(tblHistory[총계],tblHistory[기준시점],"당월(명부)",tblHistory[구분],"6급")</f>
        <v>110</v>
      </c>
      <c r="F10" s="44">
        <f>D10-C10</f>
        <v>7</v>
      </c>
    </row>
    <row r="11" spans="1:19" x14ac:dyDescent="0.3">
      <c r="B11" s="42" t="s">
        <v>726</v>
      </c>
      <c r="C11" s="42">
        <f>SUMIFS(tblHistory[총계],tblHistory[기준시점],"2년 전(집계표)",tblHistory[구분],"7급")</f>
        <v>81</v>
      </c>
      <c r="D11" s="42">
        <f>SUMIFS(tblHistory[총계],tblHistory[기준시점],"1년 전(집계표)",tblHistory[구분],"7급")</f>
        <v>86</v>
      </c>
      <c r="E11" s="42">
        <f>SUMIFS(tblHistory[총계],tblHistory[기준시점],"당월(명부)",tblHistory[구분],"7급")</f>
        <v>70</v>
      </c>
      <c r="F11" s="44">
        <f>D11-C11</f>
        <v>5</v>
      </c>
    </row>
    <row r="12" spans="1:19" x14ac:dyDescent="0.3">
      <c r="B12" s="42" t="s">
        <v>727</v>
      </c>
      <c r="C12" s="42">
        <f>SUMIFS(tblHistory[총계],tblHistory[기준시점],"2년 전(집계표)",tblHistory[구분],"8급")</f>
        <v>47</v>
      </c>
      <c r="D12" s="42">
        <f>SUMIFS(tblHistory[총계],tblHistory[기준시점],"1년 전(집계표)",tblHistory[구분],"8급")</f>
        <v>50</v>
      </c>
      <c r="E12" s="42">
        <f>SUMIFS(tblHistory[총계],tblHistory[기준시점],"당월(명부)",tblHistory[구분],"8급")</f>
        <v>50</v>
      </c>
      <c r="F12" s="44">
        <f>D12-C12</f>
        <v>3</v>
      </c>
    </row>
    <row r="13" spans="1:19" x14ac:dyDescent="0.3">
      <c r="B13" s="42" t="s">
        <v>728</v>
      </c>
      <c r="C13" s="42">
        <f>SUMIFS(tblHistory[총계],tblHistory[기준시점],"2년 전(집계표)",tblHistory[구분],"9급")</f>
        <v>34</v>
      </c>
      <c r="D13" s="42">
        <f>SUMIFS(tblHistory[총계],tblHistory[기준시점],"1년 전(집계표)",tblHistory[구분],"9급")</f>
        <v>31</v>
      </c>
      <c r="E13" s="42">
        <f>SUMIFS(tblHistory[총계],tblHistory[기준시점],"당월(명부)",tblHistory[구분],"9급")</f>
        <v>28</v>
      </c>
      <c r="F13" s="44">
        <f>D13-C13</f>
        <v>-3</v>
      </c>
    </row>
    <row r="14" spans="1:19" x14ac:dyDescent="0.3">
      <c r="B14" s="42" t="s">
        <v>729</v>
      </c>
      <c r="C14" s="42">
        <f>SUMIFS(tblHistory[총계],tblHistory[기준시점],"2년 전(집계표)",tblHistory[구분],"연구사")</f>
        <v>3</v>
      </c>
      <c r="D14" s="42">
        <f>SUMIFS(tblHistory[총계],tblHistory[기준시점],"1년 전(집계표)",tblHistory[구분],"연구사")</f>
        <v>3</v>
      </c>
      <c r="E14" s="42">
        <f>SUMIFS(tblHistory[총계],tblHistory[기준시점],"당월(명부)",tblHistory[구분],"연구사")</f>
        <v>1</v>
      </c>
      <c r="F14" s="44">
        <f>D14-C14</f>
        <v>0</v>
      </c>
    </row>
    <row r="15" spans="1:19" x14ac:dyDescent="0.3">
      <c r="B15" s="42" t="s">
        <v>730</v>
      </c>
      <c r="C15" s="42">
        <f>SUMIFS(tblHistory[총계],tblHistory[기준시점],"2년 전(집계표)",tblHistory[구분],"전문경력관")</f>
        <v>3</v>
      </c>
      <c r="D15" s="42">
        <f>SUMIFS(tblHistory[총계],tblHistory[기준시점],"1년 전(집계표)",tblHistory[구분],"전문경력관")</f>
        <v>3</v>
      </c>
      <c r="E15" s="42">
        <f>SUMIFS(tblHistory[총계],tblHistory[기준시점],"당월(명부)",tblHistory[구분],"전문경력관")</f>
        <v>2</v>
      </c>
      <c r="F15" s="44">
        <f>D15-C15</f>
        <v>0</v>
      </c>
    </row>
    <row r="16" spans="1:19" x14ac:dyDescent="0.3">
      <c r="B16" s="42" t="s">
        <v>239</v>
      </c>
      <c r="C16" s="42">
        <f>SUMIFS(tblHistory[총계],tblHistory[기준시점],"2년 전(집계표)",tblHistory[구분],"대학회계직")</f>
        <v>38</v>
      </c>
      <c r="D16" s="42">
        <f>SUMIFS(tblHistory[총계],tblHistory[기준시점],"1년 전(집계표)",tblHistory[구분],"대학회계직")</f>
        <v>35</v>
      </c>
      <c r="E16" s="42">
        <f>SUMIFS(tblHistory[총계],tblHistory[기준시점],"당월(명부)",tblHistory[구분],"대학회계직")</f>
        <v>35</v>
      </c>
      <c r="F16" s="44">
        <f>D16-C16</f>
        <v>-3</v>
      </c>
    </row>
    <row r="17" spans="2:6" x14ac:dyDescent="0.3">
      <c r="B17" s="42" t="s">
        <v>132</v>
      </c>
      <c r="C17" s="42">
        <f>SUMIFS(tblHistory[총계],tblHistory[기준시점],"2년 전(집계표)",tblHistory[구분],"대학회계계약직")</f>
        <v>102</v>
      </c>
      <c r="D17" s="42">
        <f>SUMIFS(tblHistory[총계],tblHistory[기준시점],"1년 전(집계표)",tblHistory[구분],"대학회계계약직")</f>
        <v>109</v>
      </c>
      <c r="E17" s="42">
        <f>SUMIFS(tblHistory[총계],tblHistory[기준시점],"당월(명부)",tblHistory[구분],"대학회계계약직")</f>
        <v>118</v>
      </c>
      <c r="F17" s="44">
        <f>D17-C17</f>
        <v>7</v>
      </c>
    </row>
    <row r="18" spans="2:6" x14ac:dyDescent="0.3">
      <c r="B18" s="43" t="s">
        <v>810</v>
      </c>
      <c r="C18" s="43">
        <f>SUM(C8:C17)</f>
        <v>448</v>
      </c>
      <c r="D18" s="43">
        <f>SUM(D8:D17)</f>
        <v>466</v>
      </c>
      <c r="E18" s="43">
        <f>SUM(E8:E17)</f>
        <v>450</v>
      </c>
      <c r="F18" s="45">
        <f>SUM(F8:F17)</f>
        <v>18</v>
      </c>
    </row>
    <row r="21" spans="2:6" ht="16.5" x14ac:dyDescent="0.3">
      <c r="B21" s="39" t="s">
        <v>811</v>
      </c>
    </row>
    <row r="22" spans="2:6" x14ac:dyDescent="0.3">
      <c r="B22" s="43" t="s">
        <v>812</v>
      </c>
      <c r="C22" s="43" t="s">
        <v>8</v>
      </c>
      <c r="D22" s="43" t="s">
        <v>16</v>
      </c>
      <c r="E22" s="43" t="s">
        <v>813</v>
      </c>
    </row>
    <row r="23" spans="2:6" x14ac:dyDescent="0.3">
      <c r="B23" s="42" t="s">
        <v>721</v>
      </c>
      <c r="C23" s="42">
        <f>SUMIFS(tblHistory[재직],tblHistory[기준시점],"2년 전(집계표)")</f>
        <v>416</v>
      </c>
      <c r="D23" s="42">
        <f>SUMIFS(tblHistory[휴직],tblHistory[기준시점],"2년 전(집계표)")</f>
        <v>32</v>
      </c>
      <c r="E23" s="46">
        <f>IF(C23+D23=0,"",D23/(C23+D23))</f>
        <v>7.1428571428571425E-2</v>
      </c>
    </row>
    <row r="24" spans="2:6" x14ac:dyDescent="0.3">
      <c r="B24" s="42" t="s">
        <v>731</v>
      </c>
      <c r="C24" s="42">
        <f>SUMIFS(tblHistory[재직],tblHistory[기준시점],"1년 전(집계표)")</f>
        <v>431</v>
      </c>
      <c r="D24" s="42">
        <f>SUMIFS(tblHistory[휴직],tblHistory[기준시점],"1년 전(집계표)")</f>
        <v>35</v>
      </c>
      <c r="E24" s="46">
        <f>IF(C24+D24=0,"",D24/(C24+D24))</f>
        <v>7.5107296137339061E-2</v>
      </c>
    </row>
    <row r="25" spans="2:6" x14ac:dyDescent="0.3">
      <c r="B25" s="42" t="s">
        <v>732</v>
      </c>
      <c r="C25" s="42">
        <f>SUMIFS(tblHistory[재직],tblHistory[기준시점],"당월(명부)")</f>
        <v>416</v>
      </c>
      <c r="D25" s="42">
        <f>SUMIFS(tblHistory[휴직],tblHistory[기준시점],"당월(명부)")</f>
        <v>34</v>
      </c>
      <c r="E25" s="46">
        <f>IF(C25+D25=0,"",D25/(C25+D25))</f>
        <v>7.5555555555555556E-2</v>
      </c>
    </row>
  </sheetData>
  <mergeCells count="2">
    <mergeCell ref="A1:S1"/>
    <mergeCell ref="A2:S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6385-2D41-4A1E-BEA2-4AAB9675A934}">
  <dimension ref="A1:S546"/>
  <sheetViews>
    <sheetView showGridLines="0" workbookViewId="0">
      <selection sqref="A1:S1"/>
    </sheetView>
  </sheetViews>
  <sheetFormatPr defaultRowHeight="13.5" x14ac:dyDescent="0.3"/>
  <cols>
    <col min="1" max="1" width="2.25" style="3" customWidth="1"/>
    <col min="2" max="2" width="13" style="3" bestFit="1" customWidth="1"/>
    <col min="3" max="5" width="11.25" style="3" bestFit="1" customWidth="1"/>
    <col min="6" max="7" width="7.375" style="3" bestFit="1" customWidth="1"/>
    <col min="8" max="19" width="12.625" style="3" customWidth="1"/>
    <col min="20" max="16384" width="9" style="3"/>
  </cols>
  <sheetData>
    <row r="1" spans="1:19" ht="33.950000000000003" customHeight="1" x14ac:dyDescent="0.3">
      <c r="A1" s="7" t="s">
        <v>814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.95" customHeight="1" x14ac:dyDescent="0.3">
      <c r="A2" s="9" t="s">
        <v>815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3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5" spans="1:19" ht="16.5" x14ac:dyDescent="0.3">
      <c r="B5" s="39" t="s">
        <v>816</v>
      </c>
    </row>
    <row r="6" spans="1:19" ht="16.5" x14ac:dyDescent="0.3">
      <c r="B6" s="4" t="s">
        <v>2</v>
      </c>
      <c r="C6" t="s">
        <v>8</v>
      </c>
    </row>
    <row r="7" spans="1:19" ht="16.5" x14ac:dyDescent="0.3">
      <c r="B7" s="4" t="s">
        <v>743</v>
      </c>
      <c r="C7" t="s">
        <v>145</v>
      </c>
    </row>
    <row r="9" spans="1:19" ht="16.5" x14ac:dyDescent="0.3">
      <c r="B9" s="4" t="s">
        <v>740</v>
      </c>
      <c r="C9" s="4" t="s">
        <v>768</v>
      </c>
      <c r="D9"/>
      <c r="E9"/>
      <c r="F9"/>
    </row>
    <row r="10" spans="1:19" ht="16.5" x14ac:dyDescent="0.3">
      <c r="B10" s="4" t="s">
        <v>737</v>
      </c>
      <c r="C10" t="s">
        <v>771</v>
      </c>
      <c r="D10" t="s">
        <v>770</v>
      </c>
      <c r="E10" t="s">
        <v>769</v>
      </c>
      <c r="F10" t="s">
        <v>739</v>
      </c>
    </row>
    <row r="11" spans="1:19" ht="16.5" x14ac:dyDescent="0.3">
      <c r="B11" t="s">
        <v>722</v>
      </c>
      <c r="C11" s="5">
        <v>4</v>
      </c>
      <c r="D11" s="5">
        <v>2</v>
      </c>
      <c r="E11" s="5">
        <v>4</v>
      </c>
      <c r="F11" s="5">
        <v>10</v>
      </c>
    </row>
    <row r="12" spans="1:19" ht="16.5" x14ac:dyDescent="0.3">
      <c r="B12" t="s">
        <v>724</v>
      </c>
      <c r="C12" s="5">
        <v>9</v>
      </c>
      <c r="D12" s="5">
        <v>9</v>
      </c>
      <c r="E12" s="5">
        <v>5</v>
      </c>
      <c r="F12" s="5">
        <v>23</v>
      </c>
    </row>
    <row r="13" spans="1:19" ht="16.5" x14ac:dyDescent="0.3">
      <c r="B13" t="s">
        <v>725</v>
      </c>
      <c r="C13" s="5">
        <v>58</v>
      </c>
      <c r="D13" s="5">
        <v>27</v>
      </c>
      <c r="E13" s="5">
        <v>19</v>
      </c>
      <c r="F13" s="5">
        <v>104</v>
      </c>
    </row>
    <row r="14" spans="1:19" ht="16.5" x14ac:dyDescent="0.3">
      <c r="B14" t="s">
        <v>726</v>
      </c>
      <c r="C14" s="5">
        <v>45</v>
      </c>
      <c r="D14" s="5">
        <v>16</v>
      </c>
      <c r="E14" s="5">
        <v>3</v>
      </c>
      <c r="F14" s="5">
        <v>64</v>
      </c>
    </row>
    <row r="15" spans="1:19" ht="16.5" x14ac:dyDescent="0.3">
      <c r="B15" t="s">
        <v>727</v>
      </c>
      <c r="C15" s="5">
        <v>30</v>
      </c>
      <c r="D15" s="5">
        <v>10</v>
      </c>
      <c r="E15" s="5">
        <v>6</v>
      </c>
      <c r="F15" s="5">
        <v>46</v>
      </c>
    </row>
    <row r="16" spans="1:19" ht="16.5" x14ac:dyDescent="0.3">
      <c r="B16" t="s">
        <v>728</v>
      </c>
      <c r="C16" s="5">
        <v>15</v>
      </c>
      <c r="D16" s="5">
        <v>6</v>
      </c>
      <c r="E16" s="5">
        <v>5</v>
      </c>
      <c r="F16" s="5">
        <v>26</v>
      </c>
    </row>
    <row r="17" spans="2:6" ht="16.5" x14ac:dyDescent="0.3">
      <c r="B17" t="s">
        <v>729</v>
      </c>
      <c r="C17" s="5">
        <v>1</v>
      </c>
      <c r="D17" s="5"/>
      <c r="E17" s="5"/>
      <c r="F17" s="5">
        <v>1</v>
      </c>
    </row>
    <row r="18" spans="2:6" ht="16.5" x14ac:dyDescent="0.3">
      <c r="B18" t="s">
        <v>730</v>
      </c>
      <c r="C18" s="5">
        <v>2</v>
      </c>
      <c r="D18" s="5"/>
      <c r="E18" s="5"/>
      <c r="F18" s="5">
        <v>2</v>
      </c>
    </row>
    <row r="19" spans="2:6" ht="16.5" x14ac:dyDescent="0.3">
      <c r="B19" t="s">
        <v>739</v>
      </c>
      <c r="C19" s="5">
        <v>164</v>
      </c>
      <c r="D19" s="5">
        <v>70</v>
      </c>
      <c r="E19" s="5">
        <v>42</v>
      </c>
      <c r="F19" s="5">
        <v>276</v>
      </c>
    </row>
    <row r="20" spans="2:6" ht="16.5" x14ac:dyDescent="0.3">
      <c r="B20"/>
      <c r="C20"/>
      <c r="D20"/>
      <c r="E20"/>
      <c r="F20"/>
    </row>
    <row r="21" spans="2:6" ht="16.5" x14ac:dyDescent="0.3">
      <c r="B21"/>
      <c r="C21"/>
      <c r="D21"/>
      <c r="E21"/>
      <c r="F21"/>
    </row>
    <row r="22" spans="2:6" ht="16.5" x14ac:dyDescent="0.3">
      <c r="B22"/>
      <c r="C22"/>
      <c r="D22"/>
      <c r="E22"/>
      <c r="F22"/>
    </row>
    <row r="23" spans="2:6" ht="16.5" x14ac:dyDescent="0.3">
      <c r="B23"/>
      <c r="C23"/>
      <c r="D23"/>
      <c r="E23"/>
      <c r="F23"/>
    </row>
    <row r="24" spans="2:6" ht="16.5" x14ac:dyDescent="0.3">
      <c r="B24"/>
      <c r="C24"/>
      <c r="D24"/>
    </row>
    <row r="25" spans="2:6" ht="16.5" x14ac:dyDescent="0.3">
      <c r="B25"/>
      <c r="C25"/>
      <c r="D25"/>
    </row>
    <row r="26" spans="2:6" ht="16.5" x14ac:dyDescent="0.3">
      <c r="B26" s="40" t="s">
        <v>817</v>
      </c>
      <c r="C26"/>
      <c r="D26"/>
    </row>
    <row r="28" spans="2:6" ht="16.5" x14ac:dyDescent="0.3">
      <c r="B28" s="4" t="s">
        <v>772</v>
      </c>
      <c r="C28" t="s">
        <v>740</v>
      </c>
      <c r="D28"/>
    </row>
    <row r="29" spans="2:6" ht="16.5" x14ac:dyDescent="0.3">
      <c r="B29">
        <v>2027</v>
      </c>
      <c r="C29" s="5">
        <v>10</v>
      </c>
      <c r="D29"/>
    </row>
    <row r="30" spans="2:6" ht="16.5" x14ac:dyDescent="0.3">
      <c r="B30">
        <v>2028</v>
      </c>
      <c r="C30" s="5">
        <v>6</v>
      </c>
      <c r="D30"/>
    </row>
    <row r="31" spans="2:6" ht="16.5" x14ac:dyDescent="0.3">
      <c r="B31">
        <v>2029</v>
      </c>
      <c r="C31" s="5">
        <v>7</v>
      </c>
      <c r="D31"/>
    </row>
    <row r="32" spans="2:6" ht="16.5" x14ac:dyDescent="0.3">
      <c r="B32">
        <v>2030</v>
      </c>
      <c r="C32" s="5">
        <v>2</v>
      </c>
      <c r="D32"/>
    </row>
    <row r="33" spans="2:7" ht="16.5" x14ac:dyDescent="0.3">
      <c r="B33">
        <v>2031</v>
      </c>
      <c r="C33" s="5">
        <v>11</v>
      </c>
      <c r="D33"/>
    </row>
    <row r="34" spans="2:7" ht="16.5" x14ac:dyDescent="0.3">
      <c r="B34">
        <v>2032</v>
      </c>
      <c r="C34" s="5">
        <v>12</v>
      </c>
      <c r="D34"/>
    </row>
    <row r="35" spans="2:7" ht="16.5" x14ac:dyDescent="0.3">
      <c r="B35">
        <v>2033</v>
      </c>
      <c r="C35" s="5">
        <v>9</v>
      </c>
      <c r="D35"/>
    </row>
    <row r="36" spans="2:7" ht="16.5" x14ac:dyDescent="0.3">
      <c r="B36">
        <v>2034</v>
      </c>
      <c r="C36" s="5">
        <v>7</v>
      </c>
      <c r="D36"/>
    </row>
    <row r="37" spans="2:7" ht="16.5" x14ac:dyDescent="0.3">
      <c r="B37">
        <v>2035</v>
      </c>
      <c r="C37" s="5">
        <v>12</v>
      </c>
      <c r="D37"/>
    </row>
    <row r="38" spans="2:7" ht="16.5" x14ac:dyDescent="0.3">
      <c r="B38">
        <v>2036</v>
      </c>
      <c r="C38" s="5">
        <v>17</v>
      </c>
      <c r="D38"/>
    </row>
    <row r="39" spans="2:7" ht="16.5" x14ac:dyDescent="0.3">
      <c r="B39" t="s">
        <v>739</v>
      </c>
      <c r="C39" s="5">
        <v>93</v>
      </c>
      <c r="D39"/>
    </row>
    <row r="40" spans="2:7" ht="16.5" x14ac:dyDescent="0.3">
      <c r="B40"/>
      <c r="C40"/>
      <c r="D40"/>
    </row>
    <row r="41" spans="2:7" ht="16.5" x14ac:dyDescent="0.3">
      <c r="B41"/>
      <c r="C41"/>
      <c r="D41"/>
    </row>
    <row r="42" spans="2:7" ht="16.5" x14ac:dyDescent="0.3">
      <c r="B42"/>
      <c r="C42"/>
      <c r="D42"/>
    </row>
    <row r="43" spans="2:7" ht="16.5" x14ac:dyDescent="0.3">
      <c r="B43"/>
      <c r="C43"/>
      <c r="D43"/>
    </row>
    <row r="44" spans="2:7" ht="16.5" x14ac:dyDescent="0.3">
      <c r="B44" s="40" t="str">
        <f>"▸ 근속 구간 × 직군 — 인사시스템 근속년수 기준 (미상 "&amp;COUNTIF(tblRoster[근속구간],"미상")&amp;"명은 별도 행)"</f>
        <v>▸ 근속 구간 × 직군 — 인사시스템 근속년수 기준 (미상 69명은 별도 행)</v>
      </c>
      <c r="C44"/>
      <c r="D44"/>
    </row>
    <row r="45" spans="2:7" ht="16.5" x14ac:dyDescent="0.3">
      <c r="B45"/>
      <c r="C45"/>
      <c r="D45"/>
    </row>
    <row r="46" spans="2:7" ht="16.5" x14ac:dyDescent="0.3">
      <c r="B46" s="4" t="s">
        <v>740</v>
      </c>
      <c r="C46" s="4" t="s">
        <v>743</v>
      </c>
      <c r="D46"/>
      <c r="E46"/>
      <c r="F46"/>
      <c r="G46"/>
    </row>
    <row r="47" spans="2:7" ht="16.5" x14ac:dyDescent="0.3">
      <c r="B47" s="4" t="s">
        <v>773</v>
      </c>
      <c r="C47" t="s">
        <v>145</v>
      </c>
      <c r="D47" t="s">
        <v>744</v>
      </c>
      <c r="E47" t="s">
        <v>132</v>
      </c>
      <c r="F47" t="s">
        <v>239</v>
      </c>
      <c r="G47" t="s">
        <v>739</v>
      </c>
    </row>
    <row r="48" spans="2:7" ht="16.5" x14ac:dyDescent="0.3">
      <c r="B48" t="s">
        <v>771</v>
      </c>
      <c r="C48" s="5">
        <v>38</v>
      </c>
      <c r="D48" s="5"/>
      <c r="E48" s="5">
        <v>17</v>
      </c>
      <c r="F48" s="5">
        <v>5</v>
      </c>
      <c r="G48" s="5">
        <v>60</v>
      </c>
    </row>
    <row r="49" spans="2:7" ht="16.5" x14ac:dyDescent="0.3">
      <c r="B49" t="s">
        <v>770</v>
      </c>
      <c r="C49" s="5">
        <v>54</v>
      </c>
      <c r="D49" s="5"/>
      <c r="E49" s="5">
        <v>38</v>
      </c>
      <c r="F49" s="5">
        <v>11</v>
      </c>
      <c r="G49" s="5">
        <v>103</v>
      </c>
    </row>
    <row r="50" spans="2:7" ht="16.5" x14ac:dyDescent="0.3">
      <c r="B50" t="s">
        <v>774</v>
      </c>
      <c r="C50" s="5">
        <v>90</v>
      </c>
      <c r="D50" s="5"/>
      <c r="E50" s="5">
        <v>30</v>
      </c>
      <c r="F50" s="5">
        <v>13</v>
      </c>
      <c r="G50" s="5">
        <v>133</v>
      </c>
    </row>
    <row r="51" spans="2:7" ht="16.5" x14ac:dyDescent="0.3">
      <c r="B51" t="s">
        <v>775</v>
      </c>
      <c r="C51" s="5">
        <v>71</v>
      </c>
      <c r="D51" s="5"/>
      <c r="E51" s="5">
        <v>24</v>
      </c>
      <c r="F51" s="5">
        <v>2</v>
      </c>
      <c r="G51" s="5">
        <v>97</v>
      </c>
    </row>
    <row r="52" spans="2:7" ht="16.5" x14ac:dyDescent="0.3">
      <c r="B52" t="s">
        <v>776</v>
      </c>
      <c r="C52" s="5">
        <v>17</v>
      </c>
      <c r="D52" s="5"/>
      <c r="E52" s="5">
        <v>1</v>
      </c>
      <c r="F52" s="5"/>
      <c r="G52" s="5">
        <v>18</v>
      </c>
    </row>
    <row r="53" spans="2:7" ht="16.5" x14ac:dyDescent="0.3">
      <c r="B53" t="s">
        <v>777</v>
      </c>
      <c r="C53" s="5">
        <v>27</v>
      </c>
      <c r="D53" s="5">
        <v>30</v>
      </c>
      <c r="E53" s="5">
        <v>8</v>
      </c>
      <c r="F53" s="5">
        <v>4</v>
      </c>
      <c r="G53" s="5">
        <v>69</v>
      </c>
    </row>
    <row r="54" spans="2:7" ht="16.5" x14ac:dyDescent="0.3">
      <c r="B54" t="s">
        <v>739</v>
      </c>
      <c r="C54" s="5">
        <v>297</v>
      </c>
      <c r="D54" s="5">
        <v>30</v>
      </c>
      <c r="E54" s="5">
        <v>118</v>
      </c>
      <c r="F54" s="5">
        <v>35</v>
      </c>
      <c r="G54" s="5">
        <v>480</v>
      </c>
    </row>
    <row r="55" spans="2:7" ht="16.5" x14ac:dyDescent="0.3">
      <c r="B55"/>
      <c r="C55"/>
      <c r="D55"/>
    </row>
    <row r="56" spans="2:7" ht="16.5" x14ac:dyDescent="0.3">
      <c r="B56"/>
      <c r="C56"/>
      <c r="D56"/>
    </row>
    <row r="57" spans="2:7" ht="16.5" x14ac:dyDescent="0.3">
      <c r="B57"/>
      <c r="C57"/>
      <c r="D57"/>
    </row>
    <row r="58" spans="2:7" ht="16.5" x14ac:dyDescent="0.3">
      <c r="B58"/>
      <c r="C58"/>
      <c r="D58"/>
    </row>
    <row r="59" spans="2:7" ht="16.5" x14ac:dyDescent="0.3">
      <c r="B59"/>
      <c r="C59"/>
      <c r="D59"/>
    </row>
    <row r="60" spans="2:7" ht="16.5" x14ac:dyDescent="0.3">
      <c r="B60"/>
      <c r="C60"/>
      <c r="D60"/>
    </row>
    <row r="61" spans="2:7" ht="16.5" x14ac:dyDescent="0.3">
      <c r="B61"/>
      <c r="C61"/>
      <c r="D61"/>
    </row>
    <row r="62" spans="2:7" ht="16.5" x14ac:dyDescent="0.3">
      <c r="B62" s="40" t="s">
        <v>818</v>
      </c>
      <c r="C62"/>
      <c r="D62"/>
    </row>
    <row r="63" spans="2:7" ht="16.5" x14ac:dyDescent="0.3">
      <c r="B63" s="4" t="s">
        <v>819</v>
      </c>
      <c r="C63" t="s">
        <v>820</v>
      </c>
      <c r="D63"/>
    </row>
    <row r="64" spans="2:7" ht="16.5" x14ac:dyDescent="0.3">
      <c r="B64"/>
      <c r="C64"/>
    </row>
    <row r="65" spans="2:6" ht="16.5" x14ac:dyDescent="0.3">
      <c r="B65" s="4" t="s">
        <v>113</v>
      </c>
      <c r="C65" s="4" t="s">
        <v>114</v>
      </c>
      <c r="D65" s="4" t="s">
        <v>118</v>
      </c>
      <c r="E65" s="4" t="s">
        <v>1</v>
      </c>
      <c r="F65" t="s">
        <v>740</v>
      </c>
    </row>
    <row r="66" spans="2:6" ht="16.5" x14ac:dyDescent="0.3">
      <c r="B66" t="s">
        <v>171</v>
      </c>
      <c r="C66" t="s">
        <v>182</v>
      </c>
      <c r="D66" t="s">
        <v>192</v>
      </c>
      <c r="E66" t="s">
        <v>573</v>
      </c>
      <c r="F66" s="5">
        <v>1</v>
      </c>
    </row>
    <row r="67" spans="2:6" ht="16.5" x14ac:dyDescent="0.3">
      <c r="B67"/>
      <c r="C67" t="s">
        <v>185</v>
      </c>
      <c r="D67" t="s">
        <v>192</v>
      </c>
      <c r="E67" t="s">
        <v>190</v>
      </c>
      <c r="F67" s="5">
        <v>1</v>
      </c>
    </row>
    <row r="68" spans="2:6" ht="16.5" x14ac:dyDescent="0.3">
      <c r="B68" t="s">
        <v>162</v>
      </c>
      <c r="C68" t="s">
        <v>130</v>
      </c>
      <c r="D68" t="s">
        <v>201</v>
      </c>
      <c r="E68" t="s">
        <v>199</v>
      </c>
      <c r="F68" s="5">
        <v>1</v>
      </c>
    </row>
    <row r="69" spans="2:6" ht="16.5" x14ac:dyDescent="0.3">
      <c r="B69" t="s">
        <v>129</v>
      </c>
      <c r="C69" t="s">
        <v>197</v>
      </c>
      <c r="D69" t="s">
        <v>686</v>
      </c>
      <c r="E69" t="s">
        <v>685</v>
      </c>
      <c r="F69" s="5">
        <v>1</v>
      </c>
    </row>
    <row r="70" spans="2:6" ht="16.5" x14ac:dyDescent="0.3">
      <c r="B70" t="s">
        <v>236</v>
      </c>
      <c r="C70" t="s">
        <v>142</v>
      </c>
      <c r="D70" t="s">
        <v>244</v>
      </c>
      <c r="E70" t="s">
        <v>242</v>
      </c>
      <c r="F70" s="5">
        <v>1</v>
      </c>
    </row>
    <row r="71" spans="2:6" ht="16.5" x14ac:dyDescent="0.3">
      <c r="B71" t="s">
        <v>154</v>
      </c>
      <c r="C71" t="s">
        <v>182</v>
      </c>
      <c r="D71" t="s">
        <v>308</v>
      </c>
      <c r="E71" t="s">
        <v>307</v>
      </c>
      <c r="F71" s="5">
        <v>1</v>
      </c>
    </row>
    <row r="72" spans="2:6" ht="16.5" x14ac:dyDescent="0.3">
      <c r="B72"/>
      <c r="C72" t="s">
        <v>169</v>
      </c>
      <c r="D72" t="s">
        <v>516</v>
      </c>
      <c r="E72" t="s">
        <v>515</v>
      </c>
      <c r="F72" s="5">
        <v>1</v>
      </c>
    </row>
    <row r="73" spans="2:6" ht="16.5" x14ac:dyDescent="0.3">
      <c r="B73" t="s">
        <v>158</v>
      </c>
      <c r="C73" t="s">
        <v>222</v>
      </c>
      <c r="D73" t="s">
        <v>355</v>
      </c>
      <c r="E73" t="s">
        <v>354</v>
      </c>
      <c r="F73" s="5">
        <v>1</v>
      </c>
    </row>
    <row r="74" spans="2:6" ht="16.5" x14ac:dyDescent="0.3">
      <c r="B74" t="s">
        <v>184</v>
      </c>
      <c r="C74" t="s">
        <v>207</v>
      </c>
      <c r="D74" t="s">
        <v>437</v>
      </c>
      <c r="E74" t="s">
        <v>54</v>
      </c>
      <c r="F74" s="5">
        <v>1</v>
      </c>
    </row>
    <row r="75" spans="2:6" ht="16.5" x14ac:dyDescent="0.3">
      <c r="B75" t="s">
        <v>246</v>
      </c>
      <c r="C75" t="s">
        <v>211</v>
      </c>
      <c r="D75" t="s">
        <v>315</v>
      </c>
      <c r="E75" t="s">
        <v>29</v>
      </c>
      <c r="F75" s="5">
        <v>1</v>
      </c>
    </row>
    <row r="76" spans="2:6" ht="16.5" x14ac:dyDescent="0.3">
      <c r="B76" t="s">
        <v>147</v>
      </c>
      <c r="C76" t="s">
        <v>185</v>
      </c>
      <c r="D76" t="s">
        <v>681</v>
      </c>
      <c r="E76" t="s">
        <v>680</v>
      </c>
      <c r="F76" s="5">
        <v>1</v>
      </c>
    </row>
    <row r="77" spans="2:6" ht="16.5" x14ac:dyDescent="0.3">
      <c r="B77"/>
      <c r="C77"/>
      <c r="D77" t="s">
        <v>423</v>
      </c>
      <c r="E77" t="s">
        <v>422</v>
      </c>
      <c r="F77" s="5">
        <v>1</v>
      </c>
    </row>
    <row r="78" spans="2:6" ht="16.5" x14ac:dyDescent="0.3">
      <c r="B78" t="s">
        <v>739</v>
      </c>
      <c r="C78"/>
      <c r="D78"/>
      <c r="E78"/>
      <c r="F78" s="5">
        <v>12</v>
      </c>
    </row>
    <row r="79" spans="2:6" ht="16.5" x14ac:dyDescent="0.3">
      <c r="B79"/>
      <c r="C79"/>
      <c r="D79"/>
      <c r="E79"/>
      <c r="F79"/>
    </row>
    <row r="80" spans="2:6" ht="16.5" x14ac:dyDescent="0.3">
      <c r="B80"/>
      <c r="C80"/>
      <c r="D80"/>
      <c r="E80"/>
      <c r="F80"/>
    </row>
    <row r="81" spans="2:6" ht="16.5" x14ac:dyDescent="0.3">
      <c r="B81"/>
      <c r="C81"/>
      <c r="D81"/>
      <c r="E81"/>
      <c r="F81"/>
    </row>
    <row r="82" spans="2:6" ht="16.5" x14ac:dyDescent="0.3">
      <c r="B82"/>
      <c r="C82"/>
      <c r="D82"/>
      <c r="E82"/>
      <c r="F82"/>
    </row>
    <row r="83" spans="2:6" ht="16.5" x14ac:dyDescent="0.3">
      <c r="B83"/>
      <c r="C83"/>
      <c r="D83"/>
      <c r="E83"/>
      <c r="F83"/>
    </row>
    <row r="84" spans="2:6" ht="16.5" x14ac:dyDescent="0.3">
      <c r="B84"/>
      <c r="C84"/>
      <c r="D84"/>
      <c r="E84"/>
      <c r="F84"/>
    </row>
    <row r="85" spans="2:6" ht="16.5" x14ac:dyDescent="0.3">
      <c r="B85"/>
      <c r="C85"/>
      <c r="D85"/>
      <c r="E85"/>
      <c r="F85"/>
    </row>
    <row r="86" spans="2:6" ht="16.5" x14ac:dyDescent="0.3">
      <c r="B86"/>
      <c r="C86"/>
      <c r="D86"/>
      <c r="E86"/>
      <c r="F86"/>
    </row>
    <row r="87" spans="2:6" ht="16.5" x14ac:dyDescent="0.3">
      <c r="B87"/>
      <c r="C87"/>
      <c r="D87"/>
      <c r="E87"/>
      <c r="F87"/>
    </row>
    <row r="88" spans="2:6" ht="16.5" x14ac:dyDescent="0.3">
      <c r="B88"/>
      <c r="C88"/>
      <c r="D88"/>
      <c r="E88"/>
      <c r="F88"/>
    </row>
    <row r="89" spans="2:6" ht="16.5" x14ac:dyDescent="0.3">
      <c r="B89"/>
      <c r="C89"/>
      <c r="D89"/>
      <c r="E89"/>
      <c r="F89"/>
    </row>
    <row r="90" spans="2:6" ht="16.5" x14ac:dyDescent="0.3">
      <c r="B90"/>
      <c r="C90"/>
      <c r="D90"/>
      <c r="E90"/>
      <c r="F90"/>
    </row>
    <row r="91" spans="2:6" ht="16.5" x14ac:dyDescent="0.3">
      <c r="B91"/>
      <c r="C91"/>
      <c r="D91"/>
      <c r="E91"/>
      <c r="F91"/>
    </row>
    <row r="92" spans="2:6" ht="16.5" x14ac:dyDescent="0.3">
      <c r="B92"/>
      <c r="C92"/>
      <c r="D92"/>
      <c r="E92"/>
      <c r="F92"/>
    </row>
    <row r="93" spans="2:6" ht="16.5" x14ac:dyDescent="0.3">
      <c r="B93"/>
      <c r="C93"/>
      <c r="D93"/>
      <c r="E93"/>
      <c r="F93"/>
    </row>
    <row r="94" spans="2:6" ht="16.5" x14ac:dyDescent="0.3">
      <c r="B94"/>
      <c r="C94"/>
      <c r="D94"/>
      <c r="E94"/>
      <c r="F94"/>
    </row>
    <row r="95" spans="2:6" ht="16.5" x14ac:dyDescent="0.3">
      <c r="B95"/>
      <c r="C95"/>
      <c r="D95"/>
      <c r="E95"/>
      <c r="F95"/>
    </row>
    <row r="96" spans="2:6" ht="16.5" x14ac:dyDescent="0.3">
      <c r="B96"/>
      <c r="C96"/>
      <c r="D96"/>
      <c r="E96"/>
      <c r="F96"/>
    </row>
    <row r="97" spans="2:6" ht="16.5" x14ac:dyDescent="0.3">
      <c r="B97"/>
      <c r="C97"/>
      <c r="D97"/>
      <c r="E97"/>
      <c r="F97"/>
    </row>
    <row r="98" spans="2:6" ht="16.5" x14ac:dyDescent="0.3">
      <c r="B98"/>
      <c r="C98"/>
      <c r="D98"/>
      <c r="E98"/>
      <c r="F98"/>
    </row>
    <row r="99" spans="2:6" ht="16.5" x14ac:dyDescent="0.3">
      <c r="B99"/>
      <c r="C99"/>
      <c r="D99"/>
      <c r="E99"/>
      <c r="F99"/>
    </row>
    <row r="100" spans="2:6" ht="16.5" x14ac:dyDescent="0.3">
      <c r="B100"/>
      <c r="C100"/>
      <c r="D100"/>
      <c r="E100"/>
      <c r="F100"/>
    </row>
    <row r="101" spans="2:6" ht="16.5" x14ac:dyDescent="0.3">
      <c r="B101"/>
      <c r="C101"/>
      <c r="D101"/>
      <c r="E101"/>
      <c r="F101"/>
    </row>
    <row r="102" spans="2:6" ht="16.5" x14ac:dyDescent="0.3">
      <c r="B102"/>
      <c r="C102"/>
      <c r="D102"/>
      <c r="E102"/>
      <c r="F102"/>
    </row>
    <row r="103" spans="2:6" ht="16.5" x14ac:dyDescent="0.3">
      <c r="B103"/>
      <c r="C103"/>
      <c r="D103"/>
      <c r="E103"/>
      <c r="F103"/>
    </row>
    <row r="104" spans="2:6" ht="16.5" x14ac:dyDescent="0.3">
      <c r="B104"/>
      <c r="C104"/>
      <c r="D104"/>
      <c r="E104"/>
      <c r="F104"/>
    </row>
    <row r="105" spans="2:6" ht="16.5" x14ac:dyDescent="0.3">
      <c r="B105"/>
      <c r="C105"/>
      <c r="D105"/>
      <c r="E105"/>
      <c r="F105"/>
    </row>
    <row r="106" spans="2:6" ht="16.5" x14ac:dyDescent="0.3">
      <c r="B106"/>
      <c r="C106"/>
      <c r="D106"/>
      <c r="E106"/>
      <c r="F106"/>
    </row>
    <row r="107" spans="2:6" ht="16.5" x14ac:dyDescent="0.3">
      <c r="B107"/>
      <c r="C107"/>
      <c r="D107"/>
      <c r="E107"/>
      <c r="F107"/>
    </row>
    <row r="108" spans="2:6" ht="16.5" x14ac:dyDescent="0.3">
      <c r="B108"/>
      <c r="C108"/>
      <c r="D108"/>
      <c r="E108"/>
      <c r="F108"/>
    </row>
    <row r="109" spans="2:6" ht="16.5" x14ac:dyDescent="0.3">
      <c r="B109"/>
      <c r="C109"/>
      <c r="D109"/>
      <c r="E109"/>
      <c r="F109"/>
    </row>
    <row r="110" spans="2:6" ht="16.5" x14ac:dyDescent="0.3">
      <c r="B110"/>
      <c r="C110"/>
      <c r="D110"/>
      <c r="E110"/>
      <c r="F110"/>
    </row>
    <row r="111" spans="2:6" ht="16.5" x14ac:dyDescent="0.3">
      <c r="B111"/>
      <c r="C111"/>
      <c r="D111"/>
      <c r="E111"/>
      <c r="F111"/>
    </row>
    <row r="112" spans="2:6" ht="16.5" x14ac:dyDescent="0.3">
      <c r="B112"/>
      <c r="C112"/>
      <c r="D112"/>
      <c r="E112"/>
      <c r="F112"/>
    </row>
    <row r="113" spans="2:6" ht="16.5" x14ac:dyDescent="0.3">
      <c r="B113"/>
      <c r="C113"/>
      <c r="D113"/>
      <c r="E113"/>
      <c r="F113"/>
    </row>
    <row r="114" spans="2:6" ht="16.5" x14ac:dyDescent="0.3">
      <c r="B114"/>
      <c r="C114"/>
      <c r="D114"/>
      <c r="E114"/>
      <c r="F114"/>
    </row>
    <row r="115" spans="2:6" ht="16.5" x14ac:dyDescent="0.3">
      <c r="B115"/>
      <c r="C115"/>
      <c r="D115"/>
      <c r="E115"/>
      <c r="F115"/>
    </row>
    <row r="116" spans="2:6" ht="16.5" x14ac:dyDescent="0.3">
      <c r="B116"/>
      <c r="C116"/>
      <c r="D116"/>
      <c r="E116"/>
      <c r="F116"/>
    </row>
    <row r="117" spans="2:6" ht="16.5" x14ac:dyDescent="0.3">
      <c r="B117"/>
      <c r="C117"/>
      <c r="D117"/>
      <c r="E117"/>
      <c r="F117"/>
    </row>
    <row r="118" spans="2:6" ht="16.5" x14ac:dyDescent="0.3">
      <c r="B118"/>
      <c r="C118"/>
      <c r="D118"/>
      <c r="E118"/>
      <c r="F118"/>
    </row>
    <row r="119" spans="2:6" ht="16.5" x14ac:dyDescent="0.3">
      <c r="B119"/>
      <c r="C119"/>
      <c r="D119"/>
      <c r="E119"/>
      <c r="F119"/>
    </row>
    <row r="120" spans="2:6" ht="16.5" x14ac:dyDescent="0.3">
      <c r="B120"/>
      <c r="C120"/>
      <c r="D120"/>
      <c r="E120"/>
      <c r="F120"/>
    </row>
    <row r="121" spans="2:6" ht="16.5" x14ac:dyDescent="0.3">
      <c r="B121"/>
      <c r="C121"/>
      <c r="D121"/>
      <c r="E121"/>
      <c r="F121"/>
    </row>
    <row r="122" spans="2:6" ht="16.5" x14ac:dyDescent="0.3">
      <c r="B122"/>
      <c r="C122"/>
      <c r="D122"/>
      <c r="E122"/>
      <c r="F122"/>
    </row>
    <row r="123" spans="2:6" ht="16.5" x14ac:dyDescent="0.3">
      <c r="B123"/>
      <c r="C123"/>
      <c r="D123"/>
      <c r="E123"/>
      <c r="F123"/>
    </row>
    <row r="124" spans="2:6" ht="16.5" x14ac:dyDescent="0.3">
      <c r="B124"/>
      <c r="C124"/>
      <c r="D124"/>
      <c r="E124"/>
      <c r="F124"/>
    </row>
    <row r="125" spans="2:6" ht="16.5" x14ac:dyDescent="0.3">
      <c r="B125"/>
      <c r="C125"/>
      <c r="D125"/>
      <c r="E125"/>
      <c r="F125"/>
    </row>
    <row r="126" spans="2:6" ht="16.5" x14ac:dyDescent="0.3">
      <c r="B126"/>
      <c r="C126"/>
      <c r="D126"/>
      <c r="E126"/>
      <c r="F126"/>
    </row>
    <row r="127" spans="2:6" ht="16.5" x14ac:dyDescent="0.3">
      <c r="B127"/>
      <c r="C127"/>
      <c r="D127"/>
      <c r="E127"/>
      <c r="F127"/>
    </row>
    <row r="128" spans="2:6" ht="16.5" x14ac:dyDescent="0.3">
      <c r="B128"/>
      <c r="C128"/>
      <c r="D128"/>
      <c r="E128"/>
      <c r="F128"/>
    </row>
    <row r="129" spans="2:6" ht="16.5" x14ac:dyDescent="0.3">
      <c r="B129"/>
      <c r="C129"/>
      <c r="D129"/>
      <c r="E129"/>
      <c r="F129"/>
    </row>
    <row r="130" spans="2:6" ht="16.5" x14ac:dyDescent="0.3">
      <c r="B130"/>
      <c r="C130"/>
      <c r="D130"/>
      <c r="E130"/>
      <c r="F130"/>
    </row>
    <row r="131" spans="2:6" ht="16.5" x14ac:dyDescent="0.3">
      <c r="B131"/>
      <c r="C131"/>
      <c r="D131"/>
      <c r="E131"/>
      <c r="F131"/>
    </row>
    <row r="132" spans="2:6" ht="16.5" x14ac:dyDescent="0.3">
      <c r="B132"/>
      <c r="C132"/>
      <c r="D132"/>
      <c r="E132"/>
      <c r="F132"/>
    </row>
    <row r="133" spans="2:6" ht="16.5" x14ac:dyDescent="0.3">
      <c r="B133"/>
      <c r="C133"/>
      <c r="D133"/>
      <c r="E133"/>
      <c r="F133"/>
    </row>
    <row r="134" spans="2:6" ht="16.5" x14ac:dyDescent="0.3">
      <c r="B134"/>
      <c r="C134"/>
      <c r="D134"/>
      <c r="E134"/>
      <c r="F134"/>
    </row>
    <row r="135" spans="2:6" ht="16.5" x14ac:dyDescent="0.3">
      <c r="B135"/>
      <c r="C135"/>
      <c r="D135"/>
      <c r="E135"/>
      <c r="F135"/>
    </row>
    <row r="136" spans="2:6" ht="16.5" x14ac:dyDescent="0.3">
      <c r="B136"/>
      <c r="C136"/>
      <c r="D136"/>
      <c r="E136"/>
      <c r="F136"/>
    </row>
    <row r="137" spans="2:6" ht="16.5" x14ac:dyDescent="0.3">
      <c r="B137"/>
      <c r="C137"/>
      <c r="D137"/>
      <c r="E137"/>
      <c r="F137"/>
    </row>
    <row r="138" spans="2:6" ht="16.5" x14ac:dyDescent="0.3">
      <c r="B138"/>
      <c r="C138"/>
      <c r="D138"/>
      <c r="E138"/>
      <c r="F138"/>
    </row>
    <row r="139" spans="2:6" ht="16.5" x14ac:dyDescent="0.3">
      <c r="B139"/>
      <c r="C139"/>
      <c r="D139"/>
      <c r="E139"/>
      <c r="F139"/>
    </row>
    <row r="140" spans="2:6" ht="16.5" x14ac:dyDescent="0.3">
      <c r="B140"/>
      <c r="C140"/>
      <c r="D140"/>
      <c r="E140"/>
      <c r="F140"/>
    </row>
    <row r="141" spans="2:6" ht="16.5" x14ac:dyDescent="0.3">
      <c r="B141"/>
      <c r="C141"/>
      <c r="D141"/>
      <c r="E141"/>
      <c r="F141"/>
    </row>
    <row r="142" spans="2:6" ht="16.5" x14ac:dyDescent="0.3">
      <c r="B142"/>
      <c r="C142"/>
      <c r="D142"/>
      <c r="E142"/>
      <c r="F142"/>
    </row>
    <row r="143" spans="2:6" ht="16.5" x14ac:dyDescent="0.3">
      <c r="B143"/>
      <c r="C143"/>
      <c r="D143"/>
      <c r="E143"/>
      <c r="F143"/>
    </row>
    <row r="144" spans="2:6" ht="16.5" x14ac:dyDescent="0.3">
      <c r="B144"/>
      <c r="C144"/>
      <c r="D144"/>
      <c r="E144"/>
      <c r="F144"/>
    </row>
    <row r="145" spans="2:6" ht="16.5" x14ac:dyDescent="0.3">
      <c r="B145"/>
      <c r="C145"/>
      <c r="D145"/>
      <c r="E145"/>
      <c r="F145"/>
    </row>
    <row r="146" spans="2:6" ht="16.5" x14ac:dyDescent="0.3">
      <c r="B146"/>
      <c r="C146"/>
      <c r="D146"/>
      <c r="E146"/>
      <c r="F146"/>
    </row>
    <row r="147" spans="2:6" ht="16.5" x14ac:dyDescent="0.3">
      <c r="B147"/>
      <c r="C147"/>
      <c r="D147"/>
      <c r="E147"/>
      <c r="F147"/>
    </row>
    <row r="148" spans="2:6" ht="16.5" x14ac:dyDescent="0.3">
      <c r="B148"/>
      <c r="C148"/>
      <c r="D148"/>
      <c r="E148"/>
      <c r="F148"/>
    </row>
    <row r="149" spans="2:6" ht="16.5" x14ac:dyDescent="0.3">
      <c r="B149"/>
      <c r="C149"/>
      <c r="D149"/>
      <c r="E149"/>
      <c r="F149"/>
    </row>
    <row r="150" spans="2:6" ht="16.5" x14ac:dyDescent="0.3">
      <c r="B150"/>
      <c r="C150"/>
      <c r="D150"/>
      <c r="E150"/>
      <c r="F150"/>
    </row>
    <row r="151" spans="2:6" ht="16.5" x14ac:dyDescent="0.3">
      <c r="B151"/>
      <c r="C151"/>
      <c r="D151"/>
      <c r="E151"/>
      <c r="F151"/>
    </row>
    <row r="152" spans="2:6" ht="16.5" x14ac:dyDescent="0.3">
      <c r="B152"/>
      <c r="C152"/>
      <c r="D152"/>
      <c r="E152"/>
      <c r="F152"/>
    </row>
    <row r="153" spans="2:6" ht="16.5" x14ac:dyDescent="0.3">
      <c r="B153"/>
      <c r="C153"/>
      <c r="D153"/>
      <c r="E153"/>
      <c r="F153"/>
    </row>
    <row r="154" spans="2:6" ht="16.5" x14ac:dyDescent="0.3">
      <c r="B154"/>
      <c r="C154"/>
      <c r="D154"/>
      <c r="E154"/>
      <c r="F154"/>
    </row>
    <row r="155" spans="2:6" ht="16.5" x14ac:dyDescent="0.3">
      <c r="B155"/>
      <c r="C155"/>
      <c r="D155"/>
      <c r="E155"/>
      <c r="F155"/>
    </row>
    <row r="156" spans="2:6" ht="16.5" x14ac:dyDescent="0.3">
      <c r="B156"/>
      <c r="C156"/>
      <c r="D156"/>
      <c r="E156"/>
      <c r="F156"/>
    </row>
    <row r="157" spans="2:6" ht="16.5" x14ac:dyDescent="0.3">
      <c r="B157"/>
      <c r="C157"/>
      <c r="D157"/>
      <c r="E157"/>
      <c r="F157"/>
    </row>
    <row r="158" spans="2:6" ht="16.5" x14ac:dyDescent="0.3">
      <c r="B158"/>
      <c r="C158"/>
      <c r="D158"/>
      <c r="E158"/>
      <c r="F158"/>
    </row>
    <row r="159" spans="2:6" ht="16.5" x14ac:dyDescent="0.3">
      <c r="B159"/>
      <c r="C159"/>
      <c r="D159"/>
      <c r="E159"/>
      <c r="F159"/>
    </row>
    <row r="160" spans="2:6" ht="16.5" x14ac:dyDescent="0.3">
      <c r="B160"/>
      <c r="C160"/>
      <c r="D160"/>
      <c r="E160"/>
      <c r="F160"/>
    </row>
    <row r="161" spans="2:6" ht="16.5" x14ac:dyDescent="0.3">
      <c r="B161"/>
      <c r="C161"/>
      <c r="D161"/>
      <c r="E161"/>
      <c r="F161"/>
    </row>
    <row r="162" spans="2:6" ht="16.5" x14ac:dyDescent="0.3">
      <c r="B162"/>
      <c r="C162"/>
      <c r="D162"/>
      <c r="E162"/>
      <c r="F162"/>
    </row>
    <row r="163" spans="2:6" ht="16.5" x14ac:dyDescent="0.3">
      <c r="B163"/>
      <c r="C163"/>
      <c r="D163"/>
      <c r="E163"/>
      <c r="F163"/>
    </row>
    <row r="164" spans="2:6" ht="16.5" x14ac:dyDescent="0.3">
      <c r="B164"/>
      <c r="C164"/>
      <c r="D164"/>
      <c r="E164"/>
      <c r="F164"/>
    </row>
    <row r="165" spans="2:6" ht="16.5" x14ac:dyDescent="0.3">
      <c r="B165"/>
      <c r="C165"/>
      <c r="D165"/>
      <c r="E165"/>
      <c r="F165"/>
    </row>
    <row r="166" spans="2:6" ht="16.5" x14ac:dyDescent="0.3">
      <c r="B166"/>
      <c r="C166"/>
      <c r="D166"/>
      <c r="E166"/>
      <c r="F166"/>
    </row>
    <row r="167" spans="2:6" ht="16.5" x14ac:dyDescent="0.3">
      <c r="B167"/>
      <c r="C167"/>
      <c r="D167"/>
      <c r="E167"/>
      <c r="F167"/>
    </row>
    <row r="168" spans="2:6" ht="16.5" x14ac:dyDescent="0.3">
      <c r="B168"/>
      <c r="C168"/>
      <c r="D168"/>
      <c r="E168"/>
      <c r="F168"/>
    </row>
    <row r="169" spans="2:6" ht="16.5" x14ac:dyDescent="0.3">
      <c r="B169"/>
      <c r="C169"/>
      <c r="D169"/>
      <c r="E169"/>
      <c r="F169"/>
    </row>
    <row r="170" spans="2:6" ht="16.5" x14ac:dyDescent="0.3">
      <c r="B170"/>
      <c r="C170"/>
      <c r="D170"/>
      <c r="E170"/>
      <c r="F170"/>
    </row>
    <row r="171" spans="2:6" ht="16.5" x14ac:dyDescent="0.3">
      <c r="B171"/>
      <c r="C171"/>
      <c r="D171"/>
      <c r="E171"/>
      <c r="F171"/>
    </row>
    <row r="172" spans="2:6" ht="16.5" x14ac:dyDescent="0.3">
      <c r="B172"/>
      <c r="C172"/>
      <c r="D172"/>
      <c r="E172"/>
      <c r="F172"/>
    </row>
    <row r="173" spans="2:6" ht="16.5" x14ac:dyDescent="0.3">
      <c r="B173"/>
      <c r="C173"/>
      <c r="D173"/>
      <c r="E173"/>
      <c r="F173"/>
    </row>
    <row r="174" spans="2:6" ht="16.5" x14ac:dyDescent="0.3">
      <c r="B174"/>
      <c r="C174"/>
      <c r="D174"/>
      <c r="E174"/>
      <c r="F174"/>
    </row>
    <row r="175" spans="2:6" ht="16.5" x14ac:dyDescent="0.3">
      <c r="B175"/>
      <c r="C175"/>
      <c r="D175"/>
      <c r="E175"/>
      <c r="F175"/>
    </row>
    <row r="176" spans="2:6" ht="16.5" x14ac:dyDescent="0.3">
      <c r="B176"/>
      <c r="C176"/>
      <c r="D176"/>
      <c r="E176"/>
      <c r="F176"/>
    </row>
    <row r="177" spans="2:6" ht="16.5" x14ac:dyDescent="0.3">
      <c r="B177"/>
      <c r="C177"/>
      <c r="D177"/>
      <c r="E177"/>
      <c r="F177"/>
    </row>
    <row r="178" spans="2:6" ht="16.5" x14ac:dyDescent="0.3">
      <c r="B178"/>
      <c r="C178"/>
      <c r="D178"/>
      <c r="E178"/>
      <c r="F178"/>
    </row>
    <row r="179" spans="2:6" ht="16.5" x14ac:dyDescent="0.3">
      <c r="B179"/>
      <c r="C179"/>
      <c r="D179"/>
      <c r="E179"/>
      <c r="F179"/>
    </row>
    <row r="180" spans="2:6" ht="16.5" x14ac:dyDescent="0.3">
      <c r="B180"/>
      <c r="C180"/>
      <c r="D180"/>
      <c r="E180"/>
      <c r="F180"/>
    </row>
    <row r="181" spans="2:6" ht="16.5" x14ac:dyDescent="0.3">
      <c r="B181"/>
      <c r="C181"/>
      <c r="D181"/>
      <c r="E181"/>
      <c r="F181"/>
    </row>
    <row r="182" spans="2:6" ht="16.5" x14ac:dyDescent="0.3">
      <c r="B182"/>
      <c r="C182"/>
      <c r="D182"/>
      <c r="E182"/>
      <c r="F182"/>
    </row>
    <row r="183" spans="2:6" ht="16.5" x14ac:dyDescent="0.3">
      <c r="B183"/>
      <c r="C183"/>
      <c r="D183"/>
      <c r="E183"/>
      <c r="F183"/>
    </row>
    <row r="184" spans="2:6" ht="16.5" x14ac:dyDescent="0.3">
      <c r="B184"/>
      <c r="C184"/>
      <c r="D184"/>
      <c r="E184"/>
      <c r="F184"/>
    </row>
    <row r="185" spans="2:6" ht="16.5" x14ac:dyDescent="0.3">
      <c r="B185"/>
      <c r="C185"/>
      <c r="D185"/>
      <c r="E185"/>
      <c r="F185"/>
    </row>
    <row r="186" spans="2:6" ht="16.5" x14ac:dyDescent="0.3">
      <c r="B186"/>
      <c r="C186"/>
      <c r="D186"/>
      <c r="E186"/>
      <c r="F186"/>
    </row>
    <row r="187" spans="2:6" ht="16.5" x14ac:dyDescent="0.3">
      <c r="B187"/>
      <c r="C187"/>
      <c r="D187"/>
      <c r="E187"/>
      <c r="F187"/>
    </row>
    <row r="188" spans="2:6" ht="16.5" x14ac:dyDescent="0.3">
      <c r="B188"/>
      <c r="C188"/>
      <c r="D188"/>
      <c r="E188"/>
      <c r="F188"/>
    </row>
    <row r="189" spans="2:6" ht="16.5" x14ac:dyDescent="0.3">
      <c r="B189"/>
      <c r="C189"/>
      <c r="D189"/>
      <c r="E189"/>
      <c r="F189"/>
    </row>
    <row r="190" spans="2:6" ht="16.5" x14ac:dyDescent="0.3">
      <c r="B190"/>
      <c r="C190"/>
      <c r="D190"/>
      <c r="E190"/>
      <c r="F190"/>
    </row>
    <row r="191" spans="2:6" ht="16.5" x14ac:dyDescent="0.3">
      <c r="B191"/>
      <c r="C191"/>
      <c r="D191"/>
      <c r="E191"/>
      <c r="F191"/>
    </row>
    <row r="192" spans="2:6" ht="16.5" x14ac:dyDescent="0.3">
      <c r="B192"/>
      <c r="C192"/>
      <c r="D192"/>
      <c r="E192"/>
      <c r="F192"/>
    </row>
    <row r="193" spans="2:6" ht="16.5" x14ac:dyDescent="0.3">
      <c r="B193"/>
      <c r="C193"/>
      <c r="D193"/>
      <c r="E193"/>
      <c r="F193"/>
    </row>
    <row r="194" spans="2:6" ht="16.5" x14ac:dyDescent="0.3">
      <c r="B194"/>
      <c r="C194"/>
      <c r="D194"/>
      <c r="E194"/>
      <c r="F194"/>
    </row>
    <row r="195" spans="2:6" ht="16.5" x14ac:dyDescent="0.3">
      <c r="B195"/>
      <c r="C195"/>
      <c r="D195"/>
      <c r="E195"/>
      <c r="F195"/>
    </row>
    <row r="196" spans="2:6" ht="16.5" x14ac:dyDescent="0.3">
      <c r="B196"/>
      <c r="C196"/>
      <c r="D196"/>
      <c r="E196"/>
      <c r="F196"/>
    </row>
    <row r="197" spans="2:6" ht="16.5" x14ac:dyDescent="0.3">
      <c r="B197"/>
      <c r="C197"/>
      <c r="D197"/>
      <c r="E197"/>
      <c r="F197"/>
    </row>
    <row r="198" spans="2:6" ht="16.5" x14ac:dyDescent="0.3">
      <c r="B198"/>
      <c r="C198"/>
      <c r="D198"/>
      <c r="E198"/>
      <c r="F198"/>
    </row>
    <row r="199" spans="2:6" ht="16.5" x14ac:dyDescent="0.3">
      <c r="B199"/>
      <c r="C199"/>
      <c r="D199"/>
      <c r="E199"/>
      <c r="F199"/>
    </row>
    <row r="200" spans="2:6" ht="16.5" x14ac:dyDescent="0.3">
      <c r="B200"/>
      <c r="C200"/>
      <c r="D200"/>
      <c r="E200"/>
      <c r="F200"/>
    </row>
    <row r="201" spans="2:6" ht="16.5" x14ac:dyDescent="0.3">
      <c r="B201"/>
      <c r="C201"/>
      <c r="D201"/>
      <c r="E201"/>
      <c r="F201"/>
    </row>
    <row r="202" spans="2:6" ht="16.5" x14ac:dyDescent="0.3">
      <c r="B202"/>
      <c r="C202"/>
      <c r="D202"/>
      <c r="E202"/>
      <c r="F202"/>
    </row>
    <row r="203" spans="2:6" ht="16.5" x14ac:dyDescent="0.3">
      <c r="B203"/>
      <c r="C203"/>
      <c r="D203"/>
      <c r="E203"/>
      <c r="F203"/>
    </row>
    <row r="204" spans="2:6" ht="16.5" x14ac:dyDescent="0.3">
      <c r="B204"/>
      <c r="C204"/>
      <c r="D204"/>
      <c r="E204"/>
      <c r="F204"/>
    </row>
    <row r="205" spans="2:6" ht="16.5" x14ac:dyDescent="0.3">
      <c r="B205"/>
      <c r="C205"/>
      <c r="D205"/>
      <c r="E205"/>
      <c r="F205"/>
    </row>
    <row r="206" spans="2:6" ht="16.5" x14ac:dyDescent="0.3">
      <c r="B206"/>
      <c r="C206"/>
      <c r="D206"/>
      <c r="E206"/>
      <c r="F206"/>
    </row>
    <row r="207" spans="2:6" ht="16.5" x14ac:dyDescent="0.3">
      <c r="B207"/>
      <c r="C207"/>
      <c r="D207"/>
      <c r="E207"/>
      <c r="F207"/>
    </row>
    <row r="208" spans="2:6" ht="16.5" x14ac:dyDescent="0.3">
      <c r="B208"/>
      <c r="C208"/>
      <c r="D208"/>
      <c r="E208"/>
      <c r="F208"/>
    </row>
    <row r="209" spans="2:6" ht="16.5" x14ac:dyDescent="0.3">
      <c r="B209"/>
      <c r="C209"/>
      <c r="D209"/>
      <c r="E209"/>
      <c r="F209"/>
    </row>
    <row r="210" spans="2:6" ht="16.5" x14ac:dyDescent="0.3">
      <c r="B210"/>
      <c r="C210"/>
      <c r="D210"/>
      <c r="E210"/>
      <c r="F210"/>
    </row>
    <row r="211" spans="2:6" ht="16.5" x14ac:dyDescent="0.3">
      <c r="B211"/>
      <c r="C211"/>
      <c r="D211"/>
      <c r="E211"/>
      <c r="F211"/>
    </row>
    <row r="212" spans="2:6" ht="16.5" x14ac:dyDescent="0.3">
      <c r="B212"/>
      <c r="C212"/>
      <c r="D212"/>
      <c r="E212"/>
      <c r="F212"/>
    </row>
    <row r="213" spans="2:6" ht="16.5" x14ac:dyDescent="0.3">
      <c r="B213"/>
      <c r="C213"/>
      <c r="D213"/>
      <c r="E213"/>
      <c r="F213"/>
    </row>
    <row r="214" spans="2:6" ht="16.5" x14ac:dyDescent="0.3">
      <c r="B214"/>
      <c r="C214"/>
      <c r="D214"/>
      <c r="E214"/>
      <c r="F214"/>
    </row>
    <row r="215" spans="2:6" ht="16.5" x14ac:dyDescent="0.3">
      <c r="B215"/>
      <c r="C215"/>
      <c r="D215"/>
      <c r="E215"/>
      <c r="F215"/>
    </row>
    <row r="216" spans="2:6" ht="16.5" x14ac:dyDescent="0.3">
      <c r="B216"/>
      <c r="C216"/>
      <c r="D216"/>
      <c r="E216"/>
      <c r="F216"/>
    </row>
    <row r="217" spans="2:6" ht="16.5" x14ac:dyDescent="0.3">
      <c r="B217"/>
      <c r="C217"/>
      <c r="D217"/>
      <c r="E217"/>
      <c r="F217"/>
    </row>
    <row r="218" spans="2:6" ht="16.5" x14ac:dyDescent="0.3">
      <c r="B218"/>
      <c r="C218"/>
      <c r="D218"/>
      <c r="E218"/>
      <c r="F218"/>
    </row>
    <row r="219" spans="2:6" ht="16.5" x14ac:dyDescent="0.3">
      <c r="B219"/>
      <c r="C219"/>
      <c r="D219"/>
      <c r="E219"/>
      <c r="F219"/>
    </row>
    <row r="220" spans="2:6" ht="16.5" x14ac:dyDescent="0.3">
      <c r="B220"/>
      <c r="C220"/>
      <c r="D220"/>
      <c r="E220"/>
      <c r="F220"/>
    </row>
    <row r="221" spans="2:6" ht="16.5" x14ac:dyDescent="0.3">
      <c r="B221"/>
      <c r="C221"/>
      <c r="D221"/>
      <c r="E221"/>
      <c r="F221"/>
    </row>
    <row r="222" spans="2:6" ht="16.5" x14ac:dyDescent="0.3">
      <c r="B222"/>
      <c r="C222"/>
      <c r="D222"/>
      <c r="E222"/>
      <c r="F222"/>
    </row>
    <row r="223" spans="2:6" ht="16.5" x14ac:dyDescent="0.3">
      <c r="B223"/>
      <c r="C223"/>
      <c r="D223"/>
      <c r="E223"/>
      <c r="F223"/>
    </row>
    <row r="224" spans="2:6" ht="16.5" x14ac:dyDescent="0.3">
      <c r="B224"/>
      <c r="C224"/>
      <c r="D224"/>
      <c r="E224"/>
      <c r="F224"/>
    </row>
    <row r="225" spans="2:6" ht="16.5" x14ac:dyDescent="0.3">
      <c r="B225"/>
      <c r="C225"/>
      <c r="D225"/>
      <c r="E225"/>
      <c r="F225"/>
    </row>
    <row r="226" spans="2:6" ht="16.5" x14ac:dyDescent="0.3">
      <c r="B226"/>
      <c r="C226"/>
      <c r="D226"/>
      <c r="E226"/>
      <c r="F226"/>
    </row>
    <row r="227" spans="2:6" ht="16.5" x14ac:dyDescent="0.3">
      <c r="B227"/>
      <c r="C227"/>
      <c r="D227"/>
      <c r="E227"/>
      <c r="F227"/>
    </row>
    <row r="228" spans="2:6" ht="16.5" x14ac:dyDescent="0.3">
      <c r="B228"/>
      <c r="C228"/>
      <c r="D228"/>
      <c r="E228"/>
      <c r="F228"/>
    </row>
    <row r="229" spans="2:6" ht="16.5" x14ac:dyDescent="0.3">
      <c r="B229"/>
      <c r="C229"/>
      <c r="D229"/>
      <c r="E229"/>
      <c r="F229"/>
    </row>
    <row r="230" spans="2:6" ht="16.5" x14ac:dyDescent="0.3">
      <c r="B230"/>
      <c r="C230"/>
      <c r="D230"/>
      <c r="E230"/>
      <c r="F230"/>
    </row>
    <row r="231" spans="2:6" ht="16.5" x14ac:dyDescent="0.3">
      <c r="B231"/>
      <c r="C231"/>
      <c r="D231"/>
      <c r="E231"/>
      <c r="F231"/>
    </row>
    <row r="232" spans="2:6" ht="16.5" x14ac:dyDescent="0.3">
      <c r="B232"/>
      <c r="C232"/>
      <c r="D232"/>
      <c r="E232"/>
      <c r="F232"/>
    </row>
    <row r="233" spans="2:6" ht="16.5" x14ac:dyDescent="0.3">
      <c r="B233"/>
      <c r="C233"/>
      <c r="D233"/>
      <c r="E233"/>
      <c r="F233"/>
    </row>
    <row r="234" spans="2:6" ht="16.5" x14ac:dyDescent="0.3">
      <c r="B234"/>
      <c r="C234"/>
      <c r="D234"/>
      <c r="E234"/>
      <c r="F234"/>
    </row>
    <row r="235" spans="2:6" ht="16.5" x14ac:dyDescent="0.3">
      <c r="B235"/>
      <c r="C235"/>
      <c r="D235"/>
      <c r="E235"/>
      <c r="F235"/>
    </row>
    <row r="236" spans="2:6" ht="16.5" x14ac:dyDescent="0.3">
      <c r="B236"/>
      <c r="C236"/>
      <c r="D236"/>
      <c r="E236"/>
      <c r="F236"/>
    </row>
    <row r="237" spans="2:6" ht="16.5" x14ac:dyDescent="0.3">
      <c r="B237"/>
      <c r="C237"/>
      <c r="D237"/>
      <c r="E237"/>
      <c r="F237"/>
    </row>
    <row r="238" spans="2:6" ht="16.5" x14ac:dyDescent="0.3">
      <c r="B238"/>
      <c r="C238"/>
      <c r="D238"/>
      <c r="E238"/>
      <c r="F238"/>
    </row>
    <row r="239" spans="2:6" ht="16.5" x14ac:dyDescent="0.3">
      <c r="B239"/>
      <c r="C239"/>
      <c r="D239"/>
      <c r="E239"/>
      <c r="F239"/>
    </row>
    <row r="240" spans="2:6" ht="16.5" x14ac:dyDescent="0.3">
      <c r="B240"/>
      <c r="C240"/>
      <c r="D240"/>
      <c r="E240"/>
      <c r="F240"/>
    </row>
    <row r="241" spans="2:6" ht="16.5" x14ac:dyDescent="0.3">
      <c r="B241"/>
      <c r="C241"/>
      <c r="D241"/>
      <c r="E241"/>
      <c r="F241"/>
    </row>
    <row r="242" spans="2:6" ht="16.5" x14ac:dyDescent="0.3">
      <c r="B242"/>
      <c r="C242"/>
      <c r="D242"/>
      <c r="E242"/>
      <c r="F242"/>
    </row>
    <row r="243" spans="2:6" ht="16.5" x14ac:dyDescent="0.3">
      <c r="B243"/>
      <c r="C243"/>
      <c r="D243"/>
      <c r="E243"/>
      <c r="F243"/>
    </row>
    <row r="244" spans="2:6" ht="16.5" x14ac:dyDescent="0.3">
      <c r="B244"/>
      <c r="C244"/>
      <c r="D244"/>
      <c r="E244"/>
      <c r="F244"/>
    </row>
    <row r="245" spans="2:6" ht="16.5" x14ac:dyDescent="0.3">
      <c r="B245"/>
      <c r="C245"/>
      <c r="D245"/>
      <c r="E245"/>
      <c r="F245"/>
    </row>
    <row r="246" spans="2:6" ht="16.5" x14ac:dyDescent="0.3">
      <c r="B246"/>
      <c r="C246"/>
      <c r="D246"/>
      <c r="E246"/>
      <c r="F246"/>
    </row>
    <row r="247" spans="2:6" ht="16.5" x14ac:dyDescent="0.3">
      <c r="B247"/>
      <c r="C247"/>
      <c r="D247"/>
      <c r="E247"/>
      <c r="F247"/>
    </row>
    <row r="248" spans="2:6" ht="16.5" x14ac:dyDescent="0.3">
      <c r="B248"/>
      <c r="C248"/>
      <c r="D248"/>
      <c r="E248"/>
      <c r="F248"/>
    </row>
    <row r="249" spans="2:6" ht="16.5" x14ac:dyDescent="0.3">
      <c r="B249"/>
      <c r="C249"/>
      <c r="D249"/>
      <c r="E249"/>
      <c r="F249"/>
    </row>
    <row r="250" spans="2:6" ht="16.5" x14ac:dyDescent="0.3">
      <c r="B250"/>
      <c r="C250"/>
      <c r="D250"/>
      <c r="E250"/>
      <c r="F250"/>
    </row>
    <row r="251" spans="2:6" ht="16.5" x14ac:dyDescent="0.3">
      <c r="B251"/>
      <c r="C251"/>
      <c r="D251"/>
      <c r="E251"/>
      <c r="F251"/>
    </row>
    <row r="252" spans="2:6" ht="16.5" x14ac:dyDescent="0.3">
      <c r="B252"/>
      <c r="C252"/>
      <c r="D252"/>
      <c r="E252"/>
      <c r="F252"/>
    </row>
    <row r="253" spans="2:6" ht="16.5" x14ac:dyDescent="0.3">
      <c r="B253"/>
      <c r="C253"/>
      <c r="D253"/>
      <c r="E253"/>
      <c r="F253"/>
    </row>
    <row r="254" spans="2:6" ht="16.5" x14ac:dyDescent="0.3">
      <c r="B254"/>
      <c r="C254"/>
      <c r="D254"/>
      <c r="E254"/>
      <c r="F254"/>
    </row>
    <row r="255" spans="2:6" ht="16.5" x14ac:dyDescent="0.3">
      <c r="B255"/>
      <c r="C255"/>
      <c r="D255"/>
      <c r="E255"/>
      <c r="F255"/>
    </row>
    <row r="256" spans="2:6" ht="16.5" x14ac:dyDescent="0.3">
      <c r="B256"/>
      <c r="C256"/>
      <c r="D256"/>
      <c r="E256"/>
      <c r="F256"/>
    </row>
    <row r="257" spans="2:6" ht="16.5" x14ac:dyDescent="0.3">
      <c r="B257"/>
      <c r="C257"/>
      <c r="D257"/>
      <c r="E257"/>
      <c r="F257"/>
    </row>
    <row r="258" spans="2:6" ht="16.5" x14ac:dyDescent="0.3">
      <c r="B258"/>
      <c r="C258"/>
      <c r="D258"/>
      <c r="E258"/>
      <c r="F258"/>
    </row>
    <row r="259" spans="2:6" ht="16.5" x14ac:dyDescent="0.3">
      <c r="B259"/>
      <c r="C259"/>
      <c r="D259"/>
      <c r="E259"/>
      <c r="F259"/>
    </row>
    <row r="260" spans="2:6" ht="16.5" x14ac:dyDescent="0.3">
      <c r="B260"/>
      <c r="C260"/>
      <c r="D260"/>
      <c r="E260"/>
      <c r="F260"/>
    </row>
    <row r="261" spans="2:6" ht="16.5" x14ac:dyDescent="0.3">
      <c r="B261"/>
      <c r="C261"/>
      <c r="D261"/>
      <c r="E261"/>
      <c r="F261"/>
    </row>
    <row r="262" spans="2:6" ht="16.5" x14ac:dyDescent="0.3">
      <c r="B262"/>
      <c r="C262"/>
      <c r="D262"/>
      <c r="E262"/>
      <c r="F262"/>
    </row>
    <row r="263" spans="2:6" ht="16.5" x14ac:dyDescent="0.3">
      <c r="B263"/>
      <c r="C263"/>
      <c r="D263"/>
      <c r="E263"/>
      <c r="F263"/>
    </row>
    <row r="264" spans="2:6" ht="16.5" x14ac:dyDescent="0.3">
      <c r="B264"/>
      <c r="C264"/>
      <c r="D264"/>
      <c r="E264"/>
      <c r="F264"/>
    </row>
    <row r="265" spans="2:6" ht="16.5" x14ac:dyDescent="0.3">
      <c r="B265"/>
      <c r="C265"/>
      <c r="D265"/>
      <c r="E265"/>
      <c r="F265"/>
    </row>
    <row r="266" spans="2:6" ht="16.5" x14ac:dyDescent="0.3">
      <c r="B266"/>
      <c r="C266"/>
      <c r="D266"/>
      <c r="E266"/>
      <c r="F266"/>
    </row>
    <row r="267" spans="2:6" ht="16.5" x14ac:dyDescent="0.3">
      <c r="B267"/>
      <c r="C267"/>
      <c r="D267"/>
      <c r="E267"/>
      <c r="F267"/>
    </row>
    <row r="268" spans="2:6" ht="16.5" x14ac:dyDescent="0.3">
      <c r="B268"/>
      <c r="C268"/>
      <c r="D268"/>
      <c r="E268"/>
      <c r="F268"/>
    </row>
    <row r="269" spans="2:6" ht="16.5" x14ac:dyDescent="0.3">
      <c r="B269"/>
      <c r="C269"/>
      <c r="D269"/>
      <c r="E269"/>
      <c r="F269"/>
    </row>
    <row r="270" spans="2:6" ht="16.5" x14ac:dyDescent="0.3">
      <c r="B270"/>
      <c r="C270"/>
      <c r="D270"/>
      <c r="E270"/>
      <c r="F270"/>
    </row>
    <row r="271" spans="2:6" ht="16.5" x14ac:dyDescent="0.3">
      <c r="B271"/>
      <c r="C271"/>
      <c r="D271"/>
      <c r="E271"/>
      <c r="F271"/>
    </row>
    <row r="272" spans="2:6" ht="16.5" x14ac:dyDescent="0.3">
      <c r="B272"/>
      <c r="C272"/>
      <c r="D272"/>
      <c r="E272"/>
      <c r="F272"/>
    </row>
    <row r="273" spans="2:6" ht="16.5" x14ac:dyDescent="0.3">
      <c r="B273"/>
      <c r="C273"/>
      <c r="D273"/>
      <c r="E273"/>
      <c r="F273"/>
    </row>
    <row r="274" spans="2:6" ht="16.5" x14ac:dyDescent="0.3">
      <c r="B274"/>
      <c r="C274"/>
      <c r="D274"/>
      <c r="E274"/>
      <c r="F274"/>
    </row>
    <row r="275" spans="2:6" ht="16.5" x14ac:dyDescent="0.3">
      <c r="B275"/>
      <c r="C275"/>
      <c r="D275"/>
      <c r="E275"/>
      <c r="F275"/>
    </row>
    <row r="276" spans="2:6" ht="16.5" x14ac:dyDescent="0.3">
      <c r="B276"/>
      <c r="C276"/>
      <c r="D276"/>
      <c r="E276"/>
      <c r="F276"/>
    </row>
    <row r="277" spans="2:6" ht="16.5" x14ac:dyDescent="0.3">
      <c r="B277"/>
      <c r="C277"/>
      <c r="D277"/>
      <c r="E277"/>
      <c r="F277"/>
    </row>
    <row r="278" spans="2:6" ht="16.5" x14ac:dyDescent="0.3">
      <c r="B278"/>
      <c r="C278"/>
      <c r="D278"/>
      <c r="E278"/>
      <c r="F278"/>
    </row>
    <row r="279" spans="2:6" ht="16.5" x14ac:dyDescent="0.3">
      <c r="B279"/>
      <c r="C279"/>
      <c r="D279"/>
      <c r="E279"/>
      <c r="F279"/>
    </row>
    <row r="280" spans="2:6" ht="16.5" x14ac:dyDescent="0.3">
      <c r="B280"/>
      <c r="C280"/>
      <c r="D280"/>
      <c r="E280"/>
      <c r="F280"/>
    </row>
    <row r="281" spans="2:6" ht="16.5" x14ac:dyDescent="0.3">
      <c r="B281"/>
      <c r="C281"/>
      <c r="D281"/>
      <c r="E281"/>
      <c r="F281"/>
    </row>
    <row r="282" spans="2:6" ht="16.5" x14ac:dyDescent="0.3">
      <c r="B282"/>
      <c r="C282"/>
      <c r="D282"/>
      <c r="E282"/>
      <c r="F282"/>
    </row>
    <row r="283" spans="2:6" ht="16.5" x14ac:dyDescent="0.3">
      <c r="B283"/>
      <c r="C283"/>
      <c r="D283"/>
      <c r="E283"/>
      <c r="F283"/>
    </row>
    <row r="284" spans="2:6" ht="16.5" x14ac:dyDescent="0.3">
      <c r="B284"/>
      <c r="C284"/>
      <c r="D284"/>
      <c r="E284"/>
      <c r="F284"/>
    </row>
    <row r="285" spans="2:6" ht="16.5" x14ac:dyDescent="0.3">
      <c r="B285"/>
      <c r="C285"/>
      <c r="D285"/>
      <c r="E285"/>
      <c r="F285"/>
    </row>
    <row r="286" spans="2:6" ht="16.5" x14ac:dyDescent="0.3">
      <c r="B286"/>
      <c r="C286"/>
      <c r="D286"/>
      <c r="E286"/>
      <c r="F286"/>
    </row>
    <row r="287" spans="2:6" ht="16.5" x14ac:dyDescent="0.3">
      <c r="B287"/>
      <c r="C287"/>
      <c r="D287"/>
      <c r="E287"/>
      <c r="F287"/>
    </row>
    <row r="288" spans="2:6" ht="16.5" x14ac:dyDescent="0.3">
      <c r="B288"/>
      <c r="C288"/>
      <c r="D288"/>
      <c r="E288"/>
      <c r="F288"/>
    </row>
    <row r="289" spans="2:6" ht="16.5" x14ac:dyDescent="0.3">
      <c r="B289"/>
      <c r="C289"/>
      <c r="D289"/>
      <c r="E289"/>
      <c r="F289"/>
    </row>
    <row r="290" spans="2:6" ht="16.5" x14ac:dyDescent="0.3">
      <c r="B290"/>
      <c r="C290"/>
      <c r="D290"/>
      <c r="E290"/>
      <c r="F290"/>
    </row>
    <row r="291" spans="2:6" ht="16.5" x14ac:dyDescent="0.3">
      <c r="B291"/>
      <c r="C291"/>
      <c r="D291"/>
      <c r="E291"/>
      <c r="F291"/>
    </row>
    <row r="292" spans="2:6" ht="16.5" x14ac:dyDescent="0.3">
      <c r="B292"/>
      <c r="C292"/>
      <c r="D292"/>
      <c r="E292"/>
      <c r="F292"/>
    </row>
    <row r="293" spans="2:6" ht="16.5" x14ac:dyDescent="0.3">
      <c r="B293"/>
      <c r="C293"/>
      <c r="D293"/>
      <c r="E293"/>
      <c r="F293"/>
    </row>
    <row r="294" spans="2:6" ht="16.5" x14ac:dyDescent="0.3">
      <c r="B294"/>
      <c r="C294"/>
      <c r="D294"/>
      <c r="E294"/>
      <c r="F294"/>
    </row>
    <row r="295" spans="2:6" ht="16.5" x14ac:dyDescent="0.3">
      <c r="B295"/>
      <c r="C295"/>
      <c r="D295"/>
      <c r="E295"/>
      <c r="F295"/>
    </row>
    <row r="296" spans="2:6" ht="16.5" x14ac:dyDescent="0.3">
      <c r="B296"/>
      <c r="C296"/>
      <c r="D296"/>
      <c r="E296"/>
      <c r="F296"/>
    </row>
    <row r="297" spans="2:6" ht="16.5" x14ac:dyDescent="0.3">
      <c r="B297"/>
      <c r="C297"/>
      <c r="D297"/>
      <c r="E297"/>
      <c r="F297"/>
    </row>
    <row r="298" spans="2:6" ht="16.5" x14ac:dyDescent="0.3">
      <c r="B298"/>
      <c r="C298"/>
      <c r="D298"/>
      <c r="E298"/>
      <c r="F298"/>
    </row>
    <row r="299" spans="2:6" ht="16.5" x14ac:dyDescent="0.3">
      <c r="B299"/>
      <c r="C299"/>
      <c r="D299"/>
      <c r="E299"/>
      <c r="F299"/>
    </row>
    <row r="300" spans="2:6" ht="16.5" x14ac:dyDescent="0.3">
      <c r="B300"/>
      <c r="C300"/>
      <c r="D300"/>
      <c r="E300"/>
      <c r="F300"/>
    </row>
    <row r="301" spans="2:6" ht="16.5" x14ac:dyDescent="0.3">
      <c r="B301"/>
      <c r="C301"/>
      <c r="D301"/>
      <c r="E301"/>
      <c r="F301"/>
    </row>
    <row r="302" spans="2:6" ht="16.5" x14ac:dyDescent="0.3">
      <c r="B302"/>
      <c r="C302"/>
      <c r="D302"/>
      <c r="E302"/>
      <c r="F302"/>
    </row>
    <row r="303" spans="2:6" ht="16.5" x14ac:dyDescent="0.3">
      <c r="B303"/>
      <c r="C303"/>
      <c r="D303"/>
      <c r="E303"/>
      <c r="F303"/>
    </row>
    <row r="304" spans="2:6" ht="16.5" x14ac:dyDescent="0.3">
      <c r="B304"/>
      <c r="C304"/>
      <c r="D304"/>
      <c r="E304"/>
      <c r="F304"/>
    </row>
    <row r="305" spans="2:6" ht="16.5" x14ac:dyDescent="0.3">
      <c r="B305"/>
      <c r="C305"/>
      <c r="D305"/>
      <c r="E305"/>
      <c r="F305"/>
    </row>
    <row r="306" spans="2:6" ht="16.5" x14ac:dyDescent="0.3">
      <c r="B306"/>
      <c r="C306"/>
      <c r="D306"/>
      <c r="E306"/>
      <c r="F306"/>
    </row>
    <row r="307" spans="2:6" ht="16.5" x14ac:dyDescent="0.3">
      <c r="B307"/>
      <c r="C307"/>
      <c r="D307"/>
      <c r="E307"/>
      <c r="F307"/>
    </row>
    <row r="308" spans="2:6" ht="16.5" x14ac:dyDescent="0.3">
      <c r="B308"/>
      <c r="C308"/>
      <c r="D308"/>
      <c r="E308"/>
      <c r="F308"/>
    </row>
    <row r="309" spans="2:6" ht="16.5" x14ac:dyDescent="0.3">
      <c r="B309"/>
      <c r="C309"/>
      <c r="D309"/>
      <c r="E309"/>
      <c r="F309"/>
    </row>
    <row r="310" spans="2:6" ht="16.5" x14ac:dyDescent="0.3">
      <c r="B310"/>
      <c r="C310"/>
      <c r="D310"/>
      <c r="E310"/>
      <c r="F310"/>
    </row>
    <row r="311" spans="2:6" ht="16.5" x14ac:dyDescent="0.3">
      <c r="B311"/>
      <c r="C311"/>
      <c r="D311"/>
      <c r="E311"/>
      <c r="F311"/>
    </row>
    <row r="312" spans="2:6" ht="16.5" x14ac:dyDescent="0.3">
      <c r="B312"/>
      <c r="C312"/>
      <c r="D312"/>
      <c r="E312"/>
      <c r="F312"/>
    </row>
    <row r="313" spans="2:6" ht="16.5" x14ac:dyDescent="0.3">
      <c r="B313"/>
      <c r="C313"/>
      <c r="D313"/>
      <c r="E313"/>
      <c r="F313"/>
    </row>
    <row r="314" spans="2:6" ht="16.5" x14ac:dyDescent="0.3">
      <c r="B314"/>
      <c r="C314"/>
      <c r="D314"/>
      <c r="E314"/>
      <c r="F314"/>
    </row>
    <row r="315" spans="2:6" ht="16.5" x14ac:dyDescent="0.3">
      <c r="B315"/>
      <c r="C315"/>
      <c r="D315"/>
      <c r="E315"/>
      <c r="F315"/>
    </row>
    <row r="316" spans="2:6" ht="16.5" x14ac:dyDescent="0.3">
      <c r="B316"/>
      <c r="C316"/>
      <c r="D316"/>
      <c r="E316"/>
      <c r="F316"/>
    </row>
    <row r="317" spans="2:6" ht="16.5" x14ac:dyDescent="0.3">
      <c r="B317"/>
      <c r="C317"/>
      <c r="D317"/>
      <c r="E317"/>
      <c r="F317"/>
    </row>
    <row r="318" spans="2:6" ht="16.5" x14ac:dyDescent="0.3">
      <c r="B318"/>
      <c r="C318"/>
      <c r="D318"/>
      <c r="E318"/>
      <c r="F318"/>
    </row>
    <row r="319" spans="2:6" ht="16.5" x14ac:dyDescent="0.3">
      <c r="B319"/>
      <c r="C319"/>
      <c r="D319"/>
      <c r="E319"/>
      <c r="F319"/>
    </row>
    <row r="320" spans="2:6" ht="16.5" x14ac:dyDescent="0.3">
      <c r="B320"/>
      <c r="C320"/>
      <c r="D320"/>
      <c r="E320"/>
      <c r="F320"/>
    </row>
    <row r="321" spans="2:6" ht="16.5" x14ac:dyDescent="0.3">
      <c r="B321"/>
      <c r="C321"/>
      <c r="D321"/>
      <c r="E321"/>
      <c r="F321"/>
    </row>
    <row r="322" spans="2:6" ht="16.5" x14ac:dyDescent="0.3">
      <c r="B322"/>
      <c r="C322"/>
      <c r="D322"/>
      <c r="E322"/>
      <c r="F322"/>
    </row>
    <row r="323" spans="2:6" ht="16.5" x14ac:dyDescent="0.3">
      <c r="B323"/>
      <c r="C323"/>
      <c r="D323"/>
      <c r="E323"/>
      <c r="F323"/>
    </row>
    <row r="324" spans="2:6" ht="16.5" x14ac:dyDescent="0.3">
      <c r="B324"/>
      <c r="C324"/>
      <c r="D324"/>
      <c r="E324"/>
      <c r="F324"/>
    </row>
    <row r="325" spans="2:6" ht="16.5" x14ac:dyDescent="0.3">
      <c r="B325"/>
      <c r="C325"/>
      <c r="D325"/>
      <c r="E325"/>
      <c r="F325"/>
    </row>
    <row r="326" spans="2:6" ht="16.5" x14ac:dyDescent="0.3">
      <c r="B326"/>
      <c r="C326"/>
      <c r="D326"/>
      <c r="E326"/>
      <c r="F326"/>
    </row>
    <row r="327" spans="2:6" ht="16.5" x14ac:dyDescent="0.3">
      <c r="B327"/>
      <c r="C327"/>
      <c r="D327"/>
      <c r="E327"/>
      <c r="F327"/>
    </row>
    <row r="328" spans="2:6" ht="16.5" x14ac:dyDescent="0.3">
      <c r="B328"/>
      <c r="C328"/>
      <c r="D328"/>
      <c r="E328"/>
      <c r="F328"/>
    </row>
    <row r="329" spans="2:6" ht="16.5" x14ac:dyDescent="0.3">
      <c r="B329"/>
      <c r="C329"/>
      <c r="D329"/>
      <c r="E329"/>
      <c r="F329"/>
    </row>
    <row r="330" spans="2:6" ht="16.5" x14ac:dyDescent="0.3">
      <c r="B330"/>
      <c r="C330"/>
      <c r="D330"/>
      <c r="E330"/>
      <c r="F330"/>
    </row>
    <row r="331" spans="2:6" ht="16.5" x14ac:dyDescent="0.3">
      <c r="B331"/>
      <c r="C331"/>
      <c r="D331"/>
      <c r="E331"/>
      <c r="F331"/>
    </row>
    <row r="332" spans="2:6" ht="16.5" x14ac:dyDescent="0.3">
      <c r="B332"/>
      <c r="C332"/>
      <c r="D332"/>
      <c r="E332"/>
      <c r="F332"/>
    </row>
    <row r="333" spans="2:6" ht="16.5" x14ac:dyDescent="0.3">
      <c r="B333"/>
      <c r="C333"/>
      <c r="D333"/>
      <c r="E333"/>
      <c r="F333"/>
    </row>
    <row r="334" spans="2:6" ht="16.5" x14ac:dyDescent="0.3">
      <c r="B334"/>
      <c r="C334"/>
      <c r="D334"/>
      <c r="E334"/>
      <c r="F334"/>
    </row>
    <row r="335" spans="2:6" ht="16.5" x14ac:dyDescent="0.3">
      <c r="B335"/>
      <c r="C335"/>
      <c r="D335"/>
      <c r="E335"/>
      <c r="F335"/>
    </row>
    <row r="336" spans="2:6" ht="16.5" x14ac:dyDescent="0.3">
      <c r="B336"/>
      <c r="C336"/>
      <c r="D336"/>
      <c r="E336"/>
      <c r="F336"/>
    </row>
    <row r="337" spans="2:6" ht="16.5" x14ac:dyDescent="0.3">
      <c r="B337"/>
      <c r="C337"/>
      <c r="D337"/>
      <c r="E337"/>
      <c r="F337"/>
    </row>
    <row r="338" spans="2:6" ht="16.5" x14ac:dyDescent="0.3">
      <c r="B338"/>
      <c r="C338"/>
      <c r="D338"/>
      <c r="E338"/>
      <c r="F338"/>
    </row>
    <row r="339" spans="2:6" ht="16.5" x14ac:dyDescent="0.3">
      <c r="B339"/>
      <c r="C339"/>
      <c r="D339"/>
      <c r="E339"/>
      <c r="F339"/>
    </row>
    <row r="340" spans="2:6" ht="16.5" x14ac:dyDescent="0.3">
      <c r="B340"/>
      <c r="C340"/>
      <c r="D340"/>
      <c r="E340"/>
      <c r="F340"/>
    </row>
    <row r="341" spans="2:6" ht="16.5" x14ac:dyDescent="0.3">
      <c r="B341"/>
      <c r="C341"/>
      <c r="D341"/>
      <c r="E341"/>
      <c r="F341"/>
    </row>
    <row r="342" spans="2:6" ht="16.5" x14ac:dyDescent="0.3">
      <c r="B342"/>
      <c r="C342"/>
      <c r="D342"/>
      <c r="E342"/>
      <c r="F342"/>
    </row>
    <row r="343" spans="2:6" ht="16.5" x14ac:dyDescent="0.3">
      <c r="B343"/>
      <c r="C343"/>
      <c r="D343"/>
      <c r="E343"/>
      <c r="F343"/>
    </row>
    <row r="344" spans="2:6" ht="16.5" x14ac:dyDescent="0.3">
      <c r="B344"/>
      <c r="C344"/>
      <c r="D344"/>
      <c r="E344"/>
      <c r="F344"/>
    </row>
    <row r="345" spans="2:6" ht="16.5" x14ac:dyDescent="0.3">
      <c r="B345"/>
      <c r="C345"/>
      <c r="D345"/>
      <c r="E345"/>
      <c r="F345"/>
    </row>
    <row r="346" spans="2:6" ht="16.5" x14ac:dyDescent="0.3">
      <c r="B346"/>
      <c r="C346"/>
      <c r="D346"/>
      <c r="E346"/>
      <c r="F346"/>
    </row>
    <row r="347" spans="2:6" ht="16.5" x14ac:dyDescent="0.3">
      <c r="B347"/>
      <c r="C347"/>
      <c r="D347"/>
      <c r="E347"/>
      <c r="F347"/>
    </row>
    <row r="348" spans="2:6" ht="16.5" x14ac:dyDescent="0.3">
      <c r="B348"/>
      <c r="C348"/>
      <c r="D348"/>
      <c r="E348"/>
      <c r="F348"/>
    </row>
    <row r="349" spans="2:6" ht="16.5" x14ac:dyDescent="0.3">
      <c r="B349"/>
      <c r="C349"/>
      <c r="D349"/>
      <c r="E349"/>
      <c r="F349"/>
    </row>
    <row r="350" spans="2:6" ht="16.5" x14ac:dyDescent="0.3">
      <c r="B350"/>
      <c r="C350"/>
      <c r="D350"/>
      <c r="E350"/>
      <c r="F350"/>
    </row>
    <row r="351" spans="2:6" ht="16.5" x14ac:dyDescent="0.3">
      <c r="B351"/>
      <c r="C351"/>
      <c r="D351"/>
      <c r="E351"/>
      <c r="F351"/>
    </row>
    <row r="352" spans="2:6" ht="16.5" x14ac:dyDescent="0.3">
      <c r="B352"/>
      <c r="C352"/>
      <c r="D352"/>
      <c r="E352"/>
      <c r="F352"/>
    </row>
    <row r="353" spans="2:6" ht="16.5" x14ac:dyDescent="0.3">
      <c r="B353"/>
      <c r="C353"/>
      <c r="D353"/>
      <c r="E353"/>
      <c r="F353"/>
    </row>
    <row r="354" spans="2:6" ht="16.5" x14ac:dyDescent="0.3">
      <c r="B354"/>
      <c r="C354"/>
      <c r="D354"/>
      <c r="E354"/>
      <c r="F354"/>
    </row>
    <row r="355" spans="2:6" ht="16.5" x14ac:dyDescent="0.3">
      <c r="B355"/>
      <c r="C355"/>
      <c r="D355"/>
      <c r="E355"/>
      <c r="F355"/>
    </row>
    <row r="356" spans="2:6" ht="16.5" x14ac:dyDescent="0.3">
      <c r="B356"/>
      <c r="C356"/>
      <c r="D356"/>
      <c r="E356"/>
      <c r="F356"/>
    </row>
    <row r="357" spans="2:6" ht="16.5" x14ac:dyDescent="0.3">
      <c r="B357"/>
      <c r="C357"/>
      <c r="D357"/>
      <c r="E357"/>
      <c r="F357"/>
    </row>
    <row r="358" spans="2:6" ht="16.5" x14ac:dyDescent="0.3">
      <c r="B358"/>
      <c r="C358"/>
      <c r="D358"/>
      <c r="E358"/>
      <c r="F358"/>
    </row>
    <row r="359" spans="2:6" ht="16.5" x14ac:dyDescent="0.3">
      <c r="B359"/>
      <c r="C359"/>
      <c r="D359"/>
      <c r="E359"/>
      <c r="F359"/>
    </row>
    <row r="360" spans="2:6" ht="16.5" x14ac:dyDescent="0.3">
      <c r="B360"/>
      <c r="C360"/>
      <c r="D360"/>
      <c r="E360"/>
      <c r="F360"/>
    </row>
    <row r="361" spans="2:6" ht="16.5" x14ac:dyDescent="0.3">
      <c r="B361"/>
      <c r="C361"/>
      <c r="D361"/>
      <c r="E361"/>
      <c r="F361"/>
    </row>
    <row r="362" spans="2:6" ht="16.5" x14ac:dyDescent="0.3">
      <c r="B362"/>
      <c r="C362"/>
      <c r="D362"/>
      <c r="E362"/>
      <c r="F362"/>
    </row>
    <row r="363" spans="2:6" ht="16.5" x14ac:dyDescent="0.3">
      <c r="B363"/>
      <c r="C363"/>
      <c r="D363"/>
      <c r="E363"/>
      <c r="F363"/>
    </row>
    <row r="364" spans="2:6" ht="16.5" x14ac:dyDescent="0.3">
      <c r="B364"/>
      <c r="C364"/>
      <c r="D364"/>
      <c r="E364"/>
      <c r="F364"/>
    </row>
    <row r="365" spans="2:6" ht="16.5" x14ac:dyDescent="0.3">
      <c r="B365"/>
      <c r="C365"/>
      <c r="D365"/>
      <c r="E365"/>
      <c r="F365"/>
    </row>
    <row r="366" spans="2:6" ht="16.5" x14ac:dyDescent="0.3">
      <c r="B366"/>
      <c r="C366"/>
      <c r="D366"/>
      <c r="E366"/>
      <c r="F366"/>
    </row>
    <row r="367" spans="2:6" ht="16.5" x14ac:dyDescent="0.3">
      <c r="B367"/>
      <c r="C367"/>
      <c r="D367"/>
      <c r="E367"/>
      <c r="F367"/>
    </row>
    <row r="368" spans="2:6" ht="16.5" x14ac:dyDescent="0.3">
      <c r="B368"/>
      <c r="C368"/>
      <c r="D368"/>
      <c r="E368"/>
      <c r="F368"/>
    </row>
    <row r="369" spans="2:6" ht="16.5" x14ac:dyDescent="0.3">
      <c r="B369"/>
      <c r="C369"/>
      <c r="D369"/>
      <c r="E369"/>
      <c r="F369"/>
    </row>
    <row r="370" spans="2:6" ht="16.5" x14ac:dyDescent="0.3">
      <c r="B370"/>
      <c r="C370"/>
      <c r="D370"/>
      <c r="E370"/>
      <c r="F370"/>
    </row>
    <row r="371" spans="2:6" ht="16.5" x14ac:dyDescent="0.3">
      <c r="B371"/>
      <c r="C371"/>
      <c r="D371"/>
      <c r="E371"/>
      <c r="F371"/>
    </row>
    <row r="372" spans="2:6" ht="16.5" x14ac:dyDescent="0.3">
      <c r="B372"/>
      <c r="C372"/>
      <c r="D372"/>
      <c r="E372"/>
      <c r="F372"/>
    </row>
    <row r="373" spans="2:6" ht="16.5" x14ac:dyDescent="0.3">
      <c r="B373"/>
      <c r="C373"/>
      <c r="D373"/>
      <c r="E373"/>
      <c r="F373"/>
    </row>
    <row r="374" spans="2:6" ht="16.5" x14ac:dyDescent="0.3">
      <c r="B374"/>
      <c r="C374"/>
      <c r="D374"/>
      <c r="E374"/>
      <c r="F374"/>
    </row>
    <row r="375" spans="2:6" ht="16.5" x14ac:dyDescent="0.3">
      <c r="B375"/>
      <c r="C375"/>
      <c r="D375"/>
      <c r="E375"/>
      <c r="F375"/>
    </row>
    <row r="376" spans="2:6" ht="16.5" x14ac:dyDescent="0.3">
      <c r="B376"/>
      <c r="C376"/>
      <c r="D376"/>
      <c r="E376"/>
      <c r="F376"/>
    </row>
    <row r="377" spans="2:6" ht="16.5" x14ac:dyDescent="0.3">
      <c r="B377"/>
      <c r="C377"/>
      <c r="D377"/>
      <c r="E377"/>
      <c r="F377"/>
    </row>
    <row r="378" spans="2:6" ht="16.5" x14ac:dyDescent="0.3">
      <c r="B378"/>
      <c r="C378"/>
      <c r="D378"/>
      <c r="E378"/>
      <c r="F378"/>
    </row>
    <row r="379" spans="2:6" ht="16.5" x14ac:dyDescent="0.3">
      <c r="B379"/>
      <c r="C379"/>
      <c r="D379"/>
      <c r="E379"/>
      <c r="F379"/>
    </row>
    <row r="380" spans="2:6" ht="16.5" x14ac:dyDescent="0.3">
      <c r="B380"/>
      <c r="C380"/>
      <c r="D380"/>
      <c r="E380"/>
      <c r="F380"/>
    </row>
    <row r="381" spans="2:6" ht="16.5" x14ac:dyDescent="0.3">
      <c r="B381"/>
      <c r="C381"/>
      <c r="D381"/>
      <c r="E381"/>
      <c r="F381"/>
    </row>
    <row r="382" spans="2:6" ht="16.5" x14ac:dyDescent="0.3">
      <c r="B382"/>
      <c r="C382"/>
      <c r="D382"/>
      <c r="E382"/>
      <c r="F382"/>
    </row>
    <row r="383" spans="2:6" ht="16.5" x14ac:dyDescent="0.3">
      <c r="B383"/>
      <c r="C383"/>
      <c r="D383"/>
      <c r="E383"/>
      <c r="F383"/>
    </row>
    <row r="384" spans="2:6" ht="16.5" x14ac:dyDescent="0.3">
      <c r="B384"/>
      <c r="C384"/>
      <c r="D384"/>
      <c r="E384"/>
      <c r="F384"/>
    </row>
    <row r="385" spans="2:6" ht="16.5" x14ac:dyDescent="0.3">
      <c r="B385"/>
      <c r="C385"/>
      <c r="D385"/>
      <c r="E385"/>
      <c r="F385"/>
    </row>
    <row r="386" spans="2:6" ht="16.5" x14ac:dyDescent="0.3">
      <c r="B386"/>
      <c r="C386"/>
      <c r="D386"/>
      <c r="E386"/>
      <c r="F386"/>
    </row>
    <row r="387" spans="2:6" ht="16.5" x14ac:dyDescent="0.3">
      <c r="B387"/>
      <c r="C387"/>
      <c r="D387"/>
      <c r="E387"/>
      <c r="F387"/>
    </row>
    <row r="388" spans="2:6" ht="16.5" x14ac:dyDescent="0.3">
      <c r="B388"/>
      <c r="C388"/>
      <c r="D388"/>
      <c r="E388"/>
      <c r="F388"/>
    </row>
    <row r="389" spans="2:6" ht="16.5" x14ac:dyDescent="0.3">
      <c r="B389"/>
      <c r="C389"/>
      <c r="D389"/>
      <c r="E389"/>
      <c r="F389"/>
    </row>
    <row r="390" spans="2:6" ht="16.5" x14ac:dyDescent="0.3">
      <c r="B390"/>
      <c r="C390"/>
      <c r="D390"/>
      <c r="E390"/>
      <c r="F390"/>
    </row>
    <row r="391" spans="2:6" ht="16.5" x14ac:dyDescent="0.3">
      <c r="B391"/>
      <c r="C391"/>
      <c r="D391"/>
      <c r="E391"/>
      <c r="F391"/>
    </row>
    <row r="392" spans="2:6" ht="16.5" x14ac:dyDescent="0.3">
      <c r="B392"/>
      <c r="C392"/>
      <c r="D392"/>
      <c r="E392"/>
      <c r="F392"/>
    </row>
    <row r="393" spans="2:6" ht="16.5" x14ac:dyDescent="0.3">
      <c r="B393"/>
      <c r="C393"/>
      <c r="D393"/>
      <c r="E393"/>
      <c r="F393"/>
    </row>
    <row r="394" spans="2:6" ht="16.5" x14ac:dyDescent="0.3">
      <c r="B394"/>
      <c r="C394"/>
      <c r="D394"/>
      <c r="E394"/>
      <c r="F394"/>
    </row>
    <row r="395" spans="2:6" ht="16.5" x14ac:dyDescent="0.3">
      <c r="B395"/>
      <c r="C395"/>
      <c r="D395"/>
      <c r="E395"/>
      <c r="F395"/>
    </row>
    <row r="396" spans="2:6" ht="16.5" x14ac:dyDescent="0.3">
      <c r="B396"/>
      <c r="C396"/>
      <c r="D396"/>
      <c r="E396"/>
      <c r="F396"/>
    </row>
    <row r="397" spans="2:6" ht="16.5" x14ac:dyDescent="0.3">
      <c r="B397"/>
      <c r="C397"/>
      <c r="D397"/>
      <c r="E397"/>
      <c r="F397"/>
    </row>
    <row r="398" spans="2:6" ht="16.5" x14ac:dyDescent="0.3">
      <c r="B398"/>
      <c r="C398"/>
      <c r="D398"/>
      <c r="E398"/>
      <c r="F398"/>
    </row>
    <row r="399" spans="2:6" ht="16.5" x14ac:dyDescent="0.3">
      <c r="B399"/>
      <c r="C399"/>
      <c r="D399"/>
      <c r="E399"/>
      <c r="F399"/>
    </row>
    <row r="400" spans="2:6" ht="16.5" x14ac:dyDescent="0.3">
      <c r="B400"/>
      <c r="C400"/>
      <c r="D400"/>
      <c r="E400"/>
      <c r="F400"/>
    </row>
    <row r="401" spans="2:6" ht="16.5" x14ac:dyDescent="0.3">
      <c r="B401"/>
      <c r="C401"/>
      <c r="D401"/>
      <c r="E401"/>
      <c r="F401"/>
    </row>
    <row r="402" spans="2:6" ht="16.5" x14ac:dyDescent="0.3">
      <c r="B402"/>
      <c r="C402"/>
      <c r="D402"/>
      <c r="E402"/>
      <c r="F402"/>
    </row>
    <row r="403" spans="2:6" ht="16.5" x14ac:dyDescent="0.3">
      <c r="B403"/>
      <c r="C403"/>
      <c r="D403"/>
      <c r="E403"/>
      <c r="F403"/>
    </row>
    <row r="404" spans="2:6" ht="16.5" x14ac:dyDescent="0.3">
      <c r="B404"/>
      <c r="C404"/>
      <c r="D404"/>
      <c r="E404"/>
      <c r="F404"/>
    </row>
    <row r="405" spans="2:6" ht="16.5" x14ac:dyDescent="0.3">
      <c r="B405"/>
      <c r="C405"/>
      <c r="D405"/>
      <c r="E405"/>
      <c r="F405"/>
    </row>
    <row r="406" spans="2:6" ht="16.5" x14ac:dyDescent="0.3">
      <c r="B406"/>
      <c r="C406"/>
      <c r="D406"/>
      <c r="E406"/>
      <c r="F406"/>
    </row>
    <row r="407" spans="2:6" ht="16.5" x14ac:dyDescent="0.3">
      <c r="B407"/>
      <c r="C407"/>
      <c r="D407"/>
      <c r="E407"/>
      <c r="F407"/>
    </row>
    <row r="408" spans="2:6" ht="16.5" x14ac:dyDescent="0.3">
      <c r="B408"/>
      <c r="C408"/>
      <c r="D408"/>
      <c r="E408"/>
      <c r="F408"/>
    </row>
    <row r="409" spans="2:6" ht="16.5" x14ac:dyDescent="0.3">
      <c r="B409"/>
      <c r="C409"/>
      <c r="D409"/>
      <c r="E409"/>
      <c r="F409"/>
    </row>
    <row r="410" spans="2:6" ht="16.5" x14ac:dyDescent="0.3">
      <c r="B410"/>
      <c r="C410"/>
      <c r="D410"/>
      <c r="E410"/>
      <c r="F410"/>
    </row>
    <row r="411" spans="2:6" ht="16.5" x14ac:dyDescent="0.3">
      <c r="B411"/>
      <c r="C411"/>
      <c r="D411"/>
      <c r="E411"/>
      <c r="F411"/>
    </row>
    <row r="412" spans="2:6" ht="16.5" x14ac:dyDescent="0.3">
      <c r="B412"/>
      <c r="C412"/>
      <c r="D412"/>
      <c r="E412"/>
      <c r="F412"/>
    </row>
    <row r="413" spans="2:6" ht="16.5" x14ac:dyDescent="0.3">
      <c r="B413"/>
      <c r="C413"/>
      <c r="D413"/>
      <c r="E413"/>
      <c r="F413"/>
    </row>
    <row r="414" spans="2:6" ht="16.5" x14ac:dyDescent="0.3">
      <c r="B414"/>
      <c r="C414"/>
      <c r="D414"/>
      <c r="E414"/>
      <c r="F414"/>
    </row>
    <row r="415" spans="2:6" ht="16.5" x14ac:dyDescent="0.3">
      <c r="B415"/>
      <c r="C415"/>
      <c r="D415"/>
      <c r="E415"/>
      <c r="F415"/>
    </row>
    <row r="416" spans="2:6" ht="16.5" x14ac:dyDescent="0.3">
      <c r="B416"/>
      <c r="C416"/>
      <c r="D416"/>
      <c r="E416"/>
      <c r="F416"/>
    </row>
    <row r="417" spans="2:6" ht="16.5" x14ac:dyDescent="0.3">
      <c r="B417"/>
      <c r="C417"/>
      <c r="D417"/>
      <c r="E417"/>
      <c r="F417"/>
    </row>
    <row r="418" spans="2:6" ht="16.5" x14ac:dyDescent="0.3">
      <c r="B418"/>
      <c r="C418"/>
      <c r="D418"/>
      <c r="E418"/>
      <c r="F418"/>
    </row>
    <row r="419" spans="2:6" ht="16.5" x14ac:dyDescent="0.3">
      <c r="B419"/>
      <c r="C419"/>
      <c r="D419"/>
      <c r="E419"/>
      <c r="F419"/>
    </row>
    <row r="420" spans="2:6" ht="16.5" x14ac:dyDescent="0.3">
      <c r="B420"/>
      <c r="C420"/>
      <c r="D420"/>
      <c r="E420"/>
      <c r="F420"/>
    </row>
    <row r="421" spans="2:6" ht="16.5" x14ac:dyDescent="0.3">
      <c r="B421"/>
      <c r="C421"/>
      <c r="D421"/>
      <c r="E421"/>
      <c r="F421"/>
    </row>
    <row r="422" spans="2:6" ht="16.5" x14ac:dyDescent="0.3">
      <c r="B422"/>
      <c r="C422"/>
      <c r="D422"/>
      <c r="E422"/>
      <c r="F422"/>
    </row>
    <row r="423" spans="2:6" ht="16.5" x14ac:dyDescent="0.3">
      <c r="B423"/>
      <c r="C423"/>
      <c r="D423"/>
      <c r="E423"/>
      <c r="F423"/>
    </row>
    <row r="424" spans="2:6" ht="16.5" x14ac:dyDescent="0.3">
      <c r="B424"/>
      <c r="C424"/>
      <c r="D424"/>
      <c r="E424"/>
      <c r="F424"/>
    </row>
    <row r="425" spans="2:6" ht="16.5" x14ac:dyDescent="0.3">
      <c r="B425"/>
      <c r="C425"/>
      <c r="D425"/>
      <c r="E425"/>
      <c r="F425"/>
    </row>
    <row r="426" spans="2:6" ht="16.5" x14ac:dyDescent="0.3">
      <c r="B426"/>
      <c r="C426"/>
      <c r="D426"/>
      <c r="E426"/>
      <c r="F426"/>
    </row>
    <row r="427" spans="2:6" ht="16.5" x14ac:dyDescent="0.3">
      <c r="B427"/>
      <c r="C427"/>
      <c r="D427"/>
      <c r="E427"/>
      <c r="F427"/>
    </row>
    <row r="428" spans="2:6" ht="16.5" x14ac:dyDescent="0.3">
      <c r="B428"/>
      <c r="C428"/>
      <c r="D428"/>
      <c r="E428"/>
      <c r="F428"/>
    </row>
    <row r="429" spans="2:6" ht="16.5" x14ac:dyDescent="0.3">
      <c r="B429"/>
      <c r="C429"/>
      <c r="D429"/>
      <c r="E429"/>
      <c r="F429"/>
    </row>
    <row r="430" spans="2:6" ht="16.5" x14ac:dyDescent="0.3">
      <c r="B430"/>
      <c r="C430"/>
      <c r="D430"/>
      <c r="E430"/>
      <c r="F430"/>
    </row>
    <row r="431" spans="2:6" ht="16.5" x14ac:dyDescent="0.3">
      <c r="B431"/>
      <c r="C431"/>
      <c r="D431"/>
      <c r="E431"/>
      <c r="F431"/>
    </row>
    <row r="432" spans="2:6" ht="16.5" x14ac:dyDescent="0.3">
      <c r="B432"/>
      <c r="C432"/>
      <c r="D432"/>
      <c r="E432"/>
      <c r="F432"/>
    </row>
    <row r="433" spans="2:6" ht="16.5" x14ac:dyDescent="0.3">
      <c r="B433"/>
      <c r="C433"/>
      <c r="D433"/>
      <c r="E433"/>
      <c r="F433"/>
    </row>
    <row r="434" spans="2:6" ht="16.5" x14ac:dyDescent="0.3">
      <c r="B434"/>
      <c r="C434"/>
      <c r="D434"/>
      <c r="E434"/>
      <c r="F434"/>
    </row>
    <row r="435" spans="2:6" ht="16.5" x14ac:dyDescent="0.3">
      <c r="B435"/>
      <c r="C435"/>
      <c r="D435"/>
      <c r="E435"/>
      <c r="F435"/>
    </row>
    <row r="436" spans="2:6" ht="16.5" x14ac:dyDescent="0.3">
      <c r="B436"/>
      <c r="C436"/>
      <c r="D436"/>
      <c r="E436"/>
      <c r="F436"/>
    </row>
    <row r="437" spans="2:6" ht="16.5" x14ac:dyDescent="0.3">
      <c r="B437"/>
      <c r="C437"/>
      <c r="D437"/>
      <c r="E437"/>
      <c r="F437"/>
    </row>
    <row r="438" spans="2:6" ht="16.5" x14ac:dyDescent="0.3">
      <c r="B438"/>
      <c r="C438"/>
      <c r="D438"/>
      <c r="E438"/>
      <c r="F438"/>
    </row>
    <row r="439" spans="2:6" ht="16.5" x14ac:dyDescent="0.3">
      <c r="B439"/>
      <c r="C439"/>
      <c r="D439"/>
      <c r="E439"/>
      <c r="F439"/>
    </row>
    <row r="440" spans="2:6" ht="16.5" x14ac:dyDescent="0.3">
      <c r="B440"/>
      <c r="C440"/>
      <c r="D440"/>
      <c r="E440"/>
      <c r="F440"/>
    </row>
    <row r="441" spans="2:6" ht="16.5" x14ac:dyDescent="0.3">
      <c r="B441"/>
      <c r="C441"/>
      <c r="D441"/>
      <c r="E441"/>
      <c r="F441"/>
    </row>
    <row r="442" spans="2:6" ht="16.5" x14ac:dyDescent="0.3">
      <c r="B442"/>
      <c r="C442"/>
      <c r="D442"/>
      <c r="E442"/>
      <c r="F442"/>
    </row>
    <row r="443" spans="2:6" ht="16.5" x14ac:dyDescent="0.3">
      <c r="B443"/>
      <c r="C443"/>
      <c r="D443"/>
      <c r="E443"/>
      <c r="F443"/>
    </row>
    <row r="444" spans="2:6" ht="16.5" x14ac:dyDescent="0.3">
      <c r="B444"/>
      <c r="C444"/>
      <c r="D444"/>
      <c r="E444"/>
      <c r="F444"/>
    </row>
    <row r="445" spans="2:6" ht="16.5" x14ac:dyDescent="0.3">
      <c r="B445"/>
      <c r="C445"/>
      <c r="D445"/>
      <c r="E445"/>
      <c r="F445"/>
    </row>
    <row r="446" spans="2:6" ht="16.5" x14ac:dyDescent="0.3">
      <c r="B446"/>
      <c r="C446"/>
      <c r="D446"/>
      <c r="E446"/>
      <c r="F446"/>
    </row>
    <row r="447" spans="2:6" ht="16.5" x14ac:dyDescent="0.3">
      <c r="B447"/>
      <c r="C447"/>
      <c r="D447"/>
      <c r="E447"/>
      <c r="F447"/>
    </row>
    <row r="448" spans="2:6" ht="16.5" x14ac:dyDescent="0.3">
      <c r="B448"/>
      <c r="C448"/>
      <c r="D448"/>
      <c r="E448"/>
      <c r="F448"/>
    </row>
    <row r="449" spans="2:6" ht="16.5" x14ac:dyDescent="0.3">
      <c r="B449"/>
      <c r="C449"/>
      <c r="D449"/>
      <c r="E449"/>
      <c r="F449"/>
    </row>
    <row r="450" spans="2:6" ht="16.5" x14ac:dyDescent="0.3">
      <c r="B450"/>
      <c r="C450"/>
      <c r="D450"/>
      <c r="E450"/>
      <c r="F450"/>
    </row>
    <row r="451" spans="2:6" ht="16.5" x14ac:dyDescent="0.3">
      <c r="B451"/>
      <c r="C451"/>
      <c r="D451"/>
      <c r="E451"/>
      <c r="F451"/>
    </row>
    <row r="452" spans="2:6" ht="16.5" x14ac:dyDescent="0.3">
      <c r="B452"/>
      <c r="C452"/>
      <c r="D452"/>
      <c r="E452"/>
      <c r="F452"/>
    </row>
    <row r="453" spans="2:6" ht="16.5" x14ac:dyDescent="0.3">
      <c r="B453"/>
      <c r="C453"/>
      <c r="D453"/>
      <c r="E453"/>
      <c r="F453"/>
    </row>
    <row r="454" spans="2:6" ht="16.5" x14ac:dyDescent="0.3">
      <c r="B454"/>
      <c r="C454"/>
      <c r="D454"/>
      <c r="E454"/>
      <c r="F454"/>
    </row>
    <row r="455" spans="2:6" ht="16.5" x14ac:dyDescent="0.3">
      <c r="B455"/>
      <c r="C455"/>
      <c r="D455"/>
      <c r="E455"/>
      <c r="F455"/>
    </row>
    <row r="456" spans="2:6" ht="16.5" x14ac:dyDescent="0.3">
      <c r="B456"/>
      <c r="C456"/>
      <c r="D456"/>
      <c r="E456"/>
      <c r="F456"/>
    </row>
    <row r="457" spans="2:6" ht="16.5" x14ac:dyDescent="0.3">
      <c r="B457"/>
      <c r="C457"/>
      <c r="D457"/>
      <c r="E457"/>
      <c r="F457"/>
    </row>
    <row r="458" spans="2:6" ht="16.5" x14ac:dyDescent="0.3">
      <c r="B458"/>
      <c r="C458"/>
      <c r="D458"/>
      <c r="E458"/>
      <c r="F458"/>
    </row>
    <row r="459" spans="2:6" ht="16.5" x14ac:dyDescent="0.3">
      <c r="B459"/>
      <c r="C459"/>
      <c r="D459"/>
      <c r="E459"/>
      <c r="F459"/>
    </row>
    <row r="460" spans="2:6" ht="16.5" x14ac:dyDescent="0.3">
      <c r="B460"/>
      <c r="C460"/>
      <c r="D460"/>
      <c r="E460"/>
      <c r="F460"/>
    </row>
    <row r="461" spans="2:6" ht="16.5" x14ac:dyDescent="0.3">
      <c r="B461"/>
      <c r="C461"/>
      <c r="D461"/>
      <c r="E461"/>
      <c r="F461"/>
    </row>
    <row r="462" spans="2:6" ht="16.5" x14ac:dyDescent="0.3">
      <c r="B462"/>
      <c r="C462"/>
      <c r="D462"/>
      <c r="E462"/>
      <c r="F462"/>
    </row>
    <row r="463" spans="2:6" ht="16.5" x14ac:dyDescent="0.3">
      <c r="B463"/>
      <c r="C463"/>
      <c r="D463"/>
      <c r="E463"/>
      <c r="F463"/>
    </row>
    <row r="464" spans="2:6" ht="16.5" x14ac:dyDescent="0.3">
      <c r="B464"/>
      <c r="C464"/>
      <c r="D464"/>
      <c r="E464"/>
      <c r="F464"/>
    </row>
    <row r="465" spans="2:6" ht="16.5" x14ac:dyDescent="0.3">
      <c r="B465"/>
      <c r="C465"/>
      <c r="D465"/>
      <c r="E465"/>
      <c r="F465"/>
    </row>
    <row r="466" spans="2:6" ht="16.5" x14ac:dyDescent="0.3">
      <c r="B466"/>
      <c r="C466"/>
      <c r="D466"/>
      <c r="E466"/>
      <c r="F466"/>
    </row>
    <row r="467" spans="2:6" ht="16.5" x14ac:dyDescent="0.3">
      <c r="B467"/>
      <c r="C467"/>
      <c r="D467"/>
      <c r="E467"/>
      <c r="F467"/>
    </row>
    <row r="468" spans="2:6" ht="16.5" x14ac:dyDescent="0.3">
      <c r="B468"/>
      <c r="C468"/>
      <c r="D468"/>
      <c r="E468"/>
      <c r="F468"/>
    </row>
    <row r="469" spans="2:6" ht="16.5" x14ac:dyDescent="0.3">
      <c r="B469"/>
      <c r="C469"/>
      <c r="D469"/>
      <c r="E469"/>
      <c r="F469"/>
    </row>
    <row r="470" spans="2:6" ht="16.5" x14ac:dyDescent="0.3">
      <c r="B470"/>
      <c r="C470"/>
      <c r="D470"/>
      <c r="E470"/>
      <c r="F470"/>
    </row>
    <row r="471" spans="2:6" ht="16.5" x14ac:dyDescent="0.3">
      <c r="B471"/>
      <c r="C471"/>
      <c r="D471"/>
      <c r="E471"/>
      <c r="F471"/>
    </row>
    <row r="472" spans="2:6" ht="16.5" x14ac:dyDescent="0.3">
      <c r="B472"/>
      <c r="C472"/>
      <c r="D472"/>
      <c r="E472"/>
      <c r="F472"/>
    </row>
    <row r="473" spans="2:6" ht="16.5" x14ac:dyDescent="0.3">
      <c r="B473"/>
      <c r="C473"/>
      <c r="D473"/>
      <c r="E473"/>
      <c r="F473"/>
    </row>
    <row r="474" spans="2:6" ht="16.5" x14ac:dyDescent="0.3">
      <c r="B474"/>
      <c r="C474"/>
      <c r="D474"/>
      <c r="E474"/>
      <c r="F474"/>
    </row>
    <row r="475" spans="2:6" ht="16.5" x14ac:dyDescent="0.3">
      <c r="B475"/>
      <c r="C475"/>
      <c r="D475"/>
      <c r="E475"/>
      <c r="F475"/>
    </row>
    <row r="476" spans="2:6" ht="16.5" x14ac:dyDescent="0.3">
      <c r="B476"/>
      <c r="C476"/>
      <c r="D476"/>
      <c r="E476"/>
      <c r="F476"/>
    </row>
    <row r="477" spans="2:6" ht="16.5" x14ac:dyDescent="0.3">
      <c r="B477"/>
      <c r="C477"/>
      <c r="D477"/>
      <c r="E477"/>
      <c r="F477"/>
    </row>
    <row r="478" spans="2:6" ht="16.5" x14ac:dyDescent="0.3">
      <c r="B478"/>
      <c r="C478"/>
      <c r="D478"/>
      <c r="E478"/>
      <c r="F478"/>
    </row>
    <row r="479" spans="2:6" ht="16.5" x14ac:dyDescent="0.3">
      <c r="B479"/>
      <c r="C479"/>
      <c r="D479"/>
      <c r="E479"/>
      <c r="F479"/>
    </row>
    <row r="480" spans="2:6" ht="16.5" x14ac:dyDescent="0.3">
      <c r="B480"/>
      <c r="C480"/>
      <c r="D480"/>
      <c r="E480"/>
      <c r="F480"/>
    </row>
    <row r="481" spans="2:6" ht="16.5" x14ac:dyDescent="0.3">
      <c r="B481"/>
      <c r="C481"/>
      <c r="D481"/>
      <c r="E481"/>
      <c r="F481"/>
    </row>
    <row r="482" spans="2:6" ht="16.5" x14ac:dyDescent="0.3">
      <c r="B482"/>
      <c r="C482"/>
      <c r="D482"/>
      <c r="E482"/>
      <c r="F482"/>
    </row>
    <row r="483" spans="2:6" ht="16.5" x14ac:dyDescent="0.3">
      <c r="B483"/>
      <c r="C483"/>
      <c r="D483"/>
      <c r="E483"/>
      <c r="F483"/>
    </row>
    <row r="484" spans="2:6" ht="16.5" x14ac:dyDescent="0.3">
      <c r="B484"/>
      <c r="C484"/>
      <c r="D484"/>
      <c r="E484"/>
      <c r="F484"/>
    </row>
    <row r="485" spans="2:6" ht="16.5" x14ac:dyDescent="0.3">
      <c r="B485"/>
      <c r="C485"/>
      <c r="D485"/>
      <c r="E485"/>
      <c r="F485"/>
    </row>
    <row r="486" spans="2:6" ht="16.5" x14ac:dyDescent="0.3">
      <c r="B486"/>
      <c r="C486"/>
      <c r="D486"/>
      <c r="E486"/>
      <c r="F486"/>
    </row>
    <row r="487" spans="2:6" ht="16.5" x14ac:dyDescent="0.3">
      <c r="B487"/>
      <c r="C487"/>
      <c r="D487"/>
      <c r="E487"/>
      <c r="F487"/>
    </row>
    <row r="488" spans="2:6" ht="16.5" x14ac:dyDescent="0.3">
      <c r="B488"/>
      <c r="C488"/>
      <c r="D488"/>
      <c r="E488"/>
      <c r="F488"/>
    </row>
    <row r="489" spans="2:6" ht="16.5" x14ac:dyDescent="0.3">
      <c r="B489"/>
      <c r="C489"/>
      <c r="D489"/>
      <c r="E489"/>
      <c r="F489"/>
    </row>
    <row r="490" spans="2:6" ht="16.5" x14ac:dyDescent="0.3">
      <c r="B490"/>
      <c r="C490"/>
      <c r="D490"/>
      <c r="E490"/>
      <c r="F490"/>
    </row>
    <row r="491" spans="2:6" ht="16.5" x14ac:dyDescent="0.3">
      <c r="B491"/>
      <c r="C491"/>
      <c r="D491"/>
      <c r="E491"/>
      <c r="F491"/>
    </row>
    <row r="492" spans="2:6" ht="16.5" x14ac:dyDescent="0.3">
      <c r="B492"/>
      <c r="C492"/>
      <c r="D492"/>
      <c r="E492"/>
      <c r="F492"/>
    </row>
    <row r="493" spans="2:6" ht="16.5" x14ac:dyDescent="0.3">
      <c r="B493"/>
      <c r="C493"/>
      <c r="D493"/>
      <c r="E493"/>
      <c r="F493"/>
    </row>
    <row r="494" spans="2:6" ht="16.5" x14ac:dyDescent="0.3">
      <c r="B494"/>
      <c r="C494"/>
      <c r="D494"/>
      <c r="E494"/>
      <c r="F494"/>
    </row>
    <row r="495" spans="2:6" ht="16.5" x14ac:dyDescent="0.3">
      <c r="B495"/>
      <c r="C495"/>
      <c r="D495"/>
      <c r="E495"/>
      <c r="F495"/>
    </row>
    <row r="496" spans="2:6" ht="16.5" x14ac:dyDescent="0.3">
      <c r="B496"/>
      <c r="C496"/>
      <c r="D496"/>
      <c r="E496"/>
      <c r="F496"/>
    </row>
    <row r="497" spans="2:6" ht="16.5" x14ac:dyDescent="0.3">
      <c r="B497"/>
      <c r="C497"/>
      <c r="D497"/>
      <c r="E497"/>
      <c r="F497"/>
    </row>
    <row r="498" spans="2:6" ht="16.5" x14ac:dyDescent="0.3">
      <c r="B498"/>
      <c r="C498"/>
      <c r="D498"/>
      <c r="E498"/>
      <c r="F498"/>
    </row>
    <row r="499" spans="2:6" ht="16.5" x14ac:dyDescent="0.3">
      <c r="B499"/>
      <c r="C499"/>
      <c r="D499"/>
      <c r="E499"/>
      <c r="F499"/>
    </row>
    <row r="500" spans="2:6" ht="16.5" x14ac:dyDescent="0.3">
      <c r="B500"/>
      <c r="C500"/>
      <c r="D500"/>
      <c r="E500"/>
      <c r="F500"/>
    </row>
    <row r="501" spans="2:6" ht="16.5" x14ac:dyDescent="0.3">
      <c r="B501"/>
      <c r="C501"/>
      <c r="D501"/>
      <c r="E501"/>
      <c r="F501"/>
    </row>
    <row r="502" spans="2:6" ht="16.5" x14ac:dyDescent="0.3">
      <c r="B502"/>
      <c r="C502"/>
      <c r="D502"/>
      <c r="E502"/>
      <c r="F502"/>
    </row>
    <row r="503" spans="2:6" ht="16.5" x14ac:dyDescent="0.3">
      <c r="B503"/>
      <c r="C503"/>
      <c r="D503"/>
      <c r="E503"/>
      <c r="F503"/>
    </row>
    <row r="504" spans="2:6" ht="16.5" x14ac:dyDescent="0.3">
      <c r="B504"/>
      <c r="C504"/>
      <c r="D504"/>
      <c r="E504"/>
      <c r="F504"/>
    </row>
    <row r="505" spans="2:6" ht="16.5" x14ac:dyDescent="0.3">
      <c r="B505"/>
      <c r="C505"/>
      <c r="D505"/>
      <c r="E505"/>
      <c r="F505"/>
    </row>
    <row r="506" spans="2:6" ht="16.5" x14ac:dyDescent="0.3">
      <c r="B506"/>
      <c r="C506"/>
      <c r="D506"/>
      <c r="E506"/>
      <c r="F506"/>
    </row>
    <row r="507" spans="2:6" ht="16.5" x14ac:dyDescent="0.3">
      <c r="B507"/>
      <c r="C507"/>
      <c r="D507"/>
      <c r="E507"/>
      <c r="F507"/>
    </row>
    <row r="508" spans="2:6" ht="16.5" x14ac:dyDescent="0.3">
      <c r="B508"/>
      <c r="C508"/>
      <c r="D508"/>
      <c r="E508"/>
      <c r="F508"/>
    </row>
    <row r="509" spans="2:6" ht="16.5" x14ac:dyDescent="0.3">
      <c r="B509"/>
      <c r="C509"/>
      <c r="D509"/>
      <c r="E509"/>
      <c r="F509"/>
    </row>
    <row r="510" spans="2:6" ht="16.5" x14ac:dyDescent="0.3">
      <c r="B510"/>
      <c r="C510"/>
      <c r="D510"/>
      <c r="E510"/>
      <c r="F510"/>
    </row>
    <row r="511" spans="2:6" ht="16.5" x14ac:dyDescent="0.3">
      <c r="B511"/>
      <c r="C511"/>
      <c r="D511"/>
      <c r="E511"/>
      <c r="F511"/>
    </row>
    <row r="512" spans="2:6" ht="16.5" x14ac:dyDescent="0.3">
      <c r="B512"/>
      <c r="C512"/>
      <c r="D512"/>
      <c r="E512"/>
      <c r="F512"/>
    </row>
    <row r="513" spans="2:6" ht="16.5" x14ac:dyDescent="0.3">
      <c r="B513"/>
      <c r="C513"/>
      <c r="D513"/>
      <c r="E513"/>
      <c r="F513"/>
    </row>
    <row r="514" spans="2:6" ht="16.5" x14ac:dyDescent="0.3">
      <c r="B514"/>
      <c r="C514"/>
      <c r="D514"/>
      <c r="E514"/>
      <c r="F514"/>
    </row>
    <row r="515" spans="2:6" ht="16.5" x14ac:dyDescent="0.3">
      <c r="B515"/>
      <c r="C515"/>
      <c r="D515"/>
      <c r="E515"/>
      <c r="F515"/>
    </row>
    <row r="516" spans="2:6" ht="16.5" x14ac:dyDescent="0.3">
      <c r="B516"/>
      <c r="C516"/>
      <c r="D516"/>
      <c r="E516"/>
      <c r="F516"/>
    </row>
    <row r="517" spans="2:6" ht="16.5" x14ac:dyDescent="0.3">
      <c r="B517"/>
      <c r="C517"/>
      <c r="D517"/>
      <c r="E517"/>
      <c r="F517"/>
    </row>
    <row r="518" spans="2:6" ht="16.5" x14ac:dyDescent="0.3">
      <c r="B518"/>
      <c r="C518"/>
      <c r="D518"/>
      <c r="E518"/>
      <c r="F518"/>
    </row>
    <row r="519" spans="2:6" ht="16.5" x14ac:dyDescent="0.3">
      <c r="B519"/>
      <c r="C519"/>
      <c r="D519"/>
      <c r="E519"/>
      <c r="F519"/>
    </row>
    <row r="520" spans="2:6" ht="16.5" x14ac:dyDescent="0.3">
      <c r="B520"/>
      <c r="C520"/>
      <c r="D520"/>
      <c r="E520"/>
      <c r="F520"/>
    </row>
    <row r="521" spans="2:6" ht="16.5" x14ac:dyDescent="0.3">
      <c r="B521"/>
      <c r="C521"/>
      <c r="D521"/>
      <c r="E521"/>
      <c r="F521"/>
    </row>
    <row r="522" spans="2:6" ht="16.5" x14ac:dyDescent="0.3">
      <c r="B522"/>
      <c r="C522"/>
      <c r="D522"/>
      <c r="E522"/>
      <c r="F522"/>
    </row>
    <row r="523" spans="2:6" ht="16.5" x14ac:dyDescent="0.3">
      <c r="B523"/>
      <c r="C523"/>
      <c r="D523"/>
      <c r="E523"/>
      <c r="F523"/>
    </row>
    <row r="524" spans="2:6" ht="16.5" x14ac:dyDescent="0.3">
      <c r="B524"/>
      <c r="C524"/>
      <c r="D524"/>
      <c r="E524"/>
      <c r="F524"/>
    </row>
    <row r="525" spans="2:6" ht="16.5" x14ac:dyDescent="0.3">
      <c r="B525"/>
      <c r="C525"/>
      <c r="D525"/>
      <c r="E525"/>
      <c r="F525"/>
    </row>
    <row r="526" spans="2:6" ht="16.5" x14ac:dyDescent="0.3">
      <c r="B526"/>
      <c r="C526"/>
      <c r="D526"/>
      <c r="E526"/>
      <c r="F526"/>
    </row>
    <row r="527" spans="2:6" ht="16.5" x14ac:dyDescent="0.3">
      <c r="B527"/>
      <c r="C527"/>
      <c r="D527"/>
      <c r="E527"/>
      <c r="F527"/>
    </row>
    <row r="528" spans="2:6" ht="16.5" x14ac:dyDescent="0.3">
      <c r="B528"/>
      <c r="C528"/>
      <c r="D528"/>
      <c r="E528"/>
      <c r="F528"/>
    </row>
    <row r="529" spans="2:6" ht="16.5" x14ac:dyDescent="0.3">
      <c r="B529"/>
      <c r="C529"/>
      <c r="D529"/>
      <c r="E529"/>
      <c r="F529"/>
    </row>
    <row r="530" spans="2:6" ht="16.5" x14ac:dyDescent="0.3">
      <c r="B530"/>
      <c r="C530"/>
      <c r="D530"/>
      <c r="E530"/>
      <c r="F530"/>
    </row>
    <row r="531" spans="2:6" ht="16.5" x14ac:dyDescent="0.3">
      <c r="B531"/>
      <c r="C531"/>
      <c r="D531"/>
      <c r="E531"/>
      <c r="F531"/>
    </row>
    <row r="532" spans="2:6" ht="16.5" x14ac:dyDescent="0.3">
      <c r="B532"/>
      <c r="C532"/>
      <c r="D532"/>
      <c r="E532"/>
      <c r="F532"/>
    </row>
    <row r="533" spans="2:6" ht="16.5" x14ac:dyDescent="0.3">
      <c r="B533"/>
      <c r="C533"/>
      <c r="D533"/>
      <c r="E533"/>
      <c r="F533"/>
    </row>
    <row r="534" spans="2:6" ht="16.5" x14ac:dyDescent="0.3">
      <c r="B534"/>
      <c r="C534"/>
      <c r="D534"/>
      <c r="E534"/>
      <c r="F534"/>
    </row>
    <row r="535" spans="2:6" ht="16.5" x14ac:dyDescent="0.3">
      <c r="B535"/>
      <c r="C535"/>
      <c r="D535"/>
      <c r="E535"/>
      <c r="F535"/>
    </row>
    <row r="536" spans="2:6" ht="16.5" x14ac:dyDescent="0.3">
      <c r="B536"/>
      <c r="C536"/>
      <c r="D536"/>
      <c r="E536"/>
      <c r="F536"/>
    </row>
    <row r="537" spans="2:6" ht="16.5" x14ac:dyDescent="0.3">
      <c r="B537"/>
      <c r="C537"/>
      <c r="D537"/>
      <c r="E537"/>
      <c r="F537"/>
    </row>
    <row r="538" spans="2:6" ht="16.5" x14ac:dyDescent="0.3">
      <c r="B538"/>
      <c r="C538"/>
      <c r="D538"/>
      <c r="E538"/>
      <c r="F538"/>
    </row>
    <row r="539" spans="2:6" ht="16.5" x14ac:dyDescent="0.3">
      <c r="B539"/>
      <c r="C539"/>
      <c r="D539"/>
      <c r="E539"/>
      <c r="F539"/>
    </row>
    <row r="540" spans="2:6" ht="16.5" x14ac:dyDescent="0.3">
      <c r="B540"/>
      <c r="C540"/>
      <c r="D540"/>
      <c r="E540"/>
      <c r="F540"/>
    </row>
    <row r="541" spans="2:6" ht="16.5" x14ac:dyDescent="0.3">
      <c r="B541"/>
      <c r="C541"/>
      <c r="D541"/>
      <c r="E541"/>
      <c r="F541"/>
    </row>
    <row r="542" spans="2:6" ht="16.5" x14ac:dyDescent="0.3">
      <c r="B542"/>
      <c r="C542"/>
      <c r="D542"/>
      <c r="E542"/>
      <c r="F542"/>
    </row>
    <row r="543" spans="2:6" ht="16.5" x14ac:dyDescent="0.3">
      <c r="B543"/>
      <c r="C543"/>
      <c r="D543"/>
      <c r="E543"/>
      <c r="F543"/>
    </row>
    <row r="544" spans="2:6" ht="16.5" x14ac:dyDescent="0.3">
      <c r="B544"/>
      <c r="C544"/>
      <c r="D544"/>
      <c r="E544"/>
      <c r="F544"/>
    </row>
    <row r="545" spans="2:6" ht="16.5" x14ac:dyDescent="0.3">
      <c r="B545"/>
      <c r="C545"/>
      <c r="D545"/>
      <c r="E545"/>
      <c r="F545"/>
    </row>
    <row r="546" spans="2:6" ht="16.5" x14ac:dyDescent="0.3">
      <c r="B546"/>
      <c r="C546"/>
      <c r="D546"/>
      <c r="E546"/>
      <c r="F546"/>
    </row>
  </sheetData>
  <mergeCells count="2">
    <mergeCell ref="A1:S1"/>
    <mergeCell ref="A2:S2"/>
  </mergeCells>
  <phoneticPr fontId="1" type="noConversion"/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A02A-ABAF-48F7-BA8F-BF7C121947B5}">
  <dimension ref="A1:AO481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78" width="12.625" customWidth="1"/>
  </cols>
  <sheetData>
    <row r="1" spans="1:41" s="53" customFormat="1" ht="32.1" customHeight="1" x14ac:dyDescent="0.3">
      <c r="A1" s="53" t="s">
        <v>0</v>
      </c>
      <c r="B1" s="53" t="s">
        <v>1</v>
      </c>
      <c r="C1" s="53" t="s">
        <v>2</v>
      </c>
      <c r="D1" s="53" t="s">
        <v>111</v>
      </c>
      <c r="E1" s="53" t="s">
        <v>112</v>
      </c>
      <c r="F1" s="53" t="s">
        <v>113</v>
      </c>
      <c r="G1" s="53" t="s">
        <v>114</v>
      </c>
      <c r="H1" s="53" t="s">
        <v>115</v>
      </c>
      <c r="I1" s="53" t="s">
        <v>116</v>
      </c>
      <c r="J1" s="53" t="s">
        <v>117</v>
      </c>
      <c r="K1" s="53" t="s">
        <v>118</v>
      </c>
      <c r="L1" s="53" t="s">
        <v>119</v>
      </c>
      <c r="M1" s="53" t="s">
        <v>120</v>
      </c>
      <c r="N1" s="53" t="s">
        <v>121</v>
      </c>
      <c r="O1" s="53" t="s">
        <v>122</v>
      </c>
      <c r="P1" s="53" t="s">
        <v>123</v>
      </c>
      <c r="Q1" s="53" t="s">
        <v>124</v>
      </c>
      <c r="R1" s="53" t="s">
        <v>125</v>
      </c>
      <c r="S1" s="53" t="s">
        <v>126</v>
      </c>
      <c r="T1" s="53" t="s">
        <v>697</v>
      </c>
      <c r="U1" s="53" t="s">
        <v>698</v>
      </c>
      <c r="V1" s="53" t="s">
        <v>699</v>
      </c>
      <c r="W1" s="53" t="s">
        <v>700</v>
      </c>
      <c r="X1" s="53" t="s">
        <v>701</v>
      </c>
      <c r="Y1" s="53" t="s">
        <v>702</v>
      </c>
      <c r="Z1" s="53" t="s">
        <v>703</v>
      </c>
      <c r="AA1" s="53" t="s">
        <v>704</v>
      </c>
      <c r="AB1" s="53" t="s">
        <v>705</v>
      </c>
      <c r="AC1" s="53" t="s">
        <v>706</v>
      </c>
      <c r="AD1" s="53" t="s">
        <v>707</v>
      </c>
      <c r="AE1" s="53" t="s">
        <v>708</v>
      </c>
      <c r="AF1" s="53" t="s">
        <v>709</v>
      </c>
      <c r="AG1" s="53" t="s">
        <v>710</v>
      </c>
      <c r="AH1" s="53" t="s">
        <v>711</v>
      </c>
      <c r="AI1" s="53" t="s">
        <v>712</v>
      </c>
      <c r="AJ1" s="53" t="s">
        <v>713</v>
      </c>
      <c r="AK1" s="53" t="s">
        <v>714</v>
      </c>
      <c r="AL1" s="53" t="s">
        <v>107</v>
      </c>
      <c r="AM1" s="53" t="s">
        <v>715</v>
      </c>
      <c r="AN1" s="53" t="s">
        <v>716</v>
      </c>
      <c r="AO1" s="53" t="s">
        <v>717</v>
      </c>
    </row>
    <row r="2" spans="1:41" x14ac:dyDescent="0.3">
      <c r="A2">
        <v>900000</v>
      </c>
      <c r="B2" t="s">
        <v>127</v>
      </c>
      <c r="C2" t="s">
        <v>8</v>
      </c>
      <c r="D2">
        <v>46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L2" t="s">
        <v>134</v>
      </c>
      <c r="M2" t="s">
        <v>135</v>
      </c>
      <c r="N2" s="1">
        <v>37834</v>
      </c>
      <c r="O2" s="1">
        <v>46054</v>
      </c>
      <c r="P2" s="1">
        <v>46054</v>
      </c>
      <c r="Q2" s="1">
        <v>46054</v>
      </c>
      <c r="R2">
        <v>26</v>
      </c>
      <c r="T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" t="str">
        <f>IF(tblRoster[[#This Row],[급수]]="4급(임기제)","4급",tblRoster[[#This Row],[급수]])</f>
        <v>대학회계계약직</v>
      </c>
      <c r="V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" t="str">
        <f>IF(OR(tblRoster[[#This Row],[교직원상세구분]]="사회복무요원",tblRoster[[#This Row],[교직원상세구분]]="인턴(수습)"),"제외","포함")</f>
        <v>포함</v>
      </c>
      <c r="Y2">
        <f>1</f>
        <v>1</v>
      </c>
      <c r="Z2">
        <f>IF(tblRoster[[#This Row],[재직상태구분]]="휴직",1,0)</f>
        <v>0</v>
      </c>
      <c r="AA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">
        <f ca="1">IF(tblRoster[[#This Row],[본교발령시작일자]]="","",DATEDIF(tblRoster[[#This Row],[본교발령시작일자]],TODAY(),"Y"))</f>
        <v>0</v>
      </c>
      <c r="AC2">
        <f ca="1">IF(tblRoster[[#This Row],[최초발령시작일자]]="","",DATEDIF(tblRoster[[#This Row],[최초발령시작일자]],TODAY(),"Y"))</f>
        <v>23</v>
      </c>
      <c r="AD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">
        <f ca="1">IF(tblRoster[[#This Row],[직급발령시작일자]]="","",ROUND(YEARFRAC(tblRoster[[#This Row],[직급발령시작일자]],TODAY()),1))</f>
        <v>0.6</v>
      </c>
      <c r="AF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" t="str">
        <f ca="1">IF(OR(tblRoster[[#This Row],[공무원구분]]&lt;&gt;"공무원",tblRoster[[#This Row],[나이]]=""),"",YEAR(TODAY())+(60-tblRoster[[#This Row],[나이]]))</f>
        <v/>
      </c>
      <c r="AH2" t="str">
        <f>IF(tblRoster[[#This Row],[직위]]="","일반","보직자")</f>
        <v>일반</v>
      </c>
      <c r="AI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" t="str">
        <f ca="1">IF(tblRoster[[#This Row],[복직예정일]]="","",TEXT(tblRoster[[#This Row],[복직예정일]],"yyyy-mm"))</f>
        <v/>
      </c>
      <c r="AM2" t="str">
        <f ca="1">IF(tblRoster[[#This Row],[복직예정일]]="","",tblRoster[[#This Row],[복직예정일]]-TODAY())</f>
        <v/>
      </c>
      <c r="AN2" t="str">
        <f ca="1">IF(tblRoster[[#This Row],[휴직잔여일수]]="","",IF(tblRoster[[#This Row],[휴직잔여일수]]&lt;=180,"6개월내","6개월이후"))</f>
        <v/>
      </c>
      <c r="AO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" spans="1:41" x14ac:dyDescent="0.3">
      <c r="A3">
        <v>900001</v>
      </c>
      <c r="B3" t="s">
        <v>136</v>
      </c>
      <c r="C3" t="s">
        <v>8</v>
      </c>
      <c r="D3">
        <v>38</v>
      </c>
      <c r="E3" t="s">
        <v>128</v>
      </c>
      <c r="F3" t="s">
        <v>137</v>
      </c>
      <c r="G3" t="s">
        <v>138</v>
      </c>
      <c r="H3" t="s">
        <v>139</v>
      </c>
      <c r="I3" t="s">
        <v>132</v>
      </c>
      <c r="J3" t="s">
        <v>133</v>
      </c>
      <c r="L3" t="s">
        <v>134</v>
      </c>
      <c r="M3" t="s">
        <v>135</v>
      </c>
      <c r="N3" s="1">
        <v>43191</v>
      </c>
      <c r="O3" s="1">
        <v>43191</v>
      </c>
      <c r="P3" s="1">
        <v>46266</v>
      </c>
      <c r="Q3" s="1">
        <v>46266</v>
      </c>
      <c r="R3">
        <v>8</v>
      </c>
      <c r="T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" t="str">
        <f>IF(tblRoster[[#This Row],[급수]]="4급(임기제)","4급",tblRoster[[#This Row],[급수]])</f>
        <v>대학회계계약직</v>
      </c>
      <c r="V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" t="str">
        <f>IF(OR(tblRoster[[#This Row],[교직원상세구분]]="사회복무요원",tblRoster[[#This Row],[교직원상세구분]]="인턴(수습)"),"제외","포함")</f>
        <v>포함</v>
      </c>
      <c r="Y3">
        <f>1</f>
        <v>1</v>
      </c>
      <c r="Z3">
        <f>IF(tblRoster[[#This Row],[재직상태구분]]="휴직",1,0)</f>
        <v>0</v>
      </c>
      <c r="AA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">
        <f ca="1">IF(tblRoster[[#This Row],[본교발령시작일자]]="","",DATEDIF(tblRoster[[#This Row],[본교발령시작일자]],TODAY(),"Y"))</f>
        <v>8</v>
      </c>
      <c r="AC3">
        <f ca="1">IF(tblRoster[[#This Row],[최초발령시작일자]]="","",DATEDIF(tblRoster[[#This Row],[최초발령시작일자]],TODAY(),"Y"))</f>
        <v>8</v>
      </c>
      <c r="AD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">
        <f ca="1">IF(tblRoster[[#This Row],[직급발령시작일자]]="","",ROUND(YEARFRAC(tblRoster[[#This Row],[직급발령시작일자]],TODAY()),1))</f>
        <v>0</v>
      </c>
      <c r="AF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" t="str">
        <f ca="1">IF(OR(tblRoster[[#This Row],[공무원구분]]&lt;&gt;"공무원",tblRoster[[#This Row],[나이]]=""),"",YEAR(TODAY())+(60-tblRoster[[#This Row],[나이]]))</f>
        <v/>
      </c>
      <c r="AH3" t="str">
        <f>IF(tblRoster[[#This Row],[직위]]="","일반","보직자")</f>
        <v>일반</v>
      </c>
      <c r="AI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" t="str">
        <f ca="1">IF(tblRoster[[#This Row],[복직예정일]]="","",TEXT(tblRoster[[#This Row],[복직예정일]],"yyyy-mm"))</f>
        <v/>
      </c>
      <c r="AM3" t="str">
        <f ca="1">IF(tblRoster[[#This Row],[복직예정일]]="","",tblRoster[[#This Row],[복직예정일]]-TODAY())</f>
        <v/>
      </c>
      <c r="AN3" t="str">
        <f ca="1">IF(tblRoster[[#This Row],[휴직잔여일수]]="","",IF(tblRoster[[#This Row],[휴직잔여일수]]&lt;=180,"6개월내","6개월이후"))</f>
        <v/>
      </c>
      <c r="AO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" spans="1:41" x14ac:dyDescent="0.3">
      <c r="A4">
        <v>900002</v>
      </c>
      <c r="B4" t="s">
        <v>140</v>
      </c>
      <c r="C4" t="s">
        <v>8</v>
      </c>
      <c r="D4">
        <v>45</v>
      </c>
      <c r="E4" t="s">
        <v>128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L4" t="s">
        <v>134</v>
      </c>
      <c r="M4" t="s">
        <v>135</v>
      </c>
      <c r="N4" s="1">
        <v>37803</v>
      </c>
      <c r="O4" s="1">
        <v>37803</v>
      </c>
      <c r="P4" s="1">
        <v>43891</v>
      </c>
      <c r="Q4" s="1">
        <v>43891</v>
      </c>
      <c r="R4">
        <v>25</v>
      </c>
      <c r="T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" t="str">
        <f>IF(tblRoster[[#This Row],[급수]]="4급(임기제)","4급",tblRoster[[#This Row],[급수]])</f>
        <v>7급</v>
      </c>
      <c r="V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" t="str">
        <f>IF(OR(tblRoster[[#This Row],[교직원상세구분]]="사회복무요원",tblRoster[[#This Row],[교직원상세구분]]="인턴(수습)"),"제외","포함")</f>
        <v>포함</v>
      </c>
      <c r="Y4">
        <f>1</f>
        <v>1</v>
      </c>
      <c r="Z4">
        <f>IF(tblRoster[[#This Row],[재직상태구분]]="휴직",1,0)</f>
        <v>0</v>
      </c>
      <c r="AA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">
        <f ca="1">IF(tblRoster[[#This Row],[본교발령시작일자]]="","",DATEDIF(tblRoster[[#This Row],[본교발령시작일자]],TODAY(),"Y"))</f>
        <v>23</v>
      </c>
      <c r="AC4">
        <f ca="1">IF(tblRoster[[#This Row],[최초발령시작일자]]="","",DATEDIF(tblRoster[[#This Row],[최초발령시작일자]],TODAY(),"Y"))</f>
        <v>23</v>
      </c>
      <c r="AD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">
        <f ca="1">IF(tblRoster[[#This Row],[직급발령시작일자]]="","",ROUND(YEARFRAC(tblRoster[[#This Row],[직급발령시작일자]],TODAY()),1))</f>
        <v>6.5</v>
      </c>
      <c r="AF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">
        <f ca="1">IF(OR(tblRoster[[#This Row],[공무원구분]]&lt;&gt;"공무원",tblRoster[[#This Row],[나이]]=""),"",YEAR(TODAY())+(60-tblRoster[[#This Row],[나이]]))</f>
        <v>2041</v>
      </c>
      <c r="AH4" t="str">
        <f>IF(tblRoster[[#This Row],[직위]]="","일반","보직자")</f>
        <v>일반</v>
      </c>
      <c r="AI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" t="str">
        <f ca="1">IF(tblRoster[[#This Row],[복직예정일]]="","",TEXT(tblRoster[[#This Row],[복직예정일]],"yyyy-mm"))</f>
        <v/>
      </c>
      <c r="AM4" t="str">
        <f ca="1">IF(tblRoster[[#This Row],[복직예정일]]="","",tblRoster[[#This Row],[복직예정일]]-TODAY())</f>
        <v/>
      </c>
      <c r="AN4" t="str">
        <f ca="1">IF(tblRoster[[#This Row],[휴직잔여일수]]="","",IF(tblRoster[[#This Row],[휴직잔여일수]]&lt;=180,"6개월내","6개월이후"))</f>
        <v/>
      </c>
      <c r="AO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" spans="1:41" x14ac:dyDescent="0.3">
      <c r="A5">
        <v>900003</v>
      </c>
      <c r="B5" t="s">
        <v>146</v>
      </c>
      <c r="C5" t="s">
        <v>8</v>
      </c>
      <c r="D5">
        <v>32</v>
      </c>
      <c r="E5" t="s">
        <v>128</v>
      </c>
      <c r="F5" t="s">
        <v>147</v>
      </c>
      <c r="G5" t="s">
        <v>142</v>
      </c>
      <c r="H5" t="s">
        <v>148</v>
      </c>
      <c r="I5" t="s">
        <v>132</v>
      </c>
      <c r="J5" t="s">
        <v>133</v>
      </c>
      <c r="L5" t="s">
        <v>134</v>
      </c>
      <c r="M5" t="s">
        <v>135</v>
      </c>
      <c r="N5" s="1">
        <v>43221</v>
      </c>
      <c r="O5" s="1">
        <v>43221</v>
      </c>
      <c r="P5" s="1">
        <v>45931</v>
      </c>
      <c r="Q5" s="1">
        <v>45931</v>
      </c>
      <c r="R5">
        <v>9</v>
      </c>
      <c r="T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5" t="str">
        <f>IF(tblRoster[[#This Row],[급수]]="4급(임기제)","4급",tblRoster[[#This Row],[급수]])</f>
        <v>대학회계계약직</v>
      </c>
      <c r="V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5" t="str">
        <f>IF(OR(tblRoster[[#This Row],[교직원상세구분]]="사회복무요원",tblRoster[[#This Row],[교직원상세구분]]="인턴(수습)"),"제외","포함")</f>
        <v>포함</v>
      </c>
      <c r="Y5">
        <f>1</f>
        <v>1</v>
      </c>
      <c r="Z5">
        <f>IF(tblRoster[[#This Row],[재직상태구분]]="휴직",1,0)</f>
        <v>0</v>
      </c>
      <c r="AA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5">
        <f ca="1">IF(tblRoster[[#This Row],[본교발령시작일자]]="","",DATEDIF(tblRoster[[#This Row],[본교발령시작일자]],TODAY(),"Y"))</f>
        <v>8</v>
      </c>
      <c r="AC5">
        <f ca="1">IF(tblRoster[[#This Row],[최초발령시작일자]]="","",DATEDIF(tblRoster[[#This Row],[최초발령시작일자]],TODAY(),"Y"))</f>
        <v>8</v>
      </c>
      <c r="AD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5">
        <f ca="1">IF(tblRoster[[#This Row],[직급발령시작일자]]="","",ROUND(YEARFRAC(tblRoster[[#This Row],[직급발령시작일자]],TODAY()),1))</f>
        <v>0.9</v>
      </c>
      <c r="AF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" t="str">
        <f ca="1">IF(OR(tblRoster[[#This Row],[공무원구분]]&lt;&gt;"공무원",tblRoster[[#This Row],[나이]]=""),"",YEAR(TODAY())+(60-tblRoster[[#This Row],[나이]]))</f>
        <v/>
      </c>
      <c r="AH5" t="str">
        <f>IF(tblRoster[[#This Row],[직위]]="","일반","보직자")</f>
        <v>일반</v>
      </c>
      <c r="AI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" t="str">
        <f ca="1">IF(tblRoster[[#This Row],[복직예정일]]="","",TEXT(tblRoster[[#This Row],[복직예정일]],"yyyy-mm"))</f>
        <v/>
      </c>
      <c r="AM5" t="str">
        <f ca="1">IF(tblRoster[[#This Row],[복직예정일]]="","",tblRoster[[#This Row],[복직예정일]]-TODAY())</f>
        <v/>
      </c>
      <c r="AN5" t="str">
        <f ca="1">IF(tblRoster[[#This Row],[휴직잔여일수]]="","",IF(tblRoster[[#This Row],[휴직잔여일수]]&lt;=180,"6개월내","6개월이후"))</f>
        <v/>
      </c>
      <c r="AO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" spans="1:41" x14ac:dyDescent="0.3">
      <c r="A6">
        <v>900004</v>
      </c>
      <c r="B6" t="s">
        <v>149</v>
      </c>
      <c r="C6" t="s">
        <v>8</v>
      </c>
      <c r="D6">
        <v>53</v>
      </c>
      <c r="E6" t="s">
        <v>150</v>
      </c>
      <c r="F6" t="s">
        <v>141</v>
      </c>
      <c r="G6" t="s">
        <v>151</v>
      </c>
      <c r="H6" t="s">
        <v>152</v>
      </c>
      <c r="I6" t="s">
        <v>144</v>
      </c>
      <c r="J6" t="s">
        <v>145</v>
      </c>
      <c r="L6" t="s">
        <v>135</v>
      </c>
      <c r="M6" t="s">
        <v>135</v>
      </c>
      <c r="N6" s="1">
        <v>37834</v>
      </c>
      <c r="O6" s="1">
        <v>37834</v>
      </c>
      <c r="P6" s="1">
        <v>44682</v>
      </c>
      <c r="Q6" s="1">
        <v>44682</v>
      </c>
      <c r="R6">
        <v>25</v>
      </c>
      <c r="T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전문경력관</v>
      </c>
      <c r="U6" t="str">
        <f>IF(tblRoster[[#This Row],[급수]]="4급(임기제)","4급",tblRoster[[#This Row],[급수]])</f>
        <v>전문경력관</v>
      </c>
      <c r="V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9</v>
      </c>
      <c r="W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" t="str">
        <f>IF(OR(tblRoster[[#This Row],[교직원상세구분]]="사회복무요원",tblRoster[[#This Row],[교직원상세구분]]="인턴(수습)"),"제외","포함")</f>
        <v>포함</v>
      </c>
      <c r="Y6">
        <f>1</f>
        <v>1</v>
      </c>
      <c r="Z6">
        <f>IF(tblRoster[[#This Row],[재직상태구분]]="휴직",1,0)</f>
        <v>0</v>
      </c>
      <c r="AA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6">
        <f ca="1">IF(tblRoster[[#This Row],[본교발령시작일자]]="","",DATEDIF(tblRoster[[#This Row],[본교발령시작일자]],TODAY(),"Y"))</f>
        <v>23</v>
      </c>
      <c r="AC6">
        <f ca="1">IF(tblRoster[[#This Row],[최초발령시작일자]]="","",DATEDIF(tblRoster[[#This Row],[최초발령시작일자]],TODAY(),"Y"))</f>
        <v>23</v>
      </c>
      <c r="AD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6">
        <f ca="1">IF(tblRoster[[#This Row],[직급발령시작일자]]="","",ROUND(YEARFRAC(tblRoster[[#This Row],[직급발령시작일자]],TODAY()),1))</f>
        <v>4.4000000000000004</v>
      </c>
      <c r="AF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">
        <f ca="1">IF(OR(tblRoster[[#This Row],[공무원구분]]&lt;&gt;"공무원",tblRoster[[#This Row],[나이]]=""),"",YEAR(TODAY())+(60-tblRoster[[#This Row],[나이]]))</f>
        <v>2033</v>
      </c>
      <c r="AH6" t="str">
        <f>IF(tblRoster[[#This Row],[직위]]="","일반","보직자")</f>
        <v>일반</v>
      </c>
      <c r="AI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" t="str">
        <f ca="1">IF(tblRoster[[#This Row],[복직예정일]]="","",TEXT(tblRoster[[#This Row],[복직예정일]],"yyyy-mm"))</f>
        <v/>
      </c>
      <c r="AM6" t="str">
        <f ca="1">IF(tblRoster[[#This Row],[복직예정일]]="","",tblRoster[[#This Row],[복직예정일]]-TODAY())</f>
        <v/>
      </c>
      <c r="AN6" t="str">
        <f ca="1">IF(tblRoster[[#This Row],[휴직잔여일수]]="","",IF(tblRoster[[#This Row],[휴직잔여일수]]&lt;=180,"6개월내","6개월이후"))</f>
        <v/>
      </c>
      <c r="AO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" spans="1:41" x14ac:dyDescent="0.3">
      <c r="A7">
        <v>900005</v>
      </c>
      <c r="B7" t="s">
        <v>153</v>
      </c>
      <c r="C7" t="s">
        <v>8</v>
      </c>
      <c r="D7">
        <v>39</v>
      </c>
      <c r="E7" t="s">
        <v>150</v>
      </c>
      <c r="F7" t="s">
        <v>154</v>
      </c>
      <c r="G7" t="s">
        <v>155</v>
      </c>
      <c r="H7" t="s">
        <v>156</v>
      </c>
      <c r="I7" t="s">
        <v>144</v>
      </c>
      <c r="J7" t="s">
        <v>145</v>
      </c>
      <c r="L7" t="s">
        <v>134</v>
      </c>
      <c r="M7" t="s">
        <v>135</v>
      </c>
      <c r="N7" s="1">
        <v>40330</v>
      </c>
      <c r="O7" s="1">
        <v>46235</v>
      </c>
      <c r="P7" s="1">
        <v>46235</v>
      </c>
      <c r="Q7" s="1">
        <v>46235</v>
      </c>
      <c r="R7">
        <v>19</v>
      </c>
      <c r="T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7" t="str">
        <f>IF(tblRoster[[#This Row],[급수]]="4급(임기제)","4급",tblRoster[[#This Row],[급수]])</f>
        <v>6급</v>
      </c>
      <c r="V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" t="str">
        <f>IF(OR(tblRoster[[#This Row],[교직원상세구분]]="사회복무요원",tblRoster[[#This Row],[교직원상세구분]]="인턴(수습)"),"제외","포함")</f>
        <v>포함</v>
      </c>
      <c r="Y7">
        <f>1</f>
        <v>1</v>
      </c>
      <c r="Z7">
        <f>IF(tblRoster[[#This Row],[재직상태구분]]="휴직",1,0)</f>
        <v>0</v>
      </c>
      <c r="AA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7">
        <f ca="1">IF(tblRoster[[#This Row],[본교발령시작일자]]="","",DATEDIF(tblRoster[[#This Row],[본교발령시작일자]],TODAY(),"Y"))</f>
        <v>0</v>
      </c>
      <c r="AC7">
        <f ca="1">IF(tblRoster[[#This Row],[최초발령시작일자]]="","",DATEDIF(tblRoster[[#This Row],[최초발령시작일자]],TODAY(),"Y"))</f>
        <v>16</v>
      </c>
      <c r="AD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7">
        <f ca="1">IF(tblRoster[[#This Row],[직급발령시작일자]]="","",ROUND(YEARFRAC(tblRoster[[#This Row],[직급발령시작일자]],TODAY()),1))</f>
        <v>0.1</v>
      </c>
      <c r="AF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">
        <f ca="1">IF(OR(tblRoster[[#This Row],[공무원구분]]&lt;&gt;"공무원",tblRoster[[#This Row],[나이]]=""),"",YEAR(TODAY())+(60-tblRoster[[#This Row],[나이]]))</f>
        <v>2047</v>
      </c>
      <c r="AH7" t="str">
        <f>IF(tblRoster[[#This Row],[직위]]="","일반","보직자")</f>
        <v>일반</v>
      </c>
      <c r="AI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" t="str">
        <f ca="1">IF(tblRoster[[#This Row],[복직예정일]]="","",TEXT(tblRoster[[#This Row],[복직예정일]],"yyyy-mm"))</f>
        <v/>
      </c>
      <c r="AM7" t="str">
        <f ca="1">IF(tblRoster[[#This Row],[복직예정일]]="","",tblRoster[[#This Row],[복직예정일]]-TODAY())</f>
        <v/>
      </c>
      <c r="AN7" t="str">
        <f ca="1">IF(tblRoster[[#This Row],[휴직잔여일수]]="","",IF(tblRoster[[#This Row],[휴직잔여일수]]&lt;=180,"6개월내","6개월이후"))</f>
        <v/>
      </c>
      <c r="AO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" spans="1:41" x14ac:dyDescent="0.3">
      <c r="A8">
        <v>900006</v>
      </c>
      <c r="B8" t="s">
        <v>157</v>
      </c>
      <c r="C8" t="s">
        <v>8</v>
      </c>
      <c r="D8">
        <v>51</v>
      </c>
      <c r="E8" t="s">
        <v>128</v>
      </c>
      <c r="F8" t="s">
        <v>158</v>
      </c>
      <c r="G8" t="s">
        <v>159</v>
      </c>
      <c r="H8" t="s">
        <v>156</v>
      </c>
      <c r="I8" t="s">
        <v>144</v>
      </c>
      <c r="J8" t="s">
        <v>145</v>
      </c>
      <c r="L8" t="s">
        <v>134</v>
      </c>
      <c r="M8" t="s">
        <v>135</v>
      </c>
      <c r="N8" s="1">
        <v>38899</v>
      </c>
      <c r="O8" s="1">
        <v>38899</v>
      </c>
      <c r="P8" s="1">
        <v>41944</v>
      </c>
      <c r="Q8" s="1">
        <v>41944</v>
      </c>
      <c r="R8">
        <v>22</v>
      </c>
      <c r="T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8" t="str">
        <f>IF(tblRoster[[#This Row],[급수]]="4급(임기제)","4급",tblRoster[[#This Row],[급수]])</f>
        <v>6급</v>
      </c>
      <c r="V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" t="str">
        <f>IF(OR(tblRoster[[#This Row],[교직원상세구분]]="사회복무요원",tblRoster[[#This Row],[교직원상세구분]]="인턴(수습)"),"제외","포함")</f>
        <v>포함</v>
      </c>
      <c r="Y8">
        <f>1</f>
        <v>1</v>
      </c>
      <c r="Z8">
        <f>IF(tblRoster[[#This Row],[재직상태구분]]="휴직",1,0)</f>
        <v>0</v>
      </c>
      <c r="AA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8">
        <f ca="1">IF(tblRoster[[#This Row],[본교발령시작일자]]="","",DATEDIF(tblRoster[[#This Row],[본교발령시작일자]],TODAY(),"Y"))</f>
        <v>20</v>
      </c>
      <c r="AC8">
        <f ca="1">IF(tblRoster[[#This Row],[최초발령시작일자]]="","",DATEDIF(tblRoster[[#This Row],[최초발령시작일자]],TODAY(),"Y"))</f>
        <v>20</v>
      </c>
      <c r="AD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8">
        <f ca="1">IF(tblRoster[[#This Row],[직급발령시작일자]]="","",ROUND(YEARFRAC(tblRoster[[#This Row],[직급발령시작일자]],TODAY()),1))</f>
        <v>11.9</v>
      </c>
      <c r="AF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8">
        <f ca="1">IF(OR(tblRoster[[#This Row],[공무원구분]]&lt;&gt;"공무원",tblRoster[[#This Row],[나이]]=""),"",YEAR(TODAY())+(60-tblRoster[[#This Row],[나이]]))</f>
        <v>2035</v>
      </c>
      <c r="AH8" t="str">
        <f>IF(tblRoster[[#This Row],[직위]]="","일반","보직자")</f>
        <v>일반</v>
      </c>
      <c r="AI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" t="str">
        <f ca="1">IF(tblRoster[[#This Row],[복직예정일]]="","",TEXT(tblRoster[[#This Row],[복직예정일]],"yyyy-mm"))</f>
        <v/>
      </c>
      <c r="AM8" t="str">
        <f ca="1">IF(tblRoster[[#This Row],[복직예정일]]="","",tblRoster[[#This Row],[복직예정일]]-TODAY())</f>
        <v/>
      </c>
      <c r="AN8" t="str">
        <f ca="1">IF(tblRoster[[#This Row],[휴직잔여일수]]="","",IF(tblRoster[[#This Row],[휴직잔여일수]]&lt;=180,"6개월내","6개월이후"))</f>
        <v/>
      </c>
      <c r="AO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" spans="1:41" x14ac:dyDescent="0.3">
      <c r="A9">
        <v>900007</v>
      </c>
      <c r="B9" t="s">
        <v>160</v>
      </c>
      <c r="C9" t="s">
        <v>8</v>
      </c>
      <c r="D9">
        <v>45</v>
      </c>
      <c r="E9" t="s">
        <v>128</v>
      </c>
      <c r="F9" t="s">
        <v>147</v>
      </c>
      <c r="G9" t="s">
        <v>155</v>
      </c>
      <c r="H9" t="s">
        <v>148</v>
      </c>
      <c r="I9" t="s">
        <v>132</v>
      </c>
      <c r="J9" t="s">
        <v>133</v>
      </c>
      <c r="L9" t="s">
        <v>134</v>
      </c>
      <c r="M9" t="s">
        <v>135</v>
      </c>
      <c r="N9" s="1">
        <v>44136</v>
      </c>
      <c r="O9" s="1">
        <v>44136</v>
      </c>
      <c r="P9" s="1">
        <v>44958</v>
      </c>
      <c r="Q9" s="1">
        <v>44958</v>
      </c>
      <c r="R9">
        <v>8</v>
      </c>
      <c r="T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9" t="str">
        <f>IF(tblRoster[[#This Row],[급수]]="4급(임기제)","4급",tblRoster[[#This Row],[급수]])</f>
        <v>대학회계계약직</v>
      </c>
      <c r="V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9" t="str">
        <f>IF(OR(tblRoster[[#This Row],[교직원상세구분]]="사회복무요원",tblRoster[[#This Row],[교직원상세구분]]="인턴(수습)"),"제외","포함")</f>
        <v>포함</v>
      </c>
      <c r="Y9">
        <f>1</f>
        <v>1</v>
      </c>
      <c r="Z9">
        <f>IF(tblRoster[[#This Row],[재직상태구분]]="휴직",1,0)</f>
        <v>0</v>
      </c>
      <c r="AA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9">
        <f ca="1">IF(tblRoster[[#This Row],[본교발령시작일자]]="","",DATEDIF(tblRoster[[#This Row],[본교발령시작일자]],TODAY(),"Y"))</f>
        <v>5</v>
      </c>
      <c r="AC9">
        <f ca="1">IF(tblRoster[[#This Row],[최초발령시작일자]]="","",DATEDIF(tblRoster[[#This Row],[최초발령시작일자]],TODAY(),"Y"))</f>
        <v>5</v>
      </c>
      <c r="AD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9">
        <f ca="1">IF(tblRoster[[#This Row],[직급발령시작일자]]="","",ROUND(YEARFRAC(tblRoster[[#This Row],[직급발령시작일자]],TODAY()),1))</f>
        <v>3.6</v>
      </c>
      <c r="AF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" t="str">
        <f ca="1">IF(OR(tblRoster[[#This Row],[공무원구분]]&lt;&gt;"공무원",tblRoster[[#This Row],[나이]]=""),"",YEAR(TODAY())+(60-tblRoster[[#This Row],[나이]]))</f>
        <v/>
      </c>
      <c r="AH9" t="str">
        <f>IF(tblRoster[[#This Row],[직위]]="","일반","보직자")</f>
        <v>일반</v>
      </c>
      <c r="AI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" t="str">
        <f ca="1">IF(tblRoster[[#This Row],[복직예정일]]="","",TEXT(tblRoster[[#This Row],[복직예정일]],"yyyy-mm"))</f>
        <v/>
      </c>
      <c r="AM9" t="str">
        <f ca="1">IF(tblRoster[[#This Row],[복직예정일]]="","",tblRoster[[#This Row],[복직예정일]]-TODAY())</f>
        <v/>
      </c>
      <c r="AN9" t="str">
        <f ca="1">IF(tblRoster[[#This Row],[휴직잔여일수]]="","",IF(tblRoster[[#This Row],[휴직잔여일수]]&lt;=180,"6개월내","6개월이후"))</f>
        <v/>
      </c>
      <c r="AO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" spans="1:41" x14ac:dyDescent="0.3">
      <c r="A10">
        <v>900008</v>
      </c>
      <c r="B10" t="s">
        <v>161</v>
      </c>
      <c r="C10" t="s">
        <v>8</v>
      </c>
      <c r="D10">
        <v>55</v>
      </c>
      <c r="E10" t="s">
        <v>150</v>
      </c>
      <c r="F10" t="s">
        <v>162</v>
      </c>
      <c r="G10" t="s">
        <v>142</v>
      </c>
      <c r="H10" t="s">
        <v>163</v>
      </c>
      <c r="I10" t="s">
        <v>144</v>
      </c>
      <c r="J10" t="s">
        <v>145</v>
      </c>
      <c r="L10" t="s">
        <v>134</v>
      </c>
      <c r="M10" t="s">
        <v>135</v>
      </c>
      <c r="N10" s="1">
        <v>36220</v>
      </c>
      <c r="O10" s="1">
        <v>36220</v>
      </c>
      <c r="P10" s="1">
        <v>43040</v>
      </c>
      <c r="Q10" s="1">
        <v>43040</v>
      </c>
      <c r="R10">
        <v>30</v>
      </c>
      <c r="T1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0" t="str">
        <f>IF(tblRoster[[#This Row],[급수]]="4급(임기제)","4급",tblRoster[[#This Row],[급수]])</f>
        <v>6급</v>
      </c>
      <c r="V1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0" t="str">
        <f>IF(OR(tblRoster[[#This Row],[교직원상세구분]]="사회복무요원",tblRoster[[#This Row],[교직원상세구분]]="인턴(수습)"),"제외","포함")</f>
        <v>포함</v>
      </c>
      <c r="Y10">
        <f>1</f>
        <v>1</v>
      </c>
      <c r="Z10">
        <f>IF(tblRoster[[#This Row],[재직상태구분]]="휴직",1,0)</f>
        <v>0</v>
      </c>
      <c r="AA1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0">
        <f ca="1">IF(tblRoster[[#This Row],[본교발령시작일자]]="","",DATEDIF(tblRoster[[#This Row],[본교발령시작일자]],TODAY(),"Y"))</f>
        <v>27</v>
      </c>
      <c r="AC10">
        <f ca="1">IF(tblRoster[[#This Row],[최초발령시작일자]]="","",DATEDIF(tblRoster[[#This Row],[최초발령시작일자]],TODAY(),"Y"))</f>
        <v>27</v>
      </c>
      <c r="AD1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10">
        <f ca="1">IF(tblRoster[[#This Row],[직급발령시작일자]]="","",ROUND(YEARFRAC(tblRoster[[#This Row],[직급발령시작일자]],TODAY()),1))</f>
        <v>8.9</v>
      </c>
      <c r="AF1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0">
        <f ca="1">IF(OR(tblRoster[[#This Row],[공무원구분]]&lt;&gt;"공무원",tblRoster[[#This Row],[나이]]=""),"",YEAR(TODAY())+(60-tblRoster[[#This Row],[나이]]))</f>
        <v>2031</v>
      </c>
      <c r="AH10" t="str">
        <f>IF(tblRoster[[#This Row],[직위]]="","일반","보직자")</f>
        <v>일반</v>
      </c>
      <c r="AI1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" t="str">
        <f ca="1">IF(tblRoster[[#This Row],[복직예정일]]="","",TEXT(tblRoster[[#This Row],[복직예정일]],"yyyy-mm"))</f>
        <v/>
      </c>
      <c r="AM10" t="str">
        <f ca="1">IF(tblRoster[[#This Row],[복직예정일]]="","",tblRoster[[#This Row],[복직예정일]]-TODAY())</f>
        <v/>
      </c>
      <c r="AN10" t="str">
        <f ca="1">IF(tblRoster[[#This Row],[휴직잔여일수]]="","",IF(tblRoster[[#This Row],[휴직잔여일수]]&lt;=180,"6개월내","6개월이후"))</f>
        <v/>
      </c>
      <c r="AO1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" spans="1:41" x14ac:dyDescent="0.3">
      <c r="A11">
        <v>900009</v>
      </c>
      <c r="B11" t="s">
        <v>164</v>
      </c>
      <c r="C11" t="s">
        <v>8</v>
      </c>
      <c r="D11">
        <v>46</v>
      </c>
      <c r="E11" t="s">
        <v>128</v>
      </c>
      <c r="F11" t="s">
        <v>137</v>
      </c>
      <c r="G11" t="s">
        <v>138</v>
      </c>
      <c r="H11" t="s">
        <v>165</v>
      </c>
      <c r="I11" t="s">
        <v>144</v>
      </c>
      <c r="J11" t="s">
        <v>145</v>
      </c>
      <c r="L11" t="s">
        <v>134</v>
      </c>
      <c r="M11" t="s">
        <v>135</v>
      </c>
      <c r="N11" s="1">
        <v>39845</v>
      </c>
      <c r="O11" s="1">
        <v>39845</v>
      </c>
      <c r="P11" s="1">
        <v>44986</v>
      </c>
      <c r="Q11" s="1">
        <v>44986</v>
      </c>
      <c r="R11">
        <v>20</v>
      </c>
      <c r="T1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1" t="str">
        <f>IF(tblRoster[[#This Row],[급수]]="4급(임기제)","4급",tblRoster[[#This Row],[급수]])</f>
        <v>6급</v>
      </c>
      <c r="V1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" t="str">
        <f>IF(OR(tblRoster[[#This Row],[교직원상세구분]]="사회복무요원",tblRoster[[#This Row],[교직원상세구분]]="인턴(수습)"),"제외","포함")</f>
        <v>포함</v>
      </c>
      <c r="Y11">
        <f>1</f>
        <v>1</v>
      </c>
      <c r="Z11">
        <f>IF(tblRoster[[#This Row],[재직상태구분]]="휴직",1,0)</f>
        <v>0</v>
      </c>
      <c r="AA1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">
        <f ca="1">IF(tblRoster[[#This Row],[본교발령시작일자]]="","",DATEDIF(tblRoster[[#This Row],[본교발령시작일자]],TODAY(),"Y"))</f>
        <v>17</v>
      </c>
      <c r="AC11">
        <f ca="1">IF(tblRoster[[#This Row],[최초발령시작일자]]="","",DATEDIF(tblRoster[[#This Row],[최초발령시작일자]],TODAY(),"Y"))</f>
        <v>17</v>
      </c>
      <c r="AD1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1">
        <f ca="1">IF(tblRoster[[#This Row],[직급발령시작일자]]="","",ROUND(YEARFRAC(tblRoster[[#This Row],[직급발령시작일자]],TODAY()),1))</f>
        <v>3.5</v>
      </c>
      <c r="AF1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">
        <f ca="1">IF(OR(tblRoster[[#This Row],[공무원구분]]&lt;&gt;"공무원",tblRoster[[#This Row],[나이]]=""),"",YEAR(TODAY())+(60-tblRoster[[#This Row],[나이]]))</f>
        <v>2040</v>
      </c>
      <c r="AH11" t="str">
        <f>IF(tblRoster[[#This Row],[직위]]="","일반","보직자")</f>
        <v>일반</v>
      </c>
      <c r="AI1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" t="str">
        <f ca="1">IF(tblRoster[[#This Row],[복직예정일]]="","",TEXT(tblRoster[[#This Row],[복직예정일]],"yyyy-mm"))</f>
        <v/>
      </c>
      <c r="AM11" t="str">
        <f ca="1">IF(tblRoster[[#This Row],[복직예정일]]="","",tblRoster[[#This Row],[복직예정일]]-TODAY())</f>
        <v/>
      </c>
      <c r="AN11" t="str">
        <f ca="1">IF(tblRoster[[#This Row],[휴직잔여일수]]="","",IF(tblRoster[[#This Row],[휴직잔여일수]]&lt;=180,"6개월내","6개월이후"))</f>
        <v/>
      </c>
      <c r="AO1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" spans="1:41" x14ac:dyDescent="0.3">
      <c r="A12">
        <v>900010</v>
      </c>
      <c r="B12" t="s">
        <v>166</v>
      </c>
      <c r="C12" t="s">
        <v>8</v>
      </c>
      <c r="D12">
        <v>44</v>
      </c>
      <c r="E12" t="s">
        <v>128</v>
      </c>
      <c r="F12" t="s">
        <v>137</v>
      </c>
      <c r="G12" t="s">
        <v>142</v>
      </c>
      <c r="H12" t="s">
        <v>163</v>
      </c>
      <c r="I12" t="s">
        <v>144</v>
      </c>
      <c r="J12" t="s">
        <v>145</v>
      </c>
      <c r="L12" t="s">
        <v>134</v>
      </c>
      <c r="M12" t="s">
        <v>135</v>
      </c>
      <c r="N12" s="1">
        <v>44621</v>
      </c>
      <c r="O12" s="1">
        <v>44621</v>
      </c>
      <c r="P12" s="1">
        <v>44621</v>
      </c>
      <c r="Q12" s="1">
        <v>44621</v>
      </c>
      <c r="R12">
        <v>5</v>
      </c>
      <c r="T1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2" t="str">
        <f>IF(tblRoster[[#This Row],[급수]]="4급(임기제)","4급",tblRoster[[#This Row],[급수]])</f>
        <v>6급</v>
      </c>
      <c r="V1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2" t="str">
        <f>IF(OR(tblRoster[[#This Row],[교직원상세구분]]="사회복무요원",tblRoster[[#This Row],[교직원상세구분]]="인턴(수습)"),"제외","포함")</f>
        <v>포함</v>
      </c>
      <c r="Y12">
        <f>1</f>
        <v>1</v>
      </c>
      <c r="Z12">
        <f>IF(tblRoster[[#This Row],[재직상태구분]]="휴직",1,0)</f>
        <v>0</v>
      </c>
      <c r="AA1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">
        <f ca="1">IF(tblRoster[[#This Row],[본교발령시작일자]]="","",DATEDIF(tblRoster[[#This Row],[본교발령시작일자]],TODAY(),"Y"))</f>
        <v>4</v>
      </c>
      <c r="AC12">
        <f ca="1">IF(tblRoster[[#This Row],[최초발령시작일자]]="","",DATEDIF(tblRoster[[#This Row],[최초발령시작일자]],TODAY(),"Y"))</f>
        <v>4</v>
      </c>
      <c r="AD1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2">
        <f ca="1">IF(tblRoster[[#This Row],[직급발령시작일자]]="","",ROUND(YEARFRAC(tblRoster[[#This Row],[직급발령시작일자]],TODAY()),1))</f>
        <v>4.5</v>
      </c>
      <c r="AF1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2">
        <f ca="1">IF(OR(tblRoster[[#This Row],[공무원구분]]&lt;&gt;"공무원",tblRoster[[#This Row],[나이]]=""),"",YEAR(TODAY())+(60-tblRoster[[#This Row],[나이]]))</f>
        <v>2042</v>
      </c>
      <c r="AH12" t="str">
        <f>IF(tblRoster[[#This Row],[직위]]="","일반","보직자")</f>
        <v>일반</v>
      </c>
      <c r="AI1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" t="str">
        <f ca="1">IF(tblRoster[[#This Row],[복직예정일]]="","",TEXT(tblRoster[[#This Row],[복직예정일]],"yyyy-mm"))</f>
        <v/>
      </c>
      <c r="AM12" t="str">
        <f ca="1">IF(tblRoster[[#This Row],[복직예정일]]="","",tblRoster[[#This Row],[복직예정일]]-TODAY())</f>
        <v/>
      </c>
      <c r="AN12" t="str">
        <f ca="1">IF(tblRoster[[#This Row],[휴직잔여일수]]="","",IF(tblRoster[[#This Row],[휴직잔여일수]]&lt;=180,"6개월내","6개월이후"))</f>
        <v/>
      </c>
      <c r="AO1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" spans="1:41" x14ac:dyDescent="0.3">
      <c r="A13">
        <v>900011</v>
      </c>
      <c r="B13" t="s">
        <v>167</v>
      </c>
      <c r="C13" t="s">
        <v>8</v>
      </c>
      <c r="D13">
        <v>24</v>
      </c>
      <c r="E13" t="s">
        <v>128</v>
      </c>
      <c r="F13" t="s">
        <v>168</v>
      </c>
      <c r="G13" t="s">
        <v>169</v>
      </c>
      <c r="H13" t="s">
        <v>139</v>
      </c>
      <c r="I13" t="s">
        <v>132</v>
      </c>
      <c r="J13" t="s">
        <v>133</v>
      </c>
      <c r="L13" t="s">
        <v>135</v>
      </c>
      <c r="M13" t="s">
        <v>135</v>
      </c>
      <c r="N13" s="1">
        <v>45292</v>
      </c>
      <c r="O13" s="1">
        <v>45292</v>
      </c>
      <c r="P13" s="1">
        <v>45748</v>
      </c>
      <c r="Q13" s="1">
        <v>45748</v>
      </c>
      <c r="T1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3" t="str">
        <f>IF(tblRoster[[#This Row],[급수]]="4급(임기제)","4급",tblRoster[[#This Row],[급수]])</f>
        <v>대학회계계약직</v>
      </c>
      <c r="V1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3" t="str">
        <f>IF(OR(tblRoster[[#This Row],[교직원상세구분]]="사회복무요원",tblRoster[[#This Row],[교직원상세구분]]="인턴(수습)"),"제외","포함")</f>
        <v>포함</v>
      </c>
      <c r="Y13">
        <f>1</f>
        <v>1</v>
      </c>
      <c r="Z13">
        <f>IF(tblRoster[[#This Row],[재직상태구분]]="휴직",1,0)</f>
        <v>0</v>
      </c>
      <c r="AA1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3">
        <f ca="1">IF(tblRoster[[#This Row],[본교발령시작일자]]="","",DATEDIF(tblRoster[[#This Row],[본교발령시작일자]],TODAY(),"Y"))</f>
        <v>2</v>
      </c>
      <c r="AC13">
        <f ca="1">IF(tblRoster[[#This Row],[최초발령시작일자]]="","",DATEDIF(tblRoster[[#This Row],[최초발령시작일자]],TODAY(),"Y"))</f>
        <v>2</v>
      </c>
      <c r="AD1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3">
        <f ca="1">IF(tblRoster[[#This Row],[직급발령시작일자]]="","",ROUND(YEARFRAC(tblRoster[[#This Row],[직급발령시작일자]],TODAY()),1))</f>
        <v>1.4</v>
      </c>
      <c r="AF1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3" t="str">
        <f ca="1">IF(OR(tblRoster[[#This Row],[공무원구분]]&lt;&gt;"공무원",tblRoster[[#This Row],[나이]]=""),"",YEAR(TODAY())+(60-tblRoster[[#This Row],[나이]]))</f>
        <v/>
      </c>
      <c r="AH13" t="str">
        <f>IF(tblRoster[[#This Row],[직위]]="","일반","보직자")</f>
        <v>일반</v>
      </c>
      <c r="AI1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" t="str">
        <f ca="1">IF(tblRoster[[#This Row],[복직예정일]]="","",TEXT(tblRoster[[#This Row],[복직예정일]],"yyyy-mm"))</f>
        <v/>
      </c>
      <c r="AM13" t="str">
        <f ca="1">IF(tblRoster[[#This Row],[복직예정일]]="","",tblRoster[[#This Row],[복직예정일]]-TODAY())</f>
        <v/>
      </c>
      <c r="AN13" t="str">
        <f ca="1">IF(tblRoster[[#This Row],[휴직잔여일수]]="","",IF(tblRoster[[#This Row],[휴직잔여일수]]&lt;=180,"6개월내","6개월이후"))</f>
        <v/>
      </c>
      <c r="AO1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" spans="1:41" x14ac:dyDescent="0.3">
      <c r="A14">
        <v>900012</v>
      </c>
      <c r="B14" t="s">
        <v>170</v>
      </c>
      <c r="C14" t="s">
        <v>8</v>
      </c>
      <c r="D14">
        <v>45</v>
      </c>
      <c r="E14" t="s">
        <v>128</v>
      </c>
      <c r="F14" t="s">
        <v>171</v>
      </c>
      <c r="G14" t="s">
        <v>130</v>
      </c>
      <c r="H14" t="s">
        <v>148</v>
      </c>
      <c r="I14" t="s">
        <v>132</v>
      </c>
      <c r="J14" t="s">
        <v>133</v>
      </c>
      <c r="L14" t="s">
        <v>134</v>
      </c>
      <c r="M14" t="s">
        <v>135</v>
      </c>
      <c r="N14" s="1">
        <v>39569</v>
      </c>
      <c r="O14" s="1">
        <v>39569</v>
      </c>
      <c r="P14" s="1">
        <v>42430</v>
      </c>
      <c r="Q14" s="1">
        <v>42430</v>
      </c>
      <c r="R14">
        <v>18</v>
      </c>
      <c r="T1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4" t="str">
        <f>IF(tblRoster[[#This Row],[급수]]="4급(임기제)","4급",tblRoster[[#This Row],[급수]])</f>
        <v>대학회계계약직</v>
      </c>
      <c r="V1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4" t="str">
        <f>IF(OR(tblRoster[[#This Row],[교직원상세구분]]="사회복무요원",tblRoster[[#This Row],[교직원상세구분]]="인턴(수습)"),"제외","포함")</f>
        <v>포함</v>
      </c>
      <c r="Y14">
        <f>1</f>
        <v>1</v>
      </c>
      <c r="Z14">
        <f>IF(tblRoster[[#This Row],[재직상태구분]]="휴직",1,0)</f>
        <v>0</v>
      </c>
      <c r="AA1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4">
        <f ca="1">IF(tblRoster[[#This Row],[본교발령시작일자]]="","",DATEDIF(tblRoster[[#This Row],[본교발령시작일자]],TODAY(),"Y"))</f>
        <v>18</v>
      </c>
      <c r="AC14">
        <f ca="1">IF(tblRoster[[#This Row],[최초발령시작일자]]="","",DATEDIF(tblRoster[[#This Row],[최초발령시작일자]],TODAY(),"Y"))</f>
        <v>18</v>
      </c>
      <c r="AD1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4">
        <f ca="1">IF(tblRoster[[#This Row],[직급발령시작일자]]="","",ROUND(YEARFRAC(tblRoster[[#This Row],[직급발령시작일자]],TODAY()),1))</f>
        <v>10.5</v>
      </c>
      <c r="AF14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4" t="str">
        <f ca="1">IF(OR(tblRoster[[#This Row],[공무원구분]]&lt;&gt;"공무원",tblRoster[[#This Row],[나이]]=""),"",YEAR(TODAY())+(60-tblRoster[[#This Row],[나이]]))</f>
        <v/>
      </c>
      <c r="AH14" t="str">
        <f>IF(tblRoster[[#This Row],[직위]]="","일반","보직자")</f>
        <v>일반</v>
      </c>
      <c r="AI1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" t="str">
        <f ca="1">IF(tblRoster[[#This Row],[복직예정일]]="","",TEXT(tblRoster[[#This Row],[복직예정일]],"yyyy-mm"))</f>
        <v/>
      </c>
      <c r="AM14" t="str">
        <f ca="1">IF(tblRoster[[#This Row],[복직예정일]]="","",tblRoster[[#This Row],[복직예정일]]-TODAY())</f>
        <v/>
      </c>
      <c r="AN14" t="str">
        <f ca="1">IF(tblRoster[[#This Row],[휴직잔여일수]]="","",IF(tblRoster[[#This Row],[휴직잔여일수]]&lt;=180,"6개월내","6개월이후"))</f>
        <v/>
      </c>
      <c r="AO1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" spans="1:41" x14ac:dyDescent="0.3">
      <c r="A15">
        <v>900013</v>
      </c>
      <c r="B15" t="s">
        <v>172</v>
      </c>
      <c r="C15" t="s">
        <v>8</v>
      </c>
      <c r="D15">
        <v>53</v>
      </c>
      <c r="E15" t="s">
        <v>150</v>
      </c>
      <c r="F15" t="s">
        <v>162</v>
      </c>
      <c r="G15" t="s">
        <v>173</v>
      </c>
      <c r="H15" t="s">
        <v>148</v>
      </c>
      <c r="I15" t="s">
        <v>132</v>
      </c>
      <c r="J15" t="s">
        <v>133</v>
      </c>
      <c r="L15" t="s">
        <v>134</v>
      </c>
      <c r="M15" t="s">
        <v>135</v>
      </c>
      <c r="N15" s="1">
        <v>35977</v>
      </c>
      <c r="O15" s="1">
        <v>35977</v>
      </c>
      <c r="P15" s="1">
        <v>41944</v>
      </c>
      <c r="Q15" s="1">
        <v>41944</v>
      </c>
      <c r="R15">
        <v>29</v>
      </c>
      <c r="T1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5" t="str">
        <f>IF(tblRoster[[#This Row],[급수]]="4급(임기제)","4급",tblRoster[[#This Row],[급수]])</f>
        <v>대학회계계약직</v>
      </c>
      <c r="V1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5" t="str">
        <f>IF(OR(tblRoster[[#This Row],[교직원상세구분]]="사회복무요원",tblRoster[[#This Row],[교직원상세구분]]="인턴(수습)"),"제외","포함")</f>
        <v>포함</v>
      </c>
      <c r="Y15">
        <f>1</f>
        <v>1</v>
      </c>
      <c r="Z15">
        <f>IF(tblRoster[[#This Row],[재직상태구분]]="휴직",1,0)</f>
        <v>0</v>
      </c>
      <c r="AA1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5">
        <f ca="1">IF(tblRoster[[#This Row],[본교발령시작일자]]="","",DATEDIF(tblRoster[[#This Row],[본교발령시작일자]],TODAY(),"Y"))</f>
        <v>28</v>
      </c>
      <c r="AC15">
        <f ca="1">IF(tblRoster[[#This Row],[최초발령시작일자]]="","",DATEDIF(tblRoster[[#This Row],[최초발령시작일자]],TODAY(),"Y"))</f>
        <v>28</v>
      </c>
      <c r="AD1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5">
        <f ca="1">IF(tblRoster[[#This Row],[직급발령시작일자]]="","",ROUND(YEARFRAC(tblRoster[[#This Row],[직급발령시작일자]],TODAY()),1))</f>
        <v>11.9</v>
      </c>
      <c r="AF1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5" t="str">
        <f ca="1">IF(OR(tblRoster[[#This Row],[공무원구분]]&lt;&gt;"공무원",tblRoster[[#This Row],[나이]]=""),"",YEAR(TODAY())+(60-tblRoster[[#This Row],[나이]]))</f>
        <v/>
      </c>
      <c r="AH15" t="str">
        <f>IF(tblRoster[[#This Row],[직위]]="","일반","보직자")</f>
        <v>일반</v>
      </c>
      <c r="AI1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" t="str">
        <f ca="1">IF(tblRoster[[#This Row],[복직예정일]]="","",TEXT(tblRoster[[#This Row],[복직예정일]],"yyyy-mm"))</f>
        <v/>
      </c>
      <c r="AM15" t="str">
        <f ca="1">IF(tblRoster[[#This Row],[복직예정일]]="","",tblRoster[[#This Row],[복직예정일]]-TODAY())</f>
        <v/>
      </c>
      <c r="AN15" t="str">
        <f ca="1">IF(tblRoster[[#This Row],[휴직잔여일수]]="","",IF(tblRoster[[#This Row],[휴직잔여일수]]&lt;=180,"6개월내","6개월이후"))</f>
        <v/>
      </c>
      <c r="AO1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" spans="1:41" x14ac:dyDescent="0.3">
      <c r="A16">
        <v>900014</v>
      </c>
      <c r="B16" t="s">
        <v>174</v>
      </c>
      <c r="C16" t="s">
        <v>8</v>
      </c>
      <c r="D16">
        <v>43</v>
      </c>
      <c r="E16" t="s">
        <v>128</v>
      </c>
      <c r="F16" t="s">
        <v>158</v>
      </c>
      <c r="G16" t="s">
        <v>155</v>
      </c>
      <c r="H16" t="s">
        <v>175</v>
      </c>
      <c r="I16" t="s">
        <v>144</v>
      </c>
      <c r="J16" t="s">
        <v>145</v>
      </c>
      <c r="L16" t="s">
        <v>134</v>
      </c>
      <c r="M16" t="s">
        <v>135</v>
      </c>
      <c r="N16" s="1">
        <v>43952</v>
      </c>
      <c r="O16" s="1">
        <v>43952</v>
      </c>
      <c r="P16" s="1">
        <v>43952</v>
      </c>
      <c r="Q16" s="1">
        <v>43952</v>
      </c>
      <c r="R16">
        <v>9</v>
      </c>
      <c r="T1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16" t="str">
        <f>IF(tblRoster[[#This Row],[급수]]="4급(임기제)","4급",tblRoster[[#This Row],[급수]])</f>
        <v>9급</v>
      </c>
      <c r="V1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1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" t="str">
        <f>IF(OR(tblRoster[[#This Row],[교직원상세구분]]="사회복무요원",tblRoster[[#This Row],[교직원상세구분]]="인턴(수습)"),"제외","포함")</f>
        <v>포함</v>
      </c>
      <c r="Y16">
        <f>1</f>
        <v>1</v>
      </c>
      <c r="Z16">
        <f>IF(tblRoster[[#This Row],[재직상태구분]]="휴직",1,0)</f>
        <v>0</v>
      </c>
      <c r="AA1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">
        <f ca="1">IF(tblRoster[[#This Row],[본교발령시작일자]]="","",DATEDIF(tblRoster[[#This Row],[본교발령시작일자]],TODAY(),"Y"))</f>
        <v>6</v>
      </c>
      <c r="AC16">
        <f ca="1">IF(tblRoster[[#This Row],[최초발령시작일자]]="","",DATEDIF(tblRoster[[#This Row],[최초발령시작일자]],TODAY(),"Y"))</f>
        <v>6</v>
      </c>
      <c r="AD1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6">
        <f ca="1">IF(tblRoster[[#This Row],[직급발령시작일자]]="","",ROUND(YEARFRAC(tblRoster[[#This Row],[직급발령시작일자]],TODAY()),1))</f>
        <v>6.4</v>
      </c>
      <c r="AF1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6">
        <f ca="1">IF(OR(tblRoster[[#This Row],[공무원구분]]&lt;&gt;"공무원",tblRoster[[#This Row],[나이]]=""),"",YEAR(TODAY())+(60-tblRoster[[#This Row],[나이]]))</f>
        <v>2043</v>
      </c>
      <c r="AH16" t="str">
        <f>IF(tblRoster[[#This Row],[직위]]="","일반","보직자")</f>
        <v>일반</v>
      </c>
      <c r="AI1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" t="str">
        <f ca="1">IF(tblRoster[[#This Row],[복직예정일]]="","",TEXT(tblRoster[[#This Row],[복직예정일]],"yyyy-mm"))</f>
        <v/>
      </c>
      <c r="AM16" t="str">
        <f ca="1">IF(tblRoster[[#This Row],[복직예정일]]="","",tblRoster[[#This Row],[복직예정일]]-TODAY())</f>
        <v/>
      </c>
      <c r="AN16" t="str">
        <f ca="1">IF(tblRoster[[#This Row],[휴직잔여일수]]="","",IF(tblRoster[[#This Row],[휴직잔여일수]]&lt;=180,"6개월내","6개월이후"))</f>
        <v/>
      </c>
      <c r="AO1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" spans="1:41" x14ac:dyDescent="0.3">
      <c r="A17">
        <v>900015</v>
      </c>
      <c r="B17" t="s">
        <v>176</v>
      </c>
      <c r="C17" t="s">
        <v>8</v>
      </c>
      <c r="D17">
        <v>57</v>
      </c>
      <c r="E17" t="s">
        <v>128</v>
      </c>
      <c r="F17" t="s">
        <v>137</v>
      </c>
      <c r="G17" t="s">
        <v>159</v>
      </c>
      <c r="H17" t="s">
        <v>177</v>
      </c>
      <c r="I17" t="s">
        <v>144</v>
      </c>
      <c r="J17" t="s">
        <v>145</v>
      </c>
      <c r="L17" t="s">
        <v>135</v>
      </c>
      <c r="M17" t="s">
        <v>135</v>
      </c>
      <c r="N17" s="1">
        <v>36923</v>
      </c>
      <c r="O17" s="1">
        <v>36923</v>
      </c>
      <c r="P17" s="1">
        <v>40940</v>
      </c>
      <c r="Q17" s="1">
        <v>40940</v>
      </c>
      <c r="R17">
        <v>26</v>
      </c>
      <c r="T1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17" t="str">
        <f>IF(tblRoster[[#This Row],[급수]]="4급(임기제)","4급",tblRoster[[#This Row],[급수]])</f>
        <v>4급</v>
      </c>
      <c r="V1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1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7" t="str">
        <f>IF(OR(tblRoster[[#This Row],[교직원상세구분]]="사회복무요원",tblRoster[[#This Row],[교직원상세구분]]="인턴(수습)"),"제외","포함")</f>
        <v>포함</v>
      </c>
      <c r="Y17">
        <f>1</f>
        <v>1</v>
      </c>
      <c r="Z17">
        <f>IF(tblRoster[[#This Row],[재직상태구분]]="휴직",1,0)</f>
        <v>0</v>
      </c>
      <c r="AA1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7">
        <f ca="1">IF(tblRoster[[#This Row],[본교발령시작일자]]="","",DATEDIF(tblRoster[[#This Row],[본교발령시작일자]],TODAY(),"Y"))</f>
        <v>25</v>
      </c>
      <c r="AC17">
        <f ca="1">IF(tblRoster[[#This Row],[최초발령시작일자]]="","",DATEDIF(tblRoster[[#This Row],[최초발령시작일자]],TODAY(),"Y"))</f>
        <v>25</v>
      </c>
      <c r="AD1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7">
        <f ca="1">IF(tblRoster[[#This Row],[직급발령시작일자]]="","",ROUND(YEARFRAC(tblRoster[[#This Row],[직급발령시작일자]],TODAY()),1))</f>
        <v>14.6</v>
      </c>
      <c r="AF1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7">
        <f ca="1">IF(OR(tblRoster[[#This Row],[공무원구분]]&lt;&gt;"공무원",tblRoster[[#This Row],[나이]]=""),"",YEAR(TODAY())+(60-tblRoster[[#This Row],[나이]]))</f>
        <v>2029</v>
      </c>
      <c r="AH17" t="str">
        <f>IF(tblRoster[[#This Row],[직위]]="","일반","보직자")</f>
        <v>일반</v>
      </c>
      <c r="AI1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" t="str">
        <f ca="1">IF(tblRoster[[#This Row],[복직예정일]]="","",TEXT(tblRoster[[#This Row],[복직예정일]],"yyyy-mm"))</f>
        <v/>
      </c>
      <c r="AM17" t="str">
        <f ca="1">IF(tblRoster[[#This Row],[복직예정일]]="","",tblRoster[[#This Row],[복직예정일]]-TODAY())</f>
        <v/>
      </c>
      <c r="AN17" t="str">
        <f ca="1">IF(tblRoster[[#This Row],[휴직잔여일수]]="","",IF(tblRoster[[#This Row],[휴직잔여일수]]&lt;=180,"6개월내","6개월이후"))</f>
        <v/>
      </c>
      <c r="AO1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" spans="1:41" x14ac:dyDescent="0.3">
      <c r="A18">
        <v>900016</v>
      </c>
      <c r="B18" t="s">
        <v>178</v>
      </c>
      <c r="C18" t="s">
        <v>8</v>
      </c>
      <c r="D18">
        <v>26</v>
      </c>
      <c r="E18" t="s">
        <v>128</v>
      </c>
      <c r="F18" t="s">
        <v>179</v>
      </c>
      <c r="G18" t="s">
        <v>130</v>
      </c>
      <c r="H18" t="s">
        <v>180</v>
      </c>
      <c r="I18" t="s">
        <v>144</v>
      </c>
      <c r="J18" t="s">
        <v>145</v>
      </c>
      <c r="L18" t="s">
        <v>135</v>
      </c>
      <c r="M18" t="s">
        <v>135</v>
      </c>
      <c r="N18" s="1">
        <v>45017</v>
      </c>
      <c r="O18" s="1">
        <v>45017</v>
      </c>
      <c r="P18" s="1">
        <v>45017</v>
      </c>
      <c r="Q18" s="1">
        <v>45017</v>
      </c>
      <c r="R18">
        <v>4</v>
      </c>
      <c r="T1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8" t="str">
        <f>IF(tblRoster[[#This Row],[급수]]="4급(임기제)","4급",tblRoster[[#This Row],[급수]])</f>
        <v>7급</v>
      </c>
      <c r="V1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" t="str">
        <f>IF(OR(tblRoster[[#This Row],[교직원상세구분]]="사회복무요원",tblRoster[[#This Row],[교직원상세구분]]="인턴(수습)"),"제외","포함")</f>
        <v>포함</v>
      </c>
      <c r="Y18">
        <f>1</f>
        <v>1</v>
      </c>
      <c r="Z18">
        <f>IF(tblRoster[[#This Row],[재직상태구분]]="휴직",1,0)</f>
        <v>0</v>
      </c>
      <c r="AA1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8">
        <f ca="1">IF(tblRoster[[#This Row],[본교발령시작일자]]="","",DATEDIF(tblRoster[[#This Row],[본교발령시작일자]],TODAY(),"Y"))</f>
        <v>3</v>
      </c>
      <c r="AC18">
        <f ca="1">IF(tblRoster[[#This Row],[최초발령시작일자]]="","",DATEDIF(tblRoster[[#This Row],[최초발령시작일자]],TODAY(),"Y"))</f>
        <v>3</v>
      </c>
      <c r="AD1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8">
        <f ca="1">IF(tblRoster[[#This Row],[직급발령시작일자]]="","",ROUND(YEARFRAC(tblRoster[[#This Row],[직급발령시작일자]],TODAY()),1))</f>
        <v>3.4</v>
      </c>
      <c r="AF1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">
        <f ca="1">IF(OR(tblRoster[[#This Row],[공무원구분]]&lt;&gt;"공무원",tblRoster[[#This Row],[나이]]=""),"",YEAR(TODAY())+(60-tblRoster[[#This Row],[나이]]))</f>
        <v>2060</v>
      </c>
      <c r="AH18" t="str">
        <f>IF(tblRoster[[#This Row],[직위]]="","일반","보직자")</f>
        <v>일반</v>
      </c>
      <c r="AI1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" t="str">
        <f ca="1">IF(tblRoster[[#This Row],[복직예정일]]="","",TEXT(tblRoster[[#This Row],[복직예정일]],"yyyy-mm"))</f>
        <v/>
      </c>
      <c r="AM18" t="str">
        <f ca="1">IF(tblRoster[[#This Row],[복직예정일]]="","",tblRoster[[#This Row],[복직예정일]]-TODAY())</f>
        <v/>
      </c>
      <c r="AN18" t="str">
        <f ca="1">IF(tblRoster[[#This Row],[휴직잔여일수]]="","",IF(tblRoster[[#This Row],[휴직잔여일수]]&lt;=180,"6개월내","6개월이후"))</f>
        <v/>
      </c>
      <c r="AO1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" spans="1:41" x14ac:dyDescent="0.3">
      <c r="A19">
        <v>900017</v>
      </c>
      <c r="B19" t="s">
        <v>181</v>
      </c>
      <c r="C19" t="s">
        <v>8</v>
      </c>
      <c r="D19">
        <v>24</v>
      </c>
      <c r="E19" t="s">
        <v>128</v>
      </c>
      <c r="F19" t="s">
        <v>147</v>
      </c>
      <c r="G19" t="s">
        <v>182</v>
      </c>
      <c r="H19" t="s">
        <v>148</v>
      </c>
      <c r="I19" t="s">
        <v>132</v>
      </c>
      <c r="J19" t="s">
        <v>133</v>
      </c>
      <c r="L19" t="s">
        <v>134</v>
      </c>
      <c r="M19" t="s">
        <v>135</v>
      </c>
      <c r="N19" s="1">
        <v>45870</v>
      </c>
      <c r="O19" s="1">
        <v>45870</v>
      </c>
      <c r="P19" s="1">
        <v>46054</v>
      </c>
      <c r="Q19" s="1">
        <v>46054</v>
      </c>
      <c r="R19">
        <v>1</v>
      </c>
      <c r="T1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9" t="str">
        <f>IF(tblRoster[[#This Row],[급수]]="4급(임기제)","4급",tblRoster[[#This Row],[급수]])</f>
        <v>대학회계계약직</v>
      </c>
      <c r="V1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9" t="str">
        <f>IF(OR(tblRoster[[#This Row],[교직원상세구분]]="사회복무요원",tblRoster[[#This Row],[교직원상세구분]]="인턴(수습)"),"제외","포함")</f>
        <v>포함</v>
      </c>
      <c r="Y19">
        <f>1</f>
        <v>1</v>
      </c>
      <c r="Z19">
        <f>IF(tblRoster[[#This Row],[재직상태구분]]="휴직",1,0)</f>
        <v>0</v>
      </c>
      <c r="AA1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9">
        <f ca="1">IF(tblRoster[[#This Row],[본교발령시작일자]]="","",DATEDIF(tblRoster[[#This Row],[본교발령시작일자]],TODAY(),"Y"))</f>
        <v>1</v>
      </c>
      <c r="AC19">
        <f ca="1">IF(tblRoster[[#This Row],[최초발령시작일자]]="","",DATEDIF(tblRoster[[#This Row],[최초발령시작일자]],TODAY(),"Y"))</f>
        <v>1</v>
      </c>
      <c r="AD1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9">
        <f ca="1">IF(tblRoster[[#This Row],[직급발령시작일자]]="","",ROUND(YEARFRAC(tblRoster[[#This Row],[직급발령시작일자]],TODAY()),1))</f>
        <v>0.6</v>
      </c>
      <c r="AF1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" t="str">
        <f ca="1">IF(OR(tblRoster[[#This Row],[공무원구분]]&lt;&gt;"공무원",tblRoster[[#This Row],[나이]]=""),"",YEAR(TODAY())+(60-tblRoster[[#This Row],[나이]]))</f>
        <v/>
      </c>
      <c r="AH19" t="str">
        <f>IF(tblRoster[[#This Row],[직위]]="","일반","보직자")</f>
        <v>일반</v>
      </c>
      <c r="AI1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" t="str">
        <f ca="1">IF(tblRoster[[#This Row],[복직예정일]]="","",TEXT(tblRoster[[#This Row],[복직예정일]],"yyyy-mm"))</f>
        <v/>
      </c>
      <c r="AM19" t="str">
        <f ca="1">IF(tblRoster[[#This Row],[복직예정일]]="","",tblRoster[[#This Row],[복직예정일]]-TODAY())</f>
        <v/>
      </c>
      <c r="AN19" t="str">
        <f ca="1">IF(tblRoster[[#This Row],[휴직잔여일수]]="","",IF(tblRoster[[#This Row],[휴직잔여일수]]&lt;=180,"6개월내","6개월이후"))</f>
        <v/>
      </c>
      <c r="AO1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" spans="1:41" x14ac:dyDescent="0.3">
      <c r="A20">
        <v>900018</v>
      </c>
      <c r="B20" t="s">
        <v>183</v>
      </c>
      <c r="C20" t="s">
        <v>8</v>
      </c>
      <c r="D20">
        <v>25</v>
      </c>
      <c r="E20" t="s">
        <v>150</v>
      </c>
      <c r="F20" t="s">
        <v>184</v>
      </c>
      <c r="G20" t="s">
        <v>185</v>
      </c>
      <c r="H20" t="s">
        <v>186</v>
      </c>
      <c r="I20" t="s">
        <v>186</v>
      </c>
      <c r="J20" t="s">
        <v>133</v>
      </c>
      <c r="L20" t="s">
        <v>134</v>
      </c>
      <c r="M20" t="s">
        <v>135</v>
      </c>
      <c r="N20" s="1">
        <v>45597</v>
      </c>
      <c r="O20" s="1">
        <v>45597</v>
      </c>
      <c r="P20" s="1">
        <v>46143</v>
      </c>
      <c r="Q20" s="1">
        <v>46143</v>
      </c>
      <c r="T2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20" t="str">
        <f>IF(tblRoster[[#This Row],[급수]]="4급(임기제)","4급",tblRoster[[#This Row],[급수]])</f>
        <v>사회복무요원</v>
      </c>
      <c r="V2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2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0" t="str">
        <f>IF(OR(tblRoster[[#This Row],[교직원상세구분]]="사회복무요원",tblRoster[[#This Row],[교직원상세구분]]="인턴(수습)"),"제외","포함")</f>
        <v>제외</v>
      </c>
      <c r="Y20">
        <f>1</f>
        <v>1</v>
      </c>
      <c r="Z20">
        <f>IF(tblRoster[[#This Row],[재직상태구분]]="휴직",1,0)</f>
        <v>0</v>
      </c>
      <c r="AA2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0">
        <f ca="1">IF(tblRoster[[#This Row],[본교발령시작일자]]="","",DATEDIF(tblRoster[[#This Row],[본교발령시작일자]],TODAY(),"Y"))</f>
        <v>1</v>
      </c>
      <c r="AC20">
        <f ca="1">IF(tblRoster[[#This Row],[최초발령시작일자]]="","",DATEDIF(tblRoster[[#This Row],[최초발령시작일자]],TODAY(),"Y"))</f>
        <v>1</v>
      </c>
      <c r="AD2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0">
        <f ca="1">IF(tblRoster[[#This Row],[직급발령시작일자]]="","",ROUND(YEARFRAC(tblRoster[[#This Row],[직급발령시작일자]],TODAY()),1))</f>
        <v>0.4</v>
      </c>
      <c r="AF2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" t="str">
        <f ca="1">IF(OR(tblRoster[[#This Row],[공무원구분]]&lt;&gt;"공무원",tblRoster[[#This Row],[나이]]=""),"",YEAR(TODAY())+(60-tblRoster[[#This Row],[나이]]))</f>
        <v/>
      </c>
      <c r="AH20" t="str">
        <f>IF(tblRoster[[#This Row],[직위]]="","일반","보직자")</f>
        <v>일반</v>
      </c>
      <c r="AI2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" t="str">
        <f ca="1">IF(tblRoster[[#This Row],[복직예정일]]="","",TEXT(tblRoster[[#This Row],[복직예정일]],"yyyy-mm"))</f>
        <v/>
      </c>
      <c r="AM20" t="str">
        <f ca="1">IF(tblRoster[[#This Row],[복직예정일]]="","",tblRoster[[#This Row],[복직예정일]]-TODAY())</f>
        <v/>
      </c>
      <c r="AN20" t="str">
        <f ca="1">IF(tblRoster[[#This Row],[휴직잔여일수]]="","",IF(tblRoster[[#This Row],[휴직잔여일수]]&lt;=180,"6개월내","6개월이후"))</f>
        <v/>
      </c>
      <c r="AO2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" spans="1:41" x14ac:dyDescent="0.3">
      <c r="A21">
        <v>900019</v>
      </c>
      <c r="B21" t="s">
        <v>7</v>
      </c>
      <c r="C21" t="s">
        <v>8</v>
      </c>
      <c r="D21">
        <v>53</v>
      </c>
      <c r="E21" t="s">
        <v>128</v>
      </c>
      <c r="F21" t="s">
        <v>158</v>
      </c>
      <c r="G21" t="s">
        <v>142</v>
      </c>
      <c r="H21" t="s">
        <v>148</v>
      </c>
      <c r="I21" t="s">
        <v>132</v>
      </c>
      <c r="J21" t="s">
        <v>133</v>
      </c>
      <c r="L21" t="s">
        <v>134</v>
      </c>
      <c r="M21" t="s">
        <v>135</v>
      </c>
      <c r="N21" s="1">
        <v>41640</v>
      </c>
      <c r="O21" s="1">
        <v>41640</v>
      </c>
      <c r="P21" s="1">
        <v>41640</v>
      </c>
      <c r="Q21" s="1">
        <v>41640</v>
      </c>
      <c r="R21">
        <v>12</v>
      </c>
      <c r="S21" t="s">
        <v>187</v>
      </c>
      <c r="T2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1" t="str">
        <f>IF(tblRoster[[#This Row],[급수]]="4급(임기제)","4급",tblRoster[[#This Row],[급수]])</f>
        <v>대학회계계약직</v>
      </c>
      <c r="V2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1" t="str">
        <f>IF(OR(tblRoster[[#This Row],[교직원상세구분]]="사회복무요원",tblRoster[[#This Row],[교직원상세구분]]="인턴(수습)"),"제외","포함")</f>
        <v>포함</v>
      </c>
      <c r="Y21">
        <f>1</f>
        <v>1</v>
      </c>
      <c r="Z21">
        <f>IF(tblRoster[[#This Row],[재직상태구분]]="휴직",1,0)</f>
        <v>0</v>
      </c>
      <c r="AA2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1">
        <f ca="1">IF(tblRoster[[#This Row],[본교발령시작일자]]="","",DATEDIF(tblRoster[[#This Row],[본교발령시작일자]],TODAY(),"Y"))</f>
        <v>12</v>
      </c>
      <c r="AC21">
        <f ca="1">IF(tblRoster[[#This Row],[최초발령시작일자]]="","",DATEDIF(tblRoster[[#This Row],[최초발령시작일자]],TODAY(),"Y"))</f>
        <v>12</v>
      </c>
      <c r="AD2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1">
        <f ca="1">IF(tblRoster[[#This Row],[직급발령시작일자]]="","",ROUND(YEARFRAC(tblRoster[[#This Row],[직급발령시작일자]],TODAY()),1))</f>
        <v>12.7</v>
      </c>
      <c r="AF2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1" t="str">
        <f ca="1">IF(OR(tblRoster[[#This Row],[공무원구분]]&lt;&gt;"공무원",tblRoster[[#This Row],[나이]]=""),"",YEAR(TODAY())+(60-tblRoster[[#This Row],[나이]]))</f>
        <v/>
      </c>
      <c r="AH21" t="str">
        <f>IF(tblRoster[[#This Row],[직위]]="","일반","보직자")</f>
        <v>일반</v>
      </c>
      <c r="AI2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" t="str">
        <f ca="1">IF(tblRoster[[#This Row],[복직예정일]]="","",TEXT(tblRoster[[#This Row],[복직예정일]],"yyyy-mm"))</f>
        <v/>
      </c>
      <c r="AM21" t="str">
        <f ca="1">IF(tblRoster[[#This Row],[복직예정일]]="","",tblRoster[[#This Row],[복직예정일]]-TODAY())</f>
        <v/>
      </c>
      <c r="AN21" t="str">
        <f ca="1">IF(tblRoster[[#This Row],[휴직잔여일수]]="","",IF(tblRoster[[#This Row],[휴직잔여일수]]&lt;=180,"6개월내","6개월이후"))</f>
        <v/>
      </c>
      <c r="AO2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" spans="1:41" x14ac:dyDescent="0.3">
      <c r="A22">
        <v>900020</v>
      </c>
      <c r="B22" t="s">
        <v>188</v>
      </c>
      <c r="C22" t="s">
        <v>8</v>
      </c>
      <c r="D22">
        <v>49</v>
      </c>
      <c r="E22" t="s">
        <v>128</v>
      </c>
      <c r="F22" t="s">
        <v>189</v>
      </c>
      <c r="G22" t="s">
        <v>155</v>
      </c>
      <c r="H22" t="s">
        <v>163</v>
      </c>
      <c r="I22" t="s">
        <v>144</v>
      </c>
      <c r="J22" t="s">
        <v>145</v>
      </c>
      <c r="L22" t="s">
        <v>134</v>
      </c>
      <c r="M22" t="s">
        <v>135</v>
      </c>
      <c r="N22" s="1">
        <v>37591</v>
      </c>
      <c r="O22" s="1">
        <v>37591</v>
      </c>
      <c r="P22" s="1">
        <v>45748</v>
      </c>
      <c r="Q22" s="1">
        <v>45748</v>
      </c>
      <c r="R22">
        <v>27</v>
      </c>
      <c r="T2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2" t="str">
        <f>IF(tblRoster[[#This Row],[급수]]="4급(임기제)","4급",tblRoster[[#This Row],[급수]])</f>
        <v>6급</v>
      </c>
      <c r="V2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" t="str">
        <f>IF(OR(tblRoster[[#This Row],[교직원상세구분]]="사회복무요원",tblRoster[[#This Row],[교직원상세구분]]="인턴(수습)"),"제외","포함")</f>
        <v>포함</v>
      </c>
      <c r="Y22">
        <f>1</f>
        <v>1</v>
      </c>
      <c r="Z22">
        <f>IF(tblRoster[[#This Row],[재직상태구분]]="휴직",1,0)</f>
        <v>0</v>
      </c>
      <c r="AA2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2">
        <f ca="1">IF(tblRoster[[#This Row],[본교발령시작일자]]="","",DATEDIF(tblRoster[[#This Row],[본교발령시작일자]],TODAY(),"Y"))</f>
        <v>23</v>
      </c>
      <c r="AC22">
        <f ca="1">IF(tblRoster[[#This Row],[최초발령시작일자]]="","",DATEDIF(tblRoster[[#This Row],[최초발령시작일자]],TODAY(),"Y"))</f>
        <v>23</v>
      </c>
      <c r="AD2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2">
        <f ca="1">IF(tblRoster[[#This Row],[직급발령시작일자]]="","",ROUND(YEARFRAC(tblRoster[[#This Row],[직급발령시작일자]],TODAY()),1))</f>
        <v>1.4</v>
      </c>
      <c r="AF2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2">
        <f ca="1">IF(OR(tblRoster[[#This Row],[공무원구분]]&lt;&gt;"공무원",tblRoster[[#This Row],[나이]]=""),"",YEAR(TODAY())+(60-tblRoster[[#This Row],[나이]]))</f>
        <v>2037</v>
      </c>
      <c r="AH22" t="str">
        <f>IF(tblRoster[[#This Row],[직위]]="","일반","보직자")</f>
        <v>일반</v>
      </c>
      <c r="AI2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" t="str">
        <f ca="1">IF(tblRoster[[#This Row],[복직예정일]]="","",TEXT(tblRoster[[#This Row],[복직예정일]],"yyyy-mm"))</f>
        <v/>
      </c>
      <c r="AM22" t="str">
        <f ca="1">IF(tblRoster[[#This Row],[복직예정일]]="","",tblRoster[[#This Row],[복직예정일]]-TODAY())</f>
        <v/>
      </c>
      <c r="AN22" t="str">
        <f ca="1">IF(tblRoster[[#This Row],[휴직잔여일수]]="","",IF(tblRoster[[#This Row],[휴직잔여일수]]&lt;=180,"6개월내","6개월이후"))</f>
        <v/>
      </c>
      <c r="AO2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" spans="1:41" x14ac:dyDescent="0.3">
      <c r="A23">
        <v>900021</v>
      </c>
      <c r="B23" t="s">
        <v>190</v>
      </c>
      <c r="C23" t="s">
        <v>8</v>
      </c>
      <c r="D23">
        <v>46</v>
      </c>
      <c r="E23" t="s">
        <v>150</v>
      </c>
      <c r="F23" t="s">
        <v>171</v>
      </c>
      <c r="G23" t="s">
        <v>185</v>
      </c>
      <c r="H23" t="s">
        <v>191</v>
      </c>
      <c r="I23" t="s">
        <v>144</v>
      </c>
      <c r="J23" t="s">
        <v>145</v>
      </c>
      <c r="K23" t="s">
        <v>192</v>
      </c>
      <c r="L23" t="s">
        <v>134</v>
      </c>
      <c r="M23" t="s">
        <v>135</v>
      </c>
      <c r="N23" s="1">
        <v>37591</v>
      </c>
      <c r="O23" s="1">
        <v>45139</v>
      </c>
      <c r="P23" s="1">
        <v>45139</v>
      </c>
      <c r="Q23" s="1">
        <v>45139</v>
      </c>
      <c r="R23">
        <v>24</v>
      </c>
      <c r="T2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3" t="str">
        <f>IF(tblRoster[[#This Row],[급수]]="4급(임기제)","4급",tblRoster[[#This Row],[급수]])</f>
        <v>5급</v>
      </c>
      <c r="V2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3" t="str">
        <f>IF(OR(tblRoster[[#This Row],[교직원상세구분]]="사회복무요원",tblRoster[[#This Row],[교직원상세구분]]="인턴(수습)"),"제외","포함")</f>
        <v>포함</v>
      </c>
      <c r="Y23">
        <f>1</f>
        <v>1</v>
      </c>
      <c r="Z23">
        <f>IF(tblRoster[[#This Row],[재직상태구분]]="휴직",1,0)</f>
        <v>0</v>
      </c>
      <c r="AA2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3">
        <f ca="1">IF(tblRoster[[#This Row],[본교발령시작일자]]="","",DATEDIF(tblRoster[[#This Row],[본교발령시작일자]],TODAY(),"Y"))</f>
        <v>3</v>
      </c>
      <c r="AC23">
        <f ca="1">IF(tblRoster[[#This Row],[최초발령시작일자]]="","",DATEDIF(tblRoster[[#This Row],[최초발령시작일자]],TODAY(),"Y"))</f>
        <v>23</v>
      </c>
      <c r="AD2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3">
        <f ca="1">IF(tblRoster[[#This Row],[직급발령시작일자]]="","",ROUND(YEARFRAC(tblRoster[[#This Row],[직급발령시작일자]],TODAY()),1))</f>
        <v>3.1</v>
      </c>
      <c r="AF2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">
        <f ca="1">IF(OR(tblRoster[[#This Row],[공무원구분]]&lt;&gt;"공무원",tblRoster[[#This Row],[나이]]=""),"",YEAR(TODAY())+(60-tblRoster[[#This Row],[나이]]))</f>
        <v>2040</v>
      </c>
      <c r="AH23" t="str">
        <f>IF(tblRoster[[#This Row],[직위]]="","일반","보직자")</f>
        <v>보직자</v>
      </c>
      <c r="AI2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" t="str">
        <f ca="1">IF(tblRoster[[#This Row],[복직예정일]]="","",TEXT(tblRoster[[#This Row],[복직예정일]],"yyyy-mm"))</f>
        <v/>
      </c>
      <c r="AM23" t="str">
        <f ca="1">IF(tblRoster[[#This Row],[복직예정일]]="","",tblRoster[[#This Row],[복직예정일]]-TODAY())</f>
        <v/>
      </c>
      <c r="AN23" t="str">
        <f ca="1">IF(tblRoster[[#This Row],[휴직잔여일수]]="","",IF(tblRoster[[#This Row],[휴직잔여일수]]&lt;=180,"6개월내","6개월이후"))</f>
        <v/>
      </c>
      <c r="AO2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" spans="1:41" x14ac:dyDescent="0.3">
      <c r="A24">
        <v>900022</v>
      </c>
      <c r="B24" t="s">
        <v>10</v>
      </c>
      <c r="C24" t="s">
        <v>8</v>
      </c>
      <c r="D24">
        <v>56</v>
      </c>
      <c r="E24" t="s">
        <v>128</v>
      </c>
      <c r="F24" t="s">
        <v>137</v>
      </c>
      <c r="G24" t="s">
        <v>130</v>
      </c>
      <c r="H24" t="s">
        <v>193</v>
      </c>
      <c r="I24" t="s">
        <v>144</v>
      </c>
      <c r="J24" t="s">
        <v>145</v>
      </c>
      <c r="L24" t="s">
        <v>134</v>
      </c>
      <c r="M24" t="s">
        <v>135</v>
      </c>
      <c r="N24" s="1">
        <v>35339</v>
      </c>
      <c r="O24" s="1">
        <v>35339</v>
      </c>
      <c r="P24" s="1">
        <v>43040</v>
      </c>
      <c r="Q24" s="1">
        <v>43040</v>
      </c>
      <c r="R24">
        <v>33</v>
      </c>
      <c r="S24" t="s">
        <v>194</v>
      </c>
      <c r="T2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24" t="str">
        <f>IF(tblRoster[[#This Row],[급수]]="4급(임기제)","4급",tblRoster[[#This Row],[급수]])</f>
        <v>4급</v>
      </c>
      <c r="V2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2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4" t="str">
        <f>IF(OR(tblRoster[[#This Row],[교직원상세구분]]="사회복무요원",tblRoster[[#This Row],[교직원상세구분]]="인턴(수습)"),"제외","포함")</f>
        <v>포함</v>
      </c>
      <c r="Y24">
        <f>1</f>
        <v>1</v>
      </c>
      <c r="Z24">
        <f>IF(tblRoster[[#This Row],[재직상태구분]]="휴직",1,0)</f>
        <v>0</v>
      </c>
      <c r="AA2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4">
        <f ca="1">IF(tblRoster[[#This Row],[본교발령시작일자]]="","",DATEDIF(tblRoster[[#This Row],[본교발령시작일자]],TODAY(),"Y"))</f>
        <v>29</v>
      </c>
      <c r="AC24">
        <f ca="1">IF(tblRoster[[#This Row],[최초발령시작일자]]="","",DATEDIF(tblRoster[[#This Row],[최초발령시작일자]],TODAY(),"Y"))</f>
        <v>29</v>
      </c>
      <c r="AD2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24">
        <f ca="1">IF(tblRoster[[#This Row],[직급발령시작일자]]="","",ROUND(YEARFRAC(tblRoster[[#This Row],[직급발령시작일자]],TODAY()),1))</f>
        <v>8.9</v>
      </c>
      <c r="AF2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4">
        <f ca="1">IF(OR(tblRoster[[#This Row],[공무원구분]]&lt;&gt;"공무원",tblRoster[[#This Row],[나이]]=""),"",YEAR(TODAY())+(60-tblRoster[[#This Row],[나이]]))</f>
        <v>2030</v>
      </c>
      <c r="AH24" t="str">
        <f>IF(tblRoster[[#This Row],[직위]]="","일반","보직자")</f>
        <v>일반</v>
      </c>
      <c r="AI2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" t="str">
        <f ca="1">IF(tblRoster[[#This Row],[복직예정일]]="","",TEXT(tblRoster[[#This Row],[복직예정일]],"yyyy-mm"))</f>
        <v/>
      </c>
      <c r="AM24" t="str">
        <f ca="1">IF(tblRoster[[#This Row],[복직예정일]]="","",tblRoster[[#This Row],[복직예정일]]-TODAY())</f>
        <v/>
      </c>
      <c r="AN24" t="str">
        <f ca="1">IF(tblRoster[[#This Row],[휴직잔여일수]]="","",IF(tblRoster[[#This Row],[휴직잔여일수]]&lt;=180,"6개월내","6개월이후"))</f>
        <v/>
      </c>
      <c r="AO2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" spans="1:41" x14ac:dyDescent="0.3">
      <c r="A25">
        <v>900023</v>
      </c>
      <c r="B25" t="s">
        <v>195</v>
      </c>
      <c r="C25" t="s">
        <v>8</v>
      </c>
      <c r="D25">
        <v>53</v>
      </c>
      <c r="E25" t="s">
        <v>150</v>
      </c>
      <c r="F25" t="s">
        <v>162</v>
      </c>
      <c r="G25" t="s">
        <v>182</v>
      </c>
      <c r="H25" t="s">
        <v>163</v>
      </c>
      <c r="I25" t="s">
        <v>144</v>
      </c>
      <c r="J25" t="s">
        <v>145</v>
      </c>
      <c r="L25" t="s">
        <v>134</v>
      </c>
      <c r="M25" t="s">
        <v>135</v>
      </c>
      <c r="N25" s="1">
        <v>41091</v>
      </c>
      <c r="O25" s="1">
        <v>46204</v>
      </c>
      <c r="P25" s="1">
        <v>46204</v>
      </c>
      <c r="Q25" s="1">
        <v>46204</v>
      </c>
      <c r="T2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5" t="str">
        <f>IF(tblRoster[[#This Row],[급수]]="4급(임기제)","4급",tblRoster[[#This Row],[급수]])</f>
        <v>6급</v>
      </c>
      <c r="V2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" t="str">
        <f>IF(OR(tblRoster[[#This Row],[교직원상세구분]]="사회복무요원",tblRoster[[#This Row],[교직원상세구분]]="인턴(수습)"),"제외","포함")</f>
        <v>포함</v>
      </c>
      <c r="Y25">
        <f>1</f>
        <v>1</v>
      </c>
      <c r="Z25">
        <f>IF(tblRoster[[#This Row],[재직상태구분]]="휴직",1,0)</f>
        <v>0</v>
      </c>
      <c r="AA2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5">
        <f ca="1">IF(tblRoster[[#This Row],[본교발령시작일자]]="","",DATEDIF(tblRoster[[#This Row],[본교발령시작일자]],TODAY(),"Y"))</f>
        <v>0</v>
      </c>
      <c r="AC25">
        <f ca="1">IF(tblRoster[[#This Row],[최초발령시작일자]]="","",DATEDIF(tblRoster[[#This Row],[최초발령시작일자]],TODAY(),"Y"))</f>
        <v>14</v>
      </c>
      <c r="AD2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5">
        <f ca="1">IF(tblRoster[[#This Row],[직급발령시작일자]]="","",ROUND(YEARFRAC(tblRoster[[#This Row],[직급발령시작일자]],TODAY()),1))</f>
        <v>0.2</v>
      </c>
      <c r="AF2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">
        <f ca="1">IF(OR(tblRoster[[#This Row],[공무원구분]]&lt;&gt;"공무원",tblRoster[[#This Row],[나이]]=""),"",YEAR(TODAY())+(60-tblRoster[[#This Row],[나이]]))</f>
        <v>2033</v>
      </c>
      <c r="AH25" t="str">
        <f>IF(tblRoster[[#This Row],[직위]]="","일반","보직자")</f>
        <v>일반</v>
      </c>
      <c r="AI2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" t="str">
        <f ca="1">IF(tblRoster[[#This Row],[복직예정일]]="","",TEXT(tblRoster[[#This Row],[복직예정일]],"yyyy-mm"))</f>
        <v/>
      </c>
      <c r="AM25" t="str">
        <f ca="1">IF(tblRoster[[#This Row],[복직예정일]]="","",tblRoster[[#This Row],[복직예정일]]-TODAY())</f>
        <v/>
      </c>
      <c r="AN25" t="str">
        <f ca="1">IF(tblRoster[[#This Row],[휴직잔여일수]]="","",IF(tblRoster[[#This Row],[휴직잔여일수]]&lt;=180,"6개월내","6개월이후"))</f>
        <v/>
      </c>
      <c r="AO2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" spans="1:41" x14ac:dyDescent="0.3">
      <c r="A26">
        <v>900024</v>
      </c>
      <c r="B26" t="s">
        <v>196</v>
      </c>
      <c r="C26" t="s">
        <v>8</v>
      </c>
      <c r="D26">
        <v>36</v>
      </c>
      <c r="E26" t="s">
        <v>150</v>
      </c>
      <c r="F26" t="s">
        <v>147</v>
      </c>
      <c r="G26" t="s">
        <v>197</v>
      </c>
      <c r="H26" t="s">
        <v>198</v>
      </c>
      <c r="I26" t="s">
        <v>144</v>
      </c>
      <c r="J26" t="s">
        <v>145</v>
      </c>
      <c r="L26" t="s">
        <v>135</v>
      </c>
      <c r="M26" t="s">
        <v>135</v>
      </c>
      <c r="N26" s="1">
        <v>45778</v>
      </c>
      <c r="O26" s="1">
        <v>45778</v>
      </c>
      <c r="P26" s="1">
        <v>45778</v>
      </c>
      <c r="Q26" s="1">
        <v>45778</v>
      </c>
      <c r="R26">
        <v>3</v>
      </c>
      <c r="T2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6" t="str">
        <f>IF(tblRoster[[#This Row],[급수]]="4급(임기제)","4급",tblRoster[[#This Row],[급수]])</f>
        <v>7급</v>
      </c>
      <c r="V2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" t="str">
        <f>IF(OR(tblRoster[[#This Row],[교직원상세구분]]="사회복무요원",tblRoster[[#This Row],[교직원상세구분]]="인턴(수습)"),"제외","포함")</f>
        <v>포함</v>
      </c>
      <c r="Y26">
        <f>1</f>
        <v>1</v>
      </c>
      <c r="Z26">
        <f>IF(tblRoster[[#This Row],[재직상태구분]]="휴직",1,0)</f>
        <v>0</v>
      </c>
      <c r="AA2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6">
        <f ca="1">IF(tblRoster[[#This Row],[본교발령시작일자]]="","",DATEDIF(tblRoster[[#This Row],[본교발령시작일자]],TODAY(),"Y"))</f>
        <v>1</v>
      </c>
      <c r="AC26">
        <f ca="1">IF(tblRoster[[#This Row],[최초발령시작일자]]="","",DATEDIF(tblRoster[[#This Row],[최초발령시작일자]],TODAY(),"Y"))</f>
        <v>1</v>
      </c>
      <c r="AD2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6">
        <f ca="1">IF(tblRoster[[#This Row],[직급발령시작일자]]="","",ROUND(YEARFRAC(tblRoster[[#This Row],[직급발령시작일자]],TODAY()),1))</f>
        <v>1.4</v>
      </c>
      <c r="AF2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">
        <f ca="1">IF(OR(tblRoster[[#This Row],[공무원구분]]&lt;&gt;"공무원",tblRoster[[#This Row],[나이]]=""),"",YEAR(TODAY())+(60-tblRoster[[#This Row],[나이]]))</f>
        <v>2050</v>
      </c>
      <c r="AH26" t="str">
        <f>IF(tblRoster[[#This Row],[직위]]="","일반","보직자")</f>
        <v>일반</v>
      </c>
      <c r="AI2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" t="str">
        <f ca="1">IF(tblRoster[[#This Row],[복직예정일]]="","",TEXT(tblRoster[[#This Row],[복직예정일]],"yyyy-mm"))</f>
        <v/>
      </c>
      <c r="AM26" t="str">
        <f ca="1">IF(tblRoster[[#This Row],[복직예정일]]="","",tblRoster[[#This Row],[복직예정일]]-TODAY())</f>
        <v/>
      </c>
      <c r="AN26" t="str">
        <f ca="1">IF(tblRoster[[#This Row],[휴직잔여일수]]="","",IF(tblRoster[[#This Row],[휴직잔여일수]]&lt;=180,"6개월내","6개월이후"))</f>
        <v/>
      </c>
      <c r="AO2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" spans="1:41" x14ac:dyDescent="0.3">
      <c r="A27">
        <v>900025</v>
      </c>
      <c r="B27" t="s">
        <v>199</v>
      </c>
      <c r="C27" t="s">
        <v>8</v>
      </c>
      <c r="D27">
        <v>57</v>
      </c>
      <c r="E27" t="s">
        <v>128</v>
      </c>
      <c r="F27" t="s">
        <v>162</v>
      </c>
      <c r="G27" t="s">
        <v>130</v>
      </c>
      <c r="H27" t="s">
        <v>200</v>
      </c>
      <c r="I27" t="s">
        <v>144</v>
      </c>
      <c r="J27" t="s">
        <v>145</v>
      </c>
      <c r="K27" t="s">
        <v>201</v>
      </c>
      <c r="L27" t="s">
        <v>134</v>
      </c>
      <c r="M27" t="s">
        <v>135</v>
      </c>
      <c r="N27" s="1">
        <v>33725</v>
      </c>
      <c r="O27" s="1">
        <v>33725</v>
      </c>
      <c r="P27" s="1">
        <v>46174</v>
      </c>
      <c r="Q27" s="1">
        <v>46174</v>
      </c>
      <c r="R27">
        <v>35</v>
      </c>
      <c r="T2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7" t="str">
        <f>IF(tblRoster[[#This Row],[급수]]="4급(임기제)","4급",tblRoster[[#This Row],[급수]])</f>
        <v>5급</v>
      </c>
      <c r="V2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7" t="str">
        <f>IF(OR(tblRoster[[#This Row],[교직원상세구분]]="사회복무요원",tblRoster[[#This Row],[교직원상세구분]]="인턴(수습)"),"제외","포함")</f>
        <v>포함</v>
      </c>
      <c r="Y27">
        <f>1</f>
        <v>1</v>
      </c>
      <c r="Z27">
        <f>IF(tblRoster[[#This Row],[재직상태구분]]="휴직",1,0)</f>
        <v>0</v>
      </c>
      <c r="AA2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7">
        <f ca="1">IF(tblRoster[[#This Row],[본교발령시작일자]]="","",DATEDIF(tblRoster[[#This Row],[본교발령시작일자]],TODAY(),"Y"))</f>
        <v>34</v>
      </c>
      <c r="AC27">
        <f ca="1">IF(tblRoster[[#This Row],[최초발령시작일자]]="","",DATEDIF(tblRoster[[#This Row],[최초발령시작일자]],TODAY(),"Y"))</f>
        <v>34</v>
      </c>
      <c r="AD2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27">
        <f ca="1">IF(tblRoster[[#This Row],[직급발령시작일자]]="","",ROUND(YEARFRAC(tblRoster[[#This Row],[직급발령시작일자]],TODAY()),1))</f>
        <v>0.3</v>
      </c>
      <c r="AF2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">
        <f ca="1">IF(OR(tblRoster[[#This Row],[공무원구분]]&lt;&gt;"공무원",tblRoster[[#This Row],[나이]]=""),"",YEAR(TODAY())+(60-tblRoster[[#This Row],[나이]]))</f>
        <v>2029</v>
      </c>
      <c r="AH27" t="str">
        <f>IF(tblRoster[[#This Row],[직위]]="","일반","보직자")</f>
        <v>보직자</v>
      </c>
      <c r="AI2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" t="str">
        <f ca="1">IF(tblRoster[[#This Row],[복직예정일]]="","",TEXT(tblRoster[[#This Row],[복직예정일]],"yyyy-mm"))</f>
        <v/>
      </c>
      <c r="AM27" t="str">
        <f ca="1">IF(tblRoster[[#This Row],[복직예정일]]="","",tblRoster[[#This Row],[복직예정일]]-TODAY())</f>
        <v/>
      </c>
      <c r="AN27" t="str">
        <f ca="1">IF(tblRoster[[#This Row],[휴직잔여일수]]="","",IF(tblRoster[[#This Row],[휴직잔여일수]]&lt;=180,"6개월내","6개월이후"))</f>
        <v/>
      </c>
      <c r="AO2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" spans="1:41" x14ac:dyDescent="0.3">
      <c r="A28">
        <v>900026</v>
      </c>
      <c r="B28" t="s">
        <v>11</v>
      </c>
      <c r="C28" t="s">
        <v>8</v>
      </c>
      <c r="D28">
        <v>50</v>
      </c>
      <c r="E28" t="s">
        <v>128</v>
      </c>
      <c r="F28" t="s">
        <v>162</v>
      </c>
      <c r="G28" t="s">
        <v>202</v>
      </c>
      <c r="H28" t="s">
        <v>156</v>
      </c>
      <c r="I28" t="s">
        <v>144</v>
      </c>
      <c r="J28" t="s">
        <v>145</v>
      </c>
      <c r="L28" t="s">
        <v>135</v>
      </c>
      <c r="M28" t="s">
        <v>135</v>
      </c>
      <c r="N28" s="1">
        <v>36220</v>
      </c>
      <c r="O28" s="1">
        <v>36220</v>
      </c>
      <c r="P28" s="1">
        <v>43922</v>
      </c>
      <c r="Q28" s="1">
        <v>43922</v>
      </c>
      <c r="R28">
        <v>27</v>
      </c>
      <c r="S28" t="s">
        <v>203</v>
      </c>
      <c r="T2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8" t="str">
        <f>IF(tblRoster[[#This Row],[급수]]="4급(임기제)","4급",tblRoster[[#This Row],[급수]])</f>
        <v>6급</v>
      </c>
      <c r="V2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" t="str">
        <f>IF(OR(tblRoster[[#This Row],[교직원상세구분]]="사회복무요원",tblRoster[[#This Row],[교직원상세구분]]="인턴(수습)"),"제외","포함")</f>
        <v>포함</v>
      </c>
      <c r="Y28">
        <f>1</f>
        <v>1</v>
      </c>
      <c r="Z28">
        <f>IF(tblRoster[[#This Row],[재직상태구분]]="휴직",1,0)</f>
        <v>0</v>
      </c>
      <c r="AA2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8">
        <f ca="1">IF(tblRoster[[#This Row],[본교발령시작일자]]="","",DATEDIF(tblRoster[[#This Row],[본교발령시작일자]],TODAY(),"Y"))</f>
        <v>27</v>
      </c>
      <c r="AC28">
        <f ca="1">IF(tblRoster[[#This Row],[최초발령시작일자]]="","",DATEDIF(tblRoster[[#This Row],[최초발령시작일자]],TODAY(),"Y"))</f>
        <v>27</v>
      </c>
      <c r="AD2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8">
        <f ca="1">IF(tblRoster[[#This Row],[직급발령시작일자]]="","",ROUND(YEARFRAC(tblRoster[[#This Row],[직급발령시작일자]],TODAY()),1))</f>
        <v>6.4</v>
      </c>
      <c r="AF2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8">
        <f ca="1">IF(OR(tblRoster[[#This Row],[공무원구분]]&lt;&gt;"공무원",tblRoster[[#This Row],[나이]]=""),"",YEAR(TODAY())+(60-tblRoster[[#This Row],[나이]]))</f>
        <v>2036</v>
      </c>
      <c r="AH28" t="str">
        <f>IF(tblRoster[[#This Row],[직위]]="","일반","보직자")</f>
        <v>일반</v>
      </c>
      <c r="AI2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" t="str">
        <f ca="1">IF(tblRoster[[#This Row],[복직예정일]]="","",TEXT(tblRoster[[#This Row],[복직예정일]],"yyyy-mm"))</f>
        <v/>
      </c>
      <c r="AM28" t="str">
        <f ca="1">IF(tblRoster[[#This Row],[복직예정일]]="","",tblRoster[[#This Row],[복직예정일]]-TODAY())</f>
        <v/>
      </c>
      <c r="AN28" t="str">
        <f ca="1">IF(tblRoster[[#This Row],[휴직잔여일수]]="","",IF(tblRoster[[#This Row],[휴직잔여일수]]&lt;=180,"6개월내","6개월이후"))</f>
        <v/>
      </c>
      <c r="AO2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" spans="1:41" x14ac:dyDescent="0.3">
      <c r="A29">
        <v>900027</v>
      </c>
      <c r="B29" t="s">
        <v>204</v>
      </c>
      <c r="C29" t="s">
        <v>8</v>
      </c>
      <c r="D29">
        <v>24</v>
      </c>
      <c r="E29" t="s">
        <v>150</v>
      </c>
      <c r="F29" t="s">
        <v>184</v>
      </c>
      <c r="G29" t="s">
        <v>197</v>
      </c>
      <c r="H29" t="s">
        <v>205</v>
      </c>
      <c r="I29" t="s">
        <v>144</v>
      </c>
      <c r="J29" t="s">
        <v>145</v>
      </c>
      <c r="L29" t="s">
        <v>135</v>
      </c>
      <c r="M29" t="s">
        <v>135</v>
      </c>
      <c r="N29" s="1">
        <v>45597</v>
      </c>
      <c r="O29" s="1">
        <v>45597</v>
      </c>
      <c r="P29" s="1">
        <v>46327</v>
      </c>
      <c r="Q29" s="1">
        <v>46327</v>
      </c>
      <c r="R29">
        <v>4</v>
      </c>
      <c r="T2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9" t="str">
        <f>IF(tblRoster[[#This Row],[급수]]="4급(임기제)","4급",tblRoster[[#This Row],[급수]])</f>
        <v>9급</v>
      </c>
      <c r="V2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" t="str">
        <f>IF(OR(tblRoster[[#This Row],[교직원상세구분]]="사회복무요원",tblRoster[[#This Row],[교직원상세구분]]="인턴(수습)"),"제외","포함")</f>
        <v>포함</v>
      </c>
      <c r="Y29">
        <f>1</f>
        <v>1</v>
      </c>
      <c r="Z29">
        <f>IF(tblRoster[[#This Row],[재직상태구분]]="휴직",1,0)</f>
        <v>0</v>
      </c>
      <c r="AA2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9">
        <f ca="1">IF(tblRoster[[#This Row],[본교발령시작일자]]="","",DATEDIF(tblRoster[[#This Row],[본교발령시작일자]],TODAY(),"Y"))</f>
        <v>1</v>
      </c>
      <c r="AC29">
        <f ca="1">IF(tblRoster[[#This Row],[최초발령시작일자]]="","",DATEDIF(tblRoster[[#This Row],[최초발령시작일자]],TODAY(),"Y"))</f>
        <v>1</v>
      </c>
      <c r="AD2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9">
        <f ca="1">IF(tblRoster[[#This Row],[직급발령시작일자]]="","",ROUND(YEARFRAC(tblRoster[[#This Row],[직급발령시작일자]],TODAY()),1))</f>
        <v>0.2</v>
      </c>
      <c r="AF2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">
        <f ca="1">IF(OR(tblRoster[[#This Row],[공무원구분]]&lt;&gt;"공무원",tblRoster[[#This Row],[나이]]=""),"",YEAR(TODAY())+(60-tblRoster[[#This Row],[나이]]))</f>
        <v>2062</v>
      </c>
      <c r="AH29" t="str">
        <f>IF(tblRoster[[#This Row],[직위]]="","일반","보직자")</f>
        <v>일반</v>
      </c>
      <c r="AI2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" t="str">
        <f ca="1">IF(tblRoster[[#This Row],[복직예정일]]="","",TEXT(tblRoster[[#This Row],[복직예정일]],"yyyy-mm"))</f>
        <v/>
      </c>
      <c r="AM29" t="str">
        <f ca="1">IF(tblRoster[[#This Row],[복직예정일]]="","",tblRoster[[#This Row],[복직예정일]]-TODAY())</f>
        <v/>
      </c>
      <c r="AN29" t="str">
        <f ca="1">IF(tblRoster[[#This Row],[휴직잔여일수]]="","",IF(tblRoster[[#This Row],[휴직잔여일수]]&lt;=180,"6개월내","6개월이후"))</f>
        <v/>
      </c>
      <c r="AO2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" spans="1:41" x14ac:dyDescent="0.3">
      <c r="A30">
        <v>900028</v>
      </c>
      <c r="B30" t="s">
        <v>206</v>
      </c>
      <c r="C30" t="s">
        <v>8</v>
      </c>
      <c r="D30">
        <v>41</v>
      </c>
      <c r="E30" t="s">
        <v>128</v>
      </c>
      <c r="F30" t="s">
        <v>168</v>
      </c>
      <c r="G30" t="s">
        <v>207</v>
      </c>
      <c r="H30" t="s">
        <v>175</v>
      </c>
      <c r="I30" t="s">
        <v>144</v>
      </c>
      <c r="J30" t="s">
        <v>145</v>
      </c>
      <c r="L30" t="s">
        <v>134</v>
      </c>
      <c r="M30" t="s">
        <v>135</v>
      </c>
      <c r="N30" s="1">
        <v>41306</v>
      </c>
      <c r="O30" s="1">
        <v>41306</v>
      </c>
      <c r="P30" s="1">
        <v>44896</v>
      </c>
      <c r="Q30" s="1">
        <v>44896</v>
      </c>
      <c r="T3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30" t="str">
        <f>IF(tblRoster[[#This Row],[급수]]="4급(임기제)","4급",tblRoster[[#This Row],[급수]])</f>
        <v>9급</v>
      </c>
      <c r="V3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3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0" t="str">
        <f>IF(OR(tblRoster[[#This Row],[교직원상세구분]]="사회복무요원",tblRoster[[#This Row],[교직원상세구분]]="인턴(수습)"),"제외","포함")</f>
        <v>포함</v>
      </c>
      <c r="Y30">
        <f>1</f>
        <v>1</v>
      </c>
      <c r="Z30">
        <f>IF(tblRoster[[#This Row],[재직상태구분]]="휴직",1,0)</f>
        <v>0</v>
      </c>
      <c r="AA3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0">
        <f ca="1">IF(tblRoster[[#This Row],[본교발령시작일자]]="","",DATEDIF(tblRoster[[#This Row],[본교발령시작일자]],TODAY(),"Y"))</f>
        <v>13</v>
      </c>
      <c r="AC30">
        <f ca="1">IF(tblRoster[[#This Row],[최초발령시작일자]]="","",DATEDIF(tblRoster[[#This Row],[최초발령시작일자]],TODAY(),"Y"))</f>
        <v>13</v>
      </c>
      <c r="AD3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0">
        <f ca="1">IF(tblRoster[[#This Row],[직급발령시작일자]]="","",ROUND(YEARFRAC(tblRoster[[#This Row],[직급발령시작일자]],TODAY()),1))</f>
        <v>3.8</v>
      </c>
      <c r="AF3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">
        <f ca="1">IF(OR(tblRoster[[#This Row],[공무원구분]]&lt;&gt;"공무원",tblRoster[[#This Row],[나이]]=""),"",YEAR(TODAY())+(60-tblRoster[[#This Row],[나이]]))</f>
        <v>2045</v>
      </c>
      <c r="AH30" t="str">
        <f>IF(tblRoster[[#This Row],[직위]]="","일반","보직자")</f>
        <v>일반</v>
      </c>
      <c r="AI3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" t="str">
        <f ca="1">IF(tblRoster[[#This Row],[복직예정일]]="","",TEXT(tblRoster[[#This Row],[복직예정일]],"yyyy-mm"))</f>
        <v/>
      </c>
      <c r="AM30" t="str">
        <f ca="1">IF(tblRoster[[#This Row],[복직예정일]]="","",tblRoster[[#This Row],[복직예정일]]-TODAY())</f>
        <v/>
      </c>
      <c r="AN30" t="str">
        <f ca="1">IF(tblRoster[[#This Row],[휴직잔여일수]]="","",IF(tblRoster[[#This Row],[휴직잔여일수]]&lt;=180,"6개월내","6개월이후"))</f>
        <v/>
      </c>
      <c r="AO3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" spans="1:41" x14ac:dyDescent="0.3">
      <c r="A31">
        <v>900029</v>
      </c>
      <c r="B31" t="s">
        <v>208</v>
      </c>
      <c r="C31" t="s">
        <v>8</v>
      </c>
      <c r="D31">
        <v>49</v>
      </c>
      <c r="E31" t="s">
        <v>150</v>
      </c>
      <c r="F31" t="s">
        <v>158</v>
      </c>
      <c r="G31" t="s">
        <v>173</v>
      </c>
      <c r="H31" t="s">
        <v>209</v>
      </c>
      <c r="I31" t="s">
        <v>144</v>
      </c>
      <c r="J31" t="s">
        <v>145</v>
      </c>
      <c r="L31" t="s">
        <v>135</v>
      </c>
      <c r="M31" t="s">
        <v>135</v>
      </c>
      <c r="N31" s="1">
        <v>44105</v>
      </c>
      <c r="O31" s="1">
        <v>44105</v>
      </c>
      <c r="P31" s="1">
        <v>44105</v>
      </c>
      <c r="Q31" s="1">
        <v>44105</v>
      </c>
      <c r="R31">
        <v>6</v>
      </c>
      <c r="T3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1" t="str">
        <f>IF(tblRoster[[#This Row],[급수]]="4급(임기제)","4급",tblRoster[[#This Row],[급수]])</f>
        <v>6급</v>
      </c>
      <c r="V3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" t="str">
        <f>IF(OR(tblRoster[[#This Row],[교직원상세구분]]="사회복무요원",tblRoster[[#This Row],[교직원상세구분]]="인턴(수습)"),"제외","포함")</f>
        <v>포함</v>
      </c>
      <c r="Y31">
        <f>1</f>
        <v>1</v>
      </c>
      <c r="Z31">
        <f>IF(tblRoster[[#This Row],[재직상태구분]]="휴직",1,0)</f>
        <v>0</v>
      </c>
      <c r="AA3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1">
        <f ca="1">IF(tblRoster[[#This Row],[본교발령시작일자]]="","",DATEDIF(tblRoster[[#This Row],[본교발령시작일자]],TODAY(),"Y"))</f>
        <v>5</v>
      </c>
      <c r="AC31">
        <f ca="1">IF(tblRoster[[#This Row],[최초발령시작일자]]="","",DATEDIF(tblRoster[[#This Row],[최초발령시작일자]],TODAY(),"Y"))</f>
        <v>5</v>
      </c>
      <c r="AD3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1">
        <f ca="1">IF(tblRoster[[#This Row],[직급발령시작일자]]="","",ROUND(YEARFRAC(tblRoster[[#This Row],[직급발령시작일자]],TODAY()),1))</f>
        <v>5.9</v>
      </c>
      <c r="AF3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1">
        <f ca="1">IF(OR(tblRoster[[#This Row],[공무원구분]]&lt;&gt;"공무원",tblRoster[[#This Row],[나이]]=""),"",YEAR(TODAY())+(60-tblRoster[[#This Row],[나이]]))</f>
        <v>2037</v>
      </c>
      <c r="AH31" t="str">
        <f>IF(tblRoster[[#This Row],[직위]]="","일반","보직자")</f>
        <v>일반</v>
      </c>
      <c r="AI3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" t="str">
        <f ca="1">IF(tblRoster[[#This Row],[복직예정일]]="","",TEXT(tblRoster[[#This Row],[복직예정일]],"yyyy-mm"))</f>
        <v/>
      </c>
      <c r="AM31" t="str">
        <f ca="1">IF(tblRoster[[#This Row],[복직예정일]]="","",tblRoster[[#This Row],[복직예정일]]-TODAY())</f>
        <v/>
      </c>
      <c r="AN31" t="str">
        <f ca="1">IF(tblRoster[[#This Row],[휴직잔여일수]]="","",IF(tblRoster[[#This Row],[휴직잔여일수]]&lt;=180,"6개월내","6개월이후"))</f>
        <v/>
      </c>
      <c r="AO3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" spans="1:41" x14ac:dyDescent="0.3">
      <c r="A32">
        <v>900030</v>
      </c>
      <c r="B32" t="s">
        <v>210</v>
      </c>
      <c r="C32" t="s">
        <v>8</v>
      </c>
      <c r="D32">
        <v>50</v>
      </c>
      <c r="E32" t="s">
        <v>128</v>
      </c>
      <c r="F32" t="s">
        <v>129</v>
      </c>
      <c r="G32" t="s">
        <v>159</v>
      </c>
      <c r="H32" t="s">
        <v>180</v>
      </c>
      <c r="I32" t="s">
        <v>144</v>
      </c>
      <c r="J32" t="s">
        <v>145</v>
      </c>
      <c r="L32" t="s">
        <v>135</v>
      </c>
      <c r="M32" t="s">
        <v>135</v>
      </c>
      <c r="N32" s="1">
        <v>41153</v>
      </c>
      <c r="O32" s="1">
        <v>44348</v>
      </c>
      <c r="P32" s="1">
        <v>44348</v>
      </c>
      <c r="Q32" s="1">
        <v>44348</v>
      </c>
      <c r="R32">
        <v>16</v>
      </c>
      <c r="T3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2" t="str">
        <f>IF(tblRoster[[#This Row],[급수]]="4급(임기제)","4급",tblRoster[[#This Row],[급수]])</f>
        <v>7급</v>
      </c>
      <c r="V3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" t="str">
        <f>IF(OR(tblRoster[[#This Row],[교직원상세구분]]="사회복무요원",tblRoster[[#This Row],[교직원상세구분]]="인턴(수습)"),"제외","포함")</f>
        <v>포함</v>
      </c>
      <c r="Y32">
        <f>1</f>
        <v>1</v>
      </c>
      <c r="Z32">
        <f>IF(tblRoster[[#This Row],[재직상태구분]]="휴직",1,0)</f>
        <v>0</v>
      </c>
      <c r="AA3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2">
        <f ca="1">IF(tblRoster[[#This Row],[본교발령시작일자]]="","",DATEDIF(tblRoster[[#This Row],[본교발령시작일자]],TODAY(),"Y"))</f>
        <v>5</v>
      </c>
      <c r="AC32">
        <f ca="1">IF(tblRoster[[#This Row],[최초발령시작일자]]="","",DATEDIF(tblRoster[[#This Row],[최초발령시작일자]],TODAY(),"Y"))</f>
        <v>14</v>
      </c>
      <c r="AD3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2">
        <f ca="1">IF(tblRoster[[#This Row],[직급발령시작일자]]="","",ROUND(YEARFRAC(tblRoster[[#This Row],[직급발령시작일자]],TODAY()),1))</f>
        <v>5.3</v>
      </c>
      <c r="AF3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2">
        <f ca="1">IF(OR(tblRoster[[#This Row],[공무원구분]]&lt;&gt;"공무원",tblRoster[[#This Row],[나이]]=""),"",YEAR(TODAY())+(60-tblRoster[[#This Row],[나이]]))</f>
        <v>2036</v>
      </c>
      <c r="AH32" t="str">
        <f>IF(tblRoster[[#This Row],[직위]]="","일반","보직자")</f>
        <v>일반</v>
      </c>
      <c r="AI3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" t="str">
        <f ca="1">IF(tblRoster[[#This Row],[복직예정일]]="","",TEXT(tblRoster[[#This Row],[복직예정일]],"yyyy-mm"))</f>
        <v/>
      </c>
      <c r="AM32" t="str">
        <f ca="1">IF(tblRoster[[#This Row],[복직예정일]]="","",tblRoster[[#This Row],[복직예정일]]-TODAY())</f>
        <v/>
      </c>
      <c r="AN32" t="str">
        <f ca="1">IF(tblRoster[[#This Row],[휴직잔여일수]]="","",IF(tblRoster[[#This Row],[휴직잔여일수]]&lt;=180,"6개월내","6개월이후"))</f>
        <v/>
      </c>
      <c r="AO3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" spans="1:41" x14ac:dyDescent="0.3">
      <c r="A33">
        <v>900031</v>
      </c>
      <c r="B33" t="s">
        <v>12</v>
      </c>
      <c r="C33" t="s">
        <v>8</v>
      </c>
      <c r="D33">
        <v>24</v>
      </c>
      <c r="E33" t="s">
        <v>150</v>
      </c>
      <c r="F33" t="s">
        <v>137</v>
      </c>
      <c r="G33" t="s">
        <v>211</v>
      </c>
      <c r="H33" t="s">
        <v>212</v>
      </c>
      <c r="I33" t="s">
        <v>213</v>
      </c>
      <c r="J33" t="s">
        <v>133</v>
      </c>
      <c r="L33" t="s">
        <v>134</v>
      </c>
      <c r="M33" t="s">
        <v>135</v>
      </c>
      <c r="N33" s="1">
        <v>45901</v>
      </c>
      <c r="O33" s="1">
        <v>45901</v>
      </c>
      <c r="P33" s="1">
        <v>46054</v>
      </c>
      <c r="Q33" s="1">
        <v>46054</v>
      </c>
      <c r="S33" t="s">
        <v>214</v>
      </c>
      <c r="T3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33" t="str">
        <f>IF(tblRoster[[#This Row],[급수]]="4급(임기제)","4급",tblRoster[[#This Row],[급수]])</f>
        <v>인턴</v>
      </c>
      <c r="V3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3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3" t="str">
        <f>IF(OR(tblRoster[[#This Row],[교직원상세구분]]="사회복무요원",tblRoster[[#This Row],[교직원상세구분]]="인턴(수습)"),"제외","포함")</f>
        <v>제외</v>
      </c>
      <c r="Y33">
        <f>1</f>
        <v>1</v>
      </c>
      <c r="Z33">
        <f>IF(tblRoster[[#This Row],[재직상태구분]]="휴직",1,0)</f>
        <v>0</v>
      </c>
      <c r="AA3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3">
        <f ca="1">IF(tblRoster[[#This Row],[본교발령시작일자]]="","",DATEDIF(tblRoster[[#This Row],[본교발령시작일자]],TODAY(),"Y"))</f>
        <v>1</v>
      </c>
      <c r="AC33">
        <f ca="1">IF(tblRoster[[#This Row],[최초발령시작일자]]="","",DATEDIF(tblRoster[[#This Row],[최초발령시작일자]],TODAY(),"Y"))</f>
        <v>1</v>
      </c>
      <c r="AD3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3">
        <f ca="1">IF(tblRoster[[#This Row],[직급발령시작일자]]="","",ROUND(YEARFRAC(tblRoster[[#This Row],[직급발령시작일자]],TODAY()),1))</f>
        <v>0.6</v>
      </c>
      <c r="AF3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3" t="str">
        <f ca="1">IF(OR(tblRoster[[#This Row],[공무원구분]]&lt;&gt;"공무원",tblRoster[[#This Row],[나이]]=""),"",YEAR(TODAY())+(60-tblRoster[[#This Row],[나이]]))</f>
        <v/>
      </c>
      <c r="AH33" t="str">
        <f>IF(tblRoster[[#This Row],[직위]]="","일반","보직자")</f>
        <v>일반</v>
      </c>
      <c r="AI3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" t="str">
        <f ca="1">IF(tblRoster[[#This Row],[복직예정일]]="","",TEXT(tblRoster[[#This Row],[복직예정일]],"yyyy-mm"))</f>
        <v/>
      </c>
      <c r="AM33" t="str">
        <f ca="1">IF(tblRoster[[#This Row],[복직예정일]]="","",tblRoster[[#This Row],[복직예정일]]-TODAY())</f>
        <v/>
      </c>
      <c r="AN33" t="str">
        <f ca="1">IF(tblRoster[[#This Row],[휴직잔여일수]]="","",IF(tblRoster[[#This Row],[휴직잔여일수]]&lt;=180,"6개월내","6개월이후"))</f>
        <v/>
      </c>
      <c r="AO3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" spans="1:41" x14ac:dyDescent="0.3">
      <c r="A34">
        <v>900032</v>
      </c>
      <c r="B34" t="s">
        <v>215</v>
      </c>
      <c r="C34" t="s">
        <v>8</v>
      </c>
      <c r="D34">
        <v>42</v>
      </c>
      <c r="E34" t="s">
        <v>150</v>
      </c>
      <c r="F34" t="s">
        <v>216</v>
      </c>
      <c r="G34" t="s">
        <v>138</v>
      </c>
      <c r="H34" t="s">
        <v>209</v>
      </c>
      <c r="I34" t="s">
        <v>144</v>
      </c>
      <c r="J34" t="s">
        <v>145</v>
      </c>
      <c r="L34" t="s">
        <v>135</v>
      </c>
      <c r="M34" t="s">
        <v>135</v>
      </c>
      <c r="N34" s="1">
        <v>41699</v>
      </c>
      <c r="O34" s="1">
        <v>41699</v>
      </c>
      <c r="P34" s="1">
        <v>44774</v>
      </c>
      <c r="Q34" s="1">
        <v>44774</v>
      </c>
      <c r="R34">
        <v>15</v>
      </c>
      <c r="T3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" t="str">
        <f>IF(tblRoster[[#This Row],[급수]]="4급(임기제)","4급",tblRoster[[#This Row],[급수]])</f>
        <v>6급</v>
      </c>
      <c r="V3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" t="str">
        <f>IF(OR(tblRoster[[#This Row],[교직원상세구분]]="사회복무요원",tblRoster[[#This Row],[교직원상세구분]]="인턴(수습)"),"제외","포함")</f>
        <v>포함</v>
      </c>
      <c r="Y34">
        <f>1</f>
        <v>1</v>
      </c>
      <c r="Z34">
        <f>IF(tblRoster[[#This Row],[재직상태구분]]="휴직",1,0)</f>
        <v>0</v>
      </c>
      <c r="AA3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4">
        <f ca="1">IF(tblRoster[[#This Row],[본교발령시작일자]]="","",DATEDIF(tblRoster[[#This Row],[본교발령시작일자]],TODAY(),"Y"))</f>
        <v>12</v>
      </c>
      <c r="AC34">
        <f ca="1">IF(tblRoster[[#This Row],[최초발령시작일자]]="","",DATEDIF(tblRoster[[#This Row],[최초발령시작일자]],TODAY(),"Y"))</f>
        <v>12</v>
      </c>
      <c r="AD3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4">
        <f ca="1">IF(tblRoster[[#This Row],[직급발령시작일자]]="","",ROUND(YEARFRAC(tblRoster[[#This Row],[직급발령시작일자]],TODAY()),1))</f>
        <v>4.0999999999999996</v>
      </c>
      <c r="AF3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">
        <f ca="1">IF(OR(tblRoster[[#This Row],[공무원구분]]&lt;&gt;"공무원",tblRoster[[#This Row],[나이]]=""),"",YEAR(TODAY())+(60-tblRoster[[#This Row],[나이]]))</f>
        <v>2044</v>
      </c>
      <c r="AH34" t="str">
        <f>IF(tblRoster[[#This Row],[직위]]="","일반","보직자")</f>
        <v>일반</v>
      </c>
      <c r="AI3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" t="str">
        <f ca="1">IF(tblRoster[[#This Row],[복직예정일]]="","",TEXT(tblRoster[[#This Row],[복직예정일]],"yyyy-mm"))</f>
        <v/>
      </c>
      <c r="AM34" t="str">
        <f ca="1">IF(tblRoster[[#This Row],[복직예정일]]="","",tblRoster[[#This Row],[복직예정일]]-TODAY())</f>
        <v/>
      </c>
      <c r="AN34" t="str">
        <f ca="1">IF(tblRoster[[#This Row],[휴직잔여일수]]="","",IF(tblRoster[[#This Row],[휴직잔여일수]]&lt;=180,"6개월내","6개월이후"))</f>
        <v/>
      </c>
      <c r="AO3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" spans="1:41" x14ac:dyDescent="0.3">
      <c r="A35">
        <v>900033</v>
      </c>
      <c r="B35" t="s">
        <v>217</v>
      </c>
      <c r="C35" t="s">
        <v>8</v>
      </c>
      <c r="D35">
        <v>51</v>
      </c>
      <c r="E35" t="s">
        <v>128</v>
      </c>
      <c r="F35" t="s">
        <v>179</v>
      </c>
      <c r="G35" t="s">
        <v>207</v>
      </c>
      <c r="H35" t="s">
        <v>200</v>
      </c>
      <c r="I35" t="s">
        <v>144</v>
      </c>
      <c r="J35" t="s">
        <v>145</v>
      </c>
      <c r="L35" t="s">
        <v>134</v>
      </c>
      <c r="M35" t="s">
        <v>135</v>
      </c>
      <c r="N35" s="1">
        <v>36130</v>
      </c>
      <c r="O35" s="1">
        <v>36130</v>
      </c>
      <c r="P35" s="1">
        <v>41699</v>
      </c>
      <c r="Q35" s="1">
        <v>41699</v>
      </c>
      <c r="R35">
        <v>28</v>
      </c>
      <c r="T3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5" t="str">
        <f>IF(tblRoster[[#This Row],[급수]]="4급(임기제)","4급",tblRoster[[#This Row],[급수]])</f>
        <v>5급</v>
      </c>
      <c r="V3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" t="str">
        <f>IF(OR(tblRoster[[#This Row],[교직원상세구분]]="사회복무요원",tblRoster[[#This Row],[교직원상세구분]]="인턴(수습)"),"제외","포함")</f>
        <v>포함</v>
      </c>
      <c r="Y35">
        <f>1</f>
        <v>1</v>
      </c>
      <c r="Z35">
        <f>IF(tblRoster[[#This Row],[재직상태구분]]="휴직",1,0)</f>
        <v>0</v>
      </c>
      <c r="AA3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5">
        <f ca="1">IF(tblRoster[[#This Row],[본교발령시작일자]]="","",DATEDIF(tblRoster[[#This Row],[본교발령시작일자]],TODAY(),"Y"))</f>
        <v>27</v>
      </c>
      <c r="AC35">
        <f ca="1">IF(tblRoster[[#This Row],[최초발령시작일자]]="","",DATEDIF(tblRoster[[#This Row],[최초발령시작일자]],TODAY(),"Y"))</f>
        <v>27</v>
      </c>
      <c r="AD3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5">
        <f ca="1">IF(tblRoster[[#This Row],[직급발령시작일자]]="","",ROUND(YEARFRAC(tblRoster[[#This Row],[직급발령시작일자]],TODAY()),1))</f>
        <v>12.5</v>
      </c>
      <c r="AF3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5">
        <f ca="1">IF(OR(tblRoster[[#This Row],[공무원구분]]&lt;&gt;"공무원",tblRoster[[#This Row],[나이]]=""),"",YEAR(TODAY())+(60-tblRoster[[#This Row],[나이]]))</f>
        <v>2035</v>
      </c>
      <c r="AH35" t="str">
        <f>IF(tblRoster[[#This Row],[직위]]="","일반","보직자")</f>
        <v>일반</v>
      </c>
      <c r="AI3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" t="str">
        <f ca="1">IF(tblRoster[[#This Row],[복직예정일]]="","",TEXT(tblRoster[[#This Row],[복직예정일]],"yyyy-mm"))</f>
        <v/>
      </c>
      <c r="AM35" t="str">
        <f ca="1">IF(tblRoster[[#This Row],[복직예정일]]="","",tblRoster[[#This Row],[복직예정일]]-TODAY())</f>
        <v/>
      </c>
      <c r="AN35" t="str">
        <f ca="1">IF(tblRoster[[#This Row],[휴직잔여일수]]="","",IF(tblRoster[[#This Row],[휴직잔여일수]]&lt;=180,"6개월내","6개월이후"))</f>
        <v/>
      </c>
      <c r="AO3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" spans="1:41" x14ac:dyDescent="0.3">
      <c r="A36">
        <v>900034</v>
      </c>
      <c r="B36" t="s">
        <v>218</v>
      </c>
      <c r="C36" t="s">
        <v>8</v>
      </c>
      <c r="D36">
        <v>42</v>
      </c>
      <c r="E36" t="s">
        <v>150</v>
      </c>
      <c r="F36" t="s">
        <v>158</v>
      </c>
      <c r="G36" t="s">
        <v>211</v>
      </c>
      <c r="H36" t="s">
        <v>219</v>
      </c>
      <c r="I36" t="s">
        <v>144</v>
      </c>
      <c r="J36" t="s">
        <v>145</v>
      </c>
      <c r="L36" t="s">
        <v>135</v>
      </c>
      <c r="M36" t="s">
        <v>135</v>
      </c>
      <c r="N36" s="1">
        <v>39934</v>
      </c>
      <c r="O36" s="1">
        <v>44774</v>
      </c>
      <c r="P36" s="1">
        <v>44774</v>
      </c>
      <c r="Q36" s="1">
        <v>44774</v>
      </c>
      <c r="R36">
        <v>19</v>
      </c>
      <c r="T3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6" t="str">
        <f>IF(tblRoster[[#This Row],[급수]]="4급(임기제)","4급",tblRoster[[#This Row],[급수]])</f>
        <v>8급</v>
      </c>
      <c r="V3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6" t="str">
        <f>IF(OR(tblRoster[[#This Row],[교직원상세구분]]="사회복무요원",tblRoster[[#This Row],[교직원상세구분]]="인턴(수습)"),"제외","포함")</f>
        <v>포함</v>
      </c>
      <c r="Y36">
        <f>1</f>
        <v>1</v>
      </c>
      <c r="Z36">
        <f>IF(tblRoster[[#This Row],[재직상태구분]]="휴직",1,0)</f>
        <v>0</v>
      </c>
      <c r="AA3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6">
        <f ca="1">IF(tblRoster[[#This Row],[본교발령시작일자]]="","",DATEDIF(tblRoster[[#This Row],[본교발령시작일자]],TODAY(),"Y"))</f>
        <v>4</v>
      </c>
      <c r="AC36">
        <f ca="1">IF(tblRoster[[#This Row],[최초발령시작일자]]="","",DATEDIF(tblRoster[[#This Row],[최초발령시작일자]],TODAY(),"Y"))</f>
        <v>17</v>
      </c>
      <c r="AD3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6">
        <f ca="1">IF(tblRoster[[#This Row],[직급발령시작일자]]="","",ROUND(YEARFRAC(tblRoster[[#This Row],[직급발령시작일자]],TODAY()),1))</f>
        <v>4.0999999999999996</v>
      </c>
      <c r="AF3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">
        <f ca="1">IF(OR(tblRoster[[#This Row],[공무원구분]]&lt;&gt;"공무원",tblRoster[[#This Row],[나이]]=""),"",YEAR(TODAY())+(60-tblRoster[[#This Row],[나이]]))</f>
        <v>2044</v>
      </c>
      <c r="AH36" t="str">
        <f>IF(tblRoster[[#This Row],[직위]]="","일반","보직자")</f>
        <v>일반</v>
      </c>
      <c r="AI3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" t="str">
        <f ca="1">IF(tblRoster[[#This Row],[복직예정일]]="","",TEXT(tblRoster[[#This Row],[복직예정일]],"yyyy-mm"))</f>
        <v/>
      </c>
      <c r="AM36" t="str">
        <f ca="1">IF(tblRoster[[#This Row],[복직예정일]]="","",tblRoster[[#This Row],[복직예정일]]-TODAY())</f>
        <v/>
      </c>
      <c r="AN36" t="str">
        <f ca="1">IF(tblRoster[[#This Row],[휴직잔여일수]]="","",IF(tblRoster[[#This Row],[휴직잔여일수]]&lt;=180,"6개월내","6개월이후"))</f>
        <v/>
      </c>
      <c r="AO3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" spans="1:41" x14ac:dyDescent="0.3">
      <c r="A37">
        <v>900035</v>
      </c>
      <c r="B37" t="s">
        <v>220</v>
      </c>
      <c r="C37" t="s">
        <v>8</v>
      </c>
      <c r="D37">
        <v>44</v>
      </c>
      <c r="E37" t="s">
        <v>128</v>
      </c>
      <c r="F37" t="s">
        <v>158</v>
      </c>
      <c r="G37" t="s">
        <v>159</v>
      </c>
      <c r="H37" t="s">
        <v>163</v>
      </c>
      <c r="I37" t="s">
        <v>144</v>
      </c>
      <c r="J37" t="s">
        <v>145</v>
      </c>
      <c r="L37" t="s">
        <v>134</v>
      </c>
      <c r="M37" t="s">
        <v>135</v>
      </c>
      <c r="N37" s="1">
        <v>42186</v>
      </c>
      <c r="O37" s="1">
        <v>42186</v>
      </c>
      <c r="P37" s="1">
        <v>44317</v>
      </c>
      <c r="Q37" s="1">
        <v>44317</v>
      </c>
      <c r="R37">
        <v>14</v>
      </c>
      <c r="T3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7" t="str">
        <f>IF(tblRoster[[#This Row],[급수]]="4급(임기제)","4급",tblRoster[[#This Row],[급수]])</f>
        <v>6급</v>
      </c>
      <c r="V3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7" t="str">
        <f>IF(OR(tblRoster[[#This Row],[교직원상세구분]]="사회복무요원",tblRoster[[#This Row],[교직원상세구분]]="인턴(수습)"),"제외","포함")</f>
        <v>포함</v>
      </c>
      <c r="Y37">
        <f>1</f>
        <v>1</v>
      </c>
      <c r="Z37">
        <f>IF(tblRoster[[#This Row],[재직상태구분]]="휴직",1,0)</f>
        <v>0</v>
      </c>
      <c r="AA3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7">
        <f ca="1">IF(tblRoster[[#This Row],[본교발령시작일자]]="","",DATEDIF(tblRoster[[#This Row],[본교발령시작일자]],TODAY(),"Y"))</f>
        <v>11</v>
      </c>
      <c r="AC37">
        <f ca="1">IF(tblRoster[[#This Row],[최초발령시작일자]]="","",DATEDIF(tblRoster[[#This Row],[최초발령시작일자]],TODAY(),"Y"))</f>
        <v>11</v>
      </c>
      <c r="AD3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7">
        <f ca="1">IF(tblRoster[[#This Row],[직급발령시작일자]]="","",ROUND(YEARFRAC(tblRoster[[#This Row],[직급발령시작일자]],TODAY()),1))</f>
        <v>5.4</v>
      </c>
      <c r="AF37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7">
        <f ca="1">IF(OR(tblRoster[[#This Row],[공무원구분]]&lt;&gt;"공무원",tblRoster[[#This Row],[나이]]=""),"",YEAR(TODAY())+(60-tblRoster[[#This Row],[나이]]))</f>
        <v>2042</v>
      </c>
      <c r="AH37" t="str">
        <f>IF(tblRoster[[#This Row],[직위]]="","일반","보직자")</f>
        <v>일반</v>
      </c>
      <c r="AI3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" t="str">
        <f ca="1">IF(tblRoster[[#This Row],[복직예정일]]="","",TEXT(tblRoster[[#This Row],[복직예정일]],"yyyy-mm"))</f>
        <v/>
      </c>
      <c r="AM37" t="str">
        <f ca="1">IF(tblRoster[[#This Row],[복직예정일]]="","",tblRoster[[#This Row],[복직예정일]]-TODAY())</f>
        <v/>
      </c>
      <c r="AN37" t="str">
        <f ca="1">IF(tblRoster[[#This Row],[휴직잔여일수]]="","",IF(tblRoster[[#This Row],[휴직잔여일수]]&lt;=180,"6개월내","6개월이후"))</f>
        <v/>
      </c>
      <c r="AO3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" spans="1:41" x14ac:dyDescent="0.3">
      <c r="A38">
        <v>900036</v>
      </c>
      <c r="B38" t="s">
        <v>221</v>
      </c>
      <c r="C38" t="s">
        <v>8</v>
      </c>
      <c r="D38">
        <v>28</v>
      </c>
      <c r="E38" t="s">
        <v>128</v>
      </c>
      <c r="F38" t="s">
        <v>129</v>
      </c>
      <c r="G38" t="s">
        <v>222</v>
      </c>
      <c r="H38" t="s">
        <v>223</v>
      </c>
      <c r="I38" t="s">
        <v>144</v>
      </c>
      <c r="J38" t="s">
        <v>145</v>
      </c>
      <c r="L38" t="s">
        <v>134</v>
      </c>
      <c r="M38" t="s">
        <v>135</v>
      </c>
      <c r="N38" s="1">
        <v>44470</v>
      </c>
      <c r="O38" s="1">
        <v>44470</v>
      </c>
      <c r="P38" s="1">
        <v>44470</v>
      </c>
      <c r="Q38" s="1">
        <v>44470</v>
      </c>
      <c r="R38">
        <v>5</v>
      </c>
      <c r="T3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8" t="str">
        <f>IF(tblRoster[[#This Row],[급수]]="4급(임기제)","4급",tblRoster[[#This Row],[급수]])</f>
        <v>8급</v>
      </c>
      <c r="V3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" t="str">
        <f>IF(OR(tblRoster[[#This Row],[교직원상세구분]]="사회복무요원",tblRoster[[#This Row],[교직원상세구분]]="인턴(수습)"),"제외","포함")</f>
        <v>포함</v>
      </c>
      <c r="Y38">
        <f>1</f>
        <v>1</v>
      </c>
      <c r="Z38">
        <f>IF(tblRoster[[#This Row],[재직상태구분]]="휴직",1,0)</f>
        <v>0</v>
      </c>
      <c r="AA3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8">
        <f ca="1">IF(tblRoster[[#This Row],[본교발령시작일자]]="","",DATEDIF(tblRoster[[#This Row],[본교발령시작일자]],TODAY(),"Y"))</f>
        <v>4</v>
      </c>
      <c r="AC38">
        <f ca="1">IF(tblRoster[[#This Row],[최초발령시작일자]]="","",DATEDIF(tblRoster[[#This Row],[최초발령시작일자]],TODAY(),"Y"))</f>
        <v>4</v>
      </c>
      <c r="AD3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8">
        <f ca="1">IF(tblRoster[[#This Row],[직급발령시작일자]]="","",ROUND(YEARFRAC(tblRoster[[#This Row],[직급발령시작일자]],TODAY()),1))</f>
        <v>4.9000000000000004</v>
      </c>
      <c r="AF3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8">
        <f ca="1">IF(OR(tblRoster[[#This Row],[공무원구분]]&lt;&gt;"공무원",tblRoster[[#This Row],[나이]]=""),"",YEAR(TODAY())+(60-tblRoster[[#This Row],[나이]]))</f>
        <v>2058</v>
      </c>
      <c r="AH38" t="str">
        <f>IF(tblRoster[[#This Row],[직위]]="","일반","보직자")</f>
        <v>일반</v>
      </c>
      <c r="AI3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" t="str">
        <f ca="1">IF(tblRoster[[#This Row],[복직예정일]]="","",TEXT(tblRoster[[#This Row],[복직예정일]],"yyyy-mm"))</f>
        <v/>
      </c>
      <c r="AM38" t="str">
        <f ca="1">IF(tblRoster[[#This Row],[복직예정일]]="","",tblRoster[[#This Row],[복직예정일]]-TODAY())</f>
        <v/>
      </c>
      <c r="AN38" t="str">
        <f ca="1">IF(tblRoster[[#This Row],[휴직잔여일수]]="","",IF(tblRoster[[#This Row],[휴직잔여일수]]&lt;=180,"6개월내","6개월이후"))</f>
        <v/>
      </c>
      <c r="AO3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" spans="1:41" x14ac:dyDescent="0.3">
      <c r="A39">
        <v>900037</v>
      </c>
      <c r="B39" t="s">
        <v>13</v>
      </c>
      <c r="C39" t="s">
        <v>8</v>
      </c>
      <c r="D39">
        <v>38</v>
      </c>
      <c r="E39" t="s">
        <v>128</v>
      </c>
      <c r="F39" t="s">
        <v>154</v>
      </c>
      <c r="G39" t="s">
        <v>155</v>
      </c>
      <c r="H39" t="s">
        <v>148</v>
      </c>
      <c r="I39" t="s">
        <v>132</v>
      </c>
      <c r="J39" t="s">
        <v>133</v>
      </c>
      <c r="L39" t="s">
        <v>134</v>
      </c>
      <c r="M39" t="s">
        <v>135</v>
      </c>
      <c r="N39" s="1">
        <v>43862</v>
      </c>
      <c r="O39" s="1">
        <v>43862</v>
      </c>
      <c r="P39" s="1">
        <v>45078</v>
      </c>
      <c r="Q39" s="1">
        <v>45078</v>
      </c>
      <c r="R39">
        <v>8</v>
      </c>
      <c r="S39" t="s">
        <v>224</v>
      </c>
      <c r="T3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9" t="str">
        <f>IF(tblRoster[[#This Row],[급수]]="4급(임기제)","4급",tblRoster[[#This Row],[급수]])</f>
        <v>대학회계계약직</v>
      </c>
      <c r="V3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9" t="str">
        <f>IF(OR(tblRoster[[#This Row],[교직원상세구분]]="사회복무요원",tblRoster[[#This Row],[교직원상세구분]]="인턴(수습)"),"제외","포함")</f>
        <v>포함</v>
      </c>
      <c r="Y39">
        <f>1</f>
        <v>1</v>
      </c>
      <c r="Z39">
        <f>IF(tblRoster[[#This Row],[재직상태구분]]="휴직",1,0)</f>
        <v>0</v>
      </c>
      <c r="AA3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9">
        <f ca="1">IF(tblRoster[[#This Row],[본교발령시작일자]]="","",DATEDIF(tblRoster[[#This Row],[본교발령시작일자]],TODAY(),"Y"))</f>
        <v>6</v>
      </c>
      <c r="AC39">
        <f ca="1">IF(tblRoster[[#This Row],[최초발령시작일자]]="","",DATEDIF(tblRoster[[#This Row],[최초발령시작일자]],TODAY(),"Y"))</f>
        <v>6</v>
      </c>
      <c r="AD3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9">
        <f ca="1">IF(tblRoster[[#This Row],[직급발령시작일자]]="","",ROUND(YEARFRAC(tblRoster[[#This Row],[직급발령시작일자]],TODAY()),1))</f>
        <v>3.3</v>
      </c>
      <c r="AF3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" t="str">
        <f ca="1">IF(OR(tblRoster[[#This Row],[공무원구분]]&lt;&gt;"공무원",tblRoster[[#This Row],[나이]]=""),"",YEAR(TODAY())+(60-tblRoster[[#This Row],[나이]]))</f>
        <v/>
      </c>
      <c r="AH39" t="str">
        <f>IF(tblRoster[[#This Row],[직위]]="","일반","보직자")</f>
        <v>일반</v>
      </c>
      <c r="AI3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" t="str">
        <f ca="1">IF(tblRoster[[#This Row],[복직예정일]]="","",TEXT(tblRoster[[#This Row],[복직예정일]],"yyyy-mm"))</f>
        <v/>
      </c>
      <c r="AM39" t="str">
        <f ca="1">IF(tblRoster[[#This Row],[복직예정일]]="","",tblRoster[[#This Row],[복직예정일]]-TODAY())</f>
        <v/>
      </c>
      <c r="AN39" t="str">
        <f ca="1">IF(tblRoster[[#This Row],[휴직잔여일수]]="","",IF(tblRoster[[#This Row],[휴직잔여일수]]&lt;=180,"6개월내","6개월이후"))</f>
        <v/>
      </c>
      <c r="AO3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" spans="1:41" x14ac:dyDescent="0.3">
      <c r="A40">
        <v>900038</v>
      </c>
      <c r="B40" t="s">
        <v>225</v>
      </c>
      <c r="C40" t="s">
        <v>8</v>
      </c>
      <c r="D40">
        <v>26</v>
      </c>
      <c r="E40" t="s">
        <v>128</v>
      </c>
      <c r="F40" t="s">
        <v>141</v>
      </c>
      <c r="G40" t="s">
        <v>151</v>
      </c>
      <c r="H40" t="s">
        <v>186</v>
      </c>
      <c r="I40" t="s">
        <v>186</v>
      </c>
      <c r="J40" t="s">
        <v>133</v>
      </c>
      <c r="L40" t="s">
        <v>134</v>
      </c>
      <c r="M40" t="s">
        <v>135</v>
      </c>
      <c r="N40" s="1">
        <v>44621</v>
      </c>
      <c r="O40" s="1">
        <v>46327</v>
      </c>
      <c r="P40" s="1">
        <v>46327</v>
      </c>
      <c r="Q40" s="1">
        <v>46327</v>
      </c>
      <c r="T4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40" t="str">
        <f>IF(tblRoster[[#This Row],[급수]]="4급(임기제)","4급",tblRoster[[#This Row],[급수]])</f>
        <v>사회복무요원</v>
      </c>
      <c r="V4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4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0" t="str">
        <f>IF(OR(tblRoster[[#This Row],[교직원상세구분]]="사회복무요원",tblRoster[[#This Row],[교직원상세구분]]="인턴(수습)"),"제외","포함")</f>
        <v>제외</v>
      </c>
      <c r="Y40">
        <f>1</f>
        <v>1</v>
      </c>
      <c r="Z40">
        <f>IF(tblRoster[[#This Row],[재직상태구분]]="휴직",1,0)</f>
        <v>0</v>
      </c>
      <c r="AA4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0" t="e">
        <f ca="1">IF(tblRoster[[#This Row],[본교발령시작일자]]="","",DATEDIF(tblRoster[[#This Row],[본교발령시작일자]],TODAY(),"Y"))</f>
        <v>#NUM!</v>
      </c>
      <c r="AC40">
        <f ca="1">IF(tblRoster[[#This Row],[최초발령시작일자]]="","",DATEDIF(tblRoster[[#This Row],[최초발령시작일자]],TODAY(),"Y"))</f>
        <v>4</v>
      </c>
      <c r="AD4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0">
        <f ca="1">IF(tblRoster[[#This Row],[직급발령시작일자]]="","",ROUND(YEARFRAC(tblRoster[[#This Row],[직급발령시작일자]],TODAY()),1))</f>
        <v>0.2</v>
      </c>
      <c r="AF4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" t="str">
        <f ca="1">IF(OR(tblRoster[[#This Row],[공무원구분]]&lt;&gt;"공무원",tblRoster[[#This Row],[나이]]=""),"",YEAR(TODAY())+(60-tblRoster[[#This Row],[나이]]))</f>
        <v/>
      </c>
      <c r="AH40" t="str">
        <f>IF(tblRoster[[#This Row],[직위]]="","일반","보직자")</f>
        <v>일반</v>
      </c>
      <c r="AI4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" t="str">
        <f ca="1">IF(tblRoster[[#This Row],[복직예정일]]="","",TEXT(tblRoster[[#This Row],[복직예정일]],"yyyy-mm"))</f>
        <v/>
      </c>
      <c r="AM40" t="str">
        <f ca="1">IF(tblRoster[[#This Row],[복직예정일]]="","",tblRoster[[#This Row],[복직예정일]]-TODAY())</f>
        <v/>
      </c>
      <c r="AN40" t="str">
        <f ca="1">IF(tblRoster[[#This Row],[휴직잔여일수]]="","",IF(tblRoster[[#This Row],[휴직잔여일수]]&lt;=180,"6개월내","6개월이후"))</f>
        <v/>
      </c>
      <c r="AO4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" spans="1:41" x14ac:dyDescent="0.3">
      <c r="A41">
        <v>900039</v>
      </c>
      <c r="B41" t="s">
        <v>226</v>
      </c>
      <c r="C41" t="s">
        <v>8</v>
      </c>
      <c r="D41">
        <v>44</v>
      </c>
      <c r="E41" t="s">
        <v>128</v>
      </c>
      <c r="F41" t="s">
        <v>158</v>
      </c>
      <c r="G41" t="s">
        <v>159</v>
      </c>
      <c r="H41" t="s">
        <v>148</v>
      </c>
      <c r="I41" t="s">
        <v>132</v>
      </c>
      <c r="J41" t="s">
        <v>133</v>
      </c>
      <c r="L41" t="s">
        <v>135</v>
      </c>
      <c r="M41" t="s">
        <v>135</v>
      </c>
      <c r="N41" s="1">
        <v>38200</v>
      </c>
      <c r="O41" s="1">
        <v>38200</v>
      </c>
      <c r="P41" s="1">
        <v>45474</v>
      </c>
      <c r="Q41" s="1">
        <v>45474</v>
      </c>
      <c r="R41">
        <v>23</v>
      </c>
      <c r="T4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1" t="str">
        <f>IF(tblRoster[[#This Row],[급수]]="4급(임기제)","4급",tblRoster[[#This Row],[급수]])</f>
        <v>대학회계계약직</v>
      </c>
      <c r="V4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1" t="str">
        <f>IF(OR(tblRoster[[#This Row],[교직원상세구분]]="사회복무요원",tblRoster[[#This Row],[교직원상세구분]]="인턴(수습)"),"제외","포함")</f>
        <v>포함</v>
      </c>
      <c r="Y41">
        <f>1</f>
        <v>1</v>
      </c>
      <c r="Z41">
        <f>IF(tblRoster[[#This Row],[재직상태구분]]="휴직",1,0)</f>
        <v>0</v>
      </c>
      <c r="AA4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1">
        <f ca="1">IF(tblRoster[[#This Row],[본교발령시작일자]]="","",DATEDIF(tblRoster[[#This Row],[본교발령시작일자]],TODAY(),"Y"))</f>
        <v>22</v>
      </c>
      <c r="AC41">
        <f ca="1">IF(tblRoster[[#This Row],[최초발령시작일자]]="","",DATEDIF(tblRoster[[#This Row],[최초발령시작일자]],TODAY(),"Y"))</f>
        <v>22</v>
      </c>
      <c r="AD4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1">
        <f ca="1">IF(tblRoster[[#This Row],[직급발령시작일자]]="","",ROUND(YEARFRAC(tblRoster[[#This Row],[직급발령시작일자]],TODAY()),1))</f>
        <v>2.2000000000000002</v>
      </c>
      <c r="AF4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" t="str">
        <f ca="1">IF(OR(tblRoster[[#This Row],[공무원구분]]&lt;&gt;"공무원",tblRoster[[#This Row],[나이]]=""),"",YEAR(TODAY())+(60-tblRoster[[#This Row],[나이]]))</f>
        <v/>
      </c>
      <c r="AH41" t="str">
        <f>IF(tblRoster[[#This Row],[직위]]="","일반","보직자")</f>
        <v>일반</v>
      </c>
      <c r="AI4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" t="str">
        <f ca="1">IF(tblRoster[[#This Row],[복직예정일]]="","",TEXT(tblRoster[[#This Row],[복직예정일]],"yyyy-mm"))</f>
        <v/>
      </c>
      <c r="AM41" t="str">
        <f ca="1">IF(tblRoster[[#This Row],[복직예정일]]="","",tblRoster[[#This Row],[복직예정일]]-TODAY())</f>
        <v/>
      </c>
      <c r="AN41" t="str">
        <f ca="1">IF(tblRoster[[#This Row],[휴직잔여일수]]="","",IF(tblRoster[[#This Row],[휴직잔여일수]]&lt;=180,"6개월내","6개월이후"))</f>
        <v/>
      </c>
      <c r="AO4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" spans="1:41" x14ac:dyDescent="0.3">
      <c r="A42">
        <v>900040</v>
      </c>
      <c r="B42" t="s">
        <v>227</v>
      </c>
      <c r="C42" t="s">
        <v>8</v>
      </c>
      <c r="D42">
        <v>41</v>
      </c>
      <c r="E42" t="s">
        <v>150</v>
      </c>
      <c r="F42" t="s">
        <v>168</v>
      </c>
      <c r="G42" t="s">
        <v>202</v>
      </c>
      <c r="H42" t="s">
        <v>209</v>
      </c>
      <c r="I42" t="s">
        <v>144</v>
      </c>
      <c r="J42" t="s">
        <v>145</v>
      </c>
      <c r="L42" t="s">
        <v>134</v>
      </c>
      <c r="M42" t="s">
        <v>135</v>
      </c>
      <c r="N42" s="1">
        <v>44287</v>
      </c>
      <c r="O42" s="1">
        <v>45566</v>
      </c>
      <c r="P42" s="1">
        <v>45566</v>
      </c>
      <c r="Q42" s="1">
        <v>45566</v>
      </c>
      <c r="R42">
        <v>8</v>
      </c>
      <c r="T4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2" t="str">
        <f>IF(tblRoster[[#This Row],[급수]]="4급(임기제)","4급",tblRoster[[#This Row],[급수]])</f>
        <v>6급</v>
      </c>
      <c r="V4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" t="str">
        <f>IF(OR(tblRoster[[#This Row],[교직원상세구분]]="사회복무요원",tblRoster[[#This Row],[교직원상세구분]]="인턴(수습)"),"제외","포함")</f>
        <v>포함</v>
      </c>
      <c r="Y42">
        <f>1</f>
        <v>1</v>
      </c>
      <c r="Z42">
        <f>IF(tblRoster[[#This Row],[재직상태구분]]="휴직",1,0)</f>
        <v>0</v>
      </c>
      <c r="AA4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2">
        <f ca="1">IF(tblRoster[[#This Row],[본교발령시작일자]]="","",DATEDIF(tblRoster[[#This Row],[본교발령시작일자]],TODAY(),"Y"))</f>
        <v>1</v>
      </c>
      <c r="AC42">
        <f ca="1">IF(tblRoster[[#This Row],[최초발령시작일자]]="","",DATEDIF(tblRoster[[#This Row],[최초발령시작일자]],TODAY(),"Y"))</f>
        <v>5</v>
      </c>
      <c r="AD4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2">
        <f ca="1">IF(tblRoster[[#This Row],[직급발령시작일자]]="","",ROUND(YEARFRAC(tblRoster[[#This Row],[직급발령시작일자]],TODAY()),1))</f>
        <v>1.9</v>
      </c>
      <c r="AF4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">
        <f ca="1">IF(OR(tblRoster[[#This Row],[공무원구분]]&lt;&gt;"공무원",tblRoster[[#This Row],[나이]]=""),"",YEAR(TODAY())+(60-tblRoster[[#This Row],[나이]]))</f>
        <v>2045</v>
      </c>
      <c r="AH42" t="str">
        <f>IF(tblRoster[[#This Row],[직위]]="","일반","보직자")</f>
        <v>일반</v>
      </c>
      <c r="AI4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" t="str">
        <f ca="1">IF(tblRoster[[#This Row],[복직예정일]]="","",TEXT(tblRoster[[#This Row],[복직예정일]],"yyyy-mm"))</f>
        <v/>
      </c>
      <c r="AM42" t="str">
        <f ca="1">IF(tblRoster[[#This Row],[복직예정일]]="","",tblRoster[[#This Row],[복직예정일]]-TODAY())</f>
        <v/>
      </c>
      <c r="AN42" t="str">
        <f ca="1">IF(tblRoster[[#This Row],[휴직잔여일수]]="","",IF(tblRoster[[#This Row],[휴직잔여일수]]&lt;=180,"6개월내","6개월이후"))</f>
        <v/>
      </c>
      <c r="AO4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" spans="1:41" x14ac:dyDescent="0.3">
      <c r="A43">
        <v>900041</v>
      </c>
      <c r="B43" t="s">
        <v>228</v>
      </c>
      <c r="C43" t="s">
        <v>8</v>
      </c>
      <c r="D43">
        <v>59</v>
      </c>
      <c r="E43" t="s">
        <v>150</v>
      </c>
      <c r="F43" t="s">
        <v>184</v>
      </c>
      <c r="G43" t="s">
        <v>155</v>
      </c>
      <c r="H43" t="s">
        <v>193</v>
      </c>
      <c r="I43" t="s">
        <v>144</v>
      </c>
      <c r="J43" t="s">
        <v>145</v>
      </c>
      <c r="L43" t="s">
        <v>134</v>
      </c>
      <c r="M43" t="s">
        <v>135</v>
      </c>
      <c r="N43" s="1">
        <v>38078</v>
      </c>
      <c r="O43" s="1">
        <v>38078</v>
      </c>
      <c r="P43" s="1">
        <v>45839</v>
      </c>
      <c r="Q43" s="1">
        <v>45839</v>
      </c>
      <c r="R43">
        <v>25</v>
      </c>
      <c r="T4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43" t="str">
        <f>IF(tblRoster[[#This Row],[급수]]="4급(임기제)","4급",tblRoster[[#This Row],[급수]])</f>
        <v>4급</v>
      </c>
      <c r="V4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4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" t="str">
        <f>IF(OR(tblRoster[[#This Row],[교직원상세구분]]="사회복무요원",tblRoster[[#This Row],[교직원상세구분]]="인턴(수습)"),"제외","포함")</f>
        <v>포함</v>
      </c>
      <c r="Y43">
        <f>1</f>
        <v>1</v>
      </c>
      <c r="Z43">
        <f>IF(tblRoster[[#This Row],[재직상태구분]]="휴직",1,0)</f>
        <v>0</v>
      </c>
      <c r="AA4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3">
        <f ca="1">IF(tblRoster[[#This Row],[본교발령시작일자]]="","",DATEDIF(tblRoster[[#This Row],[본교발령시작일자]],TODAY(),"Y"))</f>
        <v>22</v>
      </c>
      <c r="AC43">
        <f ca="1">IF(tblRoster[[#This Row],[최초발령시작일자]]="","",DATEDIF(tblRoster[[#This Row],[최초발령시작일자]],TODAY(),"Y"))</f>
        <v>22</v>
      </c>
      <c r="AD4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3">
        <f ca="1">IF(tblRoster[[#This Row],[직급발령시작일자]]="","",ROUND(YEARFRAC(tblRoster[[#This Row],[직급발령시작일자]],TODAY()),1))</f>
        <v>1.2</v>
      </c>
      <c r="AF4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">
        <f ca="1">IF(OR(tblRoster[[#This Row],[공무원구분]]&lt;&gt;"공무원",tblRoster[[#This Row],[나이]]=""),"",YEAR(TODAY())+(60-tblRoster[[#This Row],[나이]]))</f>
        <v>2027</v>
      </c>
      <c r="AH43" t="str">
        <f>IF(tblRoster[[#This Row],[직위]]="","일반","보직자")</f>
        <v>일반</v>
      </c>
      <c r="AI4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" t="str">
        <f ca="1">IF(tblRoster[[#This Row],[복직예정일]]="","",TEXT(tblRoster[[#This Row],[복직예정일]],"yyyy-mm"))</f>
        <v/>
      </c>
      <c r="AM43" t="str">
        <f ca="1">IF(tblRoster[[#This Row],[복직예정일]]="","",tblRoster[[#This Row],[복직예정일]]-TODAY())</f>
        <v/>
      </c>
      <c r="AN43" t="str">
        <f ca="1">IF(tblRoster[[#This Row],[휴직잔여일수]]="","",IF(tblRoster[[#This Row],[휴직잔여일수]]&lt;=180,"6개월내","6개월이후"))</f>
        <v/>
      </c>
      <c r="AO4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" spans="1:41" x14ac:dyDescent="0.3">
      <c r="A44">
        <v>900042</v>
      </c>
      <c r="B44" t="s">
        <v>229</v>
      </c>
      <c r="C44" t="s">
        <v>8</v>
      </c>
      <c r="D44">
        <v>46</v>
      </c>
      <c r="E44" t="s">
        <v>150</v>
      </c>
      <c r="F44" t="s">
        <v>154</v>
      </c>
      <c r="G44" t="s">
        <v>185</v>
      </c>
      <c r="H44" t="s">
        <v>230</v>
      </c>
      <c r="I44" t="s">
        <v>144</v>
      </c>
      <c r="J44" t="s">
        <v>145</v>
      </c>
      <c r="L44" t="s">
        <v>134</v>
      </c>
      <c r="M44" t="s">
        <v>135</v>
      </c>
      <c r="N44" s="1">
        <v>41730</v>
      </c>
      <c r="O44" s="1">
        <v>44317</v>
      </c>
      <c r="P44" s="1">
        <v>44317</v>
      </c>
      <c r="Q44" s="1">
        <v>44317</v>
      </c>
      <c r="R44">
        <v>13</v>
      </c>
      <c r="T4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4" t="str">
        <f>IF(tblRoster[[#This Row],[급수]]="4급(임기제)","4급",tblRoster[[#This Row],[급수]])</f>
        <v>6급</v>
      </c>
      <c r="V4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4" t="str">
        <f>IF(OR(tblRoster[[#This Row],[교직원상세구분]]="사회복무요원",tblRoster[[#This Row],[교직원상세구분]]="인턴(수습)"),"제외","포함")</f>
        <v>포함</v>
      </c>
      <c r="Y44">
        <f>1</f>
        <v>1</v>
      </c>
      <c r="Z44">
        <f>IF(tblRoster[[#This Row],[재직상태구분]]="휴직",1,0)</f>
        <v>0</v>
      </c>
      <c r="AA4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4">
        <f ca="1">IF(tblRoster[[#This Row],[본교발령시작일자]]="","",DATEDIF(tblRoster[[#This Row],[본교발령시작일자]],TODAY(),"Y"))</f>
        <v>5</v>
      </c>
      <c r="AC44">
        <f ca="1">IF(tblRoster[[#This Row],[최초발령시작일자]]="","",DATEDIF(tblRoster[[#This Row],[최초발령시작일자]],TODAY(),"Y"))</f>
        <v>12</v>
      </c>
      <c r="AD4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4">
        <f ca="1">IF(tblRoster[[#This Row],[직급발령시작일자]]="","",ROUND(YEARFRAC(tblRoster[[#This Row],[직급발령시작일자]],TODAY()),1))</f>
        <v>5.4</v>
      </c>
      <c r="AF4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4">
        <f ca="1">IF(OR(tblRoster[[#This Row],[공무원구분]]&lt;&gt;"공무원",tblRoster[[#This Row],[나이]]=""),"",YEAR(TODAY())+(60-tblRoster[[#This Row],[나이]]))</f>
        <v>2040</v>
      </c>
      <c r="AH44" t="str">
        <f>IF(tblRoster[[#This Row],[직위]]="","일반","보직자")</f>
        <v>일반</v>
      </c>
      <c r="AI4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" t="str">
        <f ca="1">IF(tblRoster[[#This Row],[복직예정일]]="","",TEXT(tblRoster[[#This Row],[복직예정일]],"yyyy-mm"))</f>
        <v/>
      </c>
      <c r="AM44" t="str">
        <f ca="1">IF(tblRoster[[#This Row],[복직예정일]]="","",tblRoster[[#This Row],[복직예정일]]-TODAY())</f>
        <v/>
      </c>
      <c r="AN44" t="str">
        <f ca="1">IF(tblRoster[[#This Row],[휴직잔여일수]]="","",IF(tblRoster[[#This Row],[휴직잔여일수]]&lt;=180,"6개월내","6개월이후"))</f>
        <v/>
      </c>
      <c r="AO4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" spans="1:41" x14ac:dyDescent="0.3">
      <c r="A45">
        <v>900043</v>
      </c>
      <c r="B45" t="s">
        <v>231</v>
      </c>
      <c r="C45" t="s">
        <v>8</v>
      </c>
      <c r="D45">
        <v>27</v>
      </c>
      <c r="E45" t="s">
        <v>150</v>
      </c>
      <c r="F45" t="s">
        <v>184</v>
      </c>
      <c r="G45" t="s">
        <v>197</v>
      </c>
      <c r="H45" t="s">
        <v>180</v>
      </c>
      <c r="I45" t="s">
        <v>144</v>
      </c>
      <c r="J45" t="s">
        <v>145</v>
      </c>
      <c r="L45" t="s">
        <v>134</v>
      </c>
      <c r="M45" t="s">
        <v>135</v>
      </c>
      <c r="N45" s="1">
        <v>45627</v>
      </c>
      <c r="O45" s="1">
        <v>46113</v>
      </c>
      <c r="P45" s="1">
        <v>46113</v>
      </c>
      <c r="Q45" s="1">
        <v>46113</v>
      </c>
      <c r="R45">
        <v>5</v>
      </c>
      <c r="T4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5" t="str">
        <f>IF(tblRoster[[#This Row],[급수]]="4급(임기제)","4급",tblRoster[[#This Row],[급수]])</f>
        <v>7급</v>
      </c>
      <c r="V4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" t="str">
        <f>IF(OR(tblRoster[[#This Row],[교직원상세구분]]="사회복무요원",tblRoster[[#This Row],[교직원상세구분]]="인턴(수습)"),"제외","포함")</f>
        <v>포함</v>
      </c>
      <c r="Y45">
        <f>1</f>
        <v>1</v>
      </c>
      <c r="Z45">
        <f>IF(tblRoster[[#This Row],[재직상태구분]]="휴직",1,0)</f>
        <v>0</v>
      </c>
      <c r="AA4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5">
        <f ca="1">IF(tblRoster[[#This Row],[본교발령시작일자]]="","",DATEDIF(tblRoster[[#This Row],[본교발령시작일자]],TODAY(),"Y"))</f>
        <v>0</v>
      </c>
      <c r="AC45">
        <f ca="1">IF(tblRoster[[#This Row],[최초발령시작일자]]="","",DATEDIF(tblRoster[[#This Row],[최초발령시작일자]],TODAY(),"Y"))</f>
        <v>1</v>
      </c>
      <c r="AD4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5">
        <f ca="1">IF(tblRoster[[#This Row],[직급발령시작일자]]="","",ROUND(YEARFRAC(tblRoster[[#This Row],[직급발령시작일자]],TODAY()),1))</f>
        <v>0.4</v>
      </c>
      <c r="AF4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">
        <f ca="1">IF(OR(tblRoster[[#This Row],[공무원구분]]&lt;&gt;"공무원",tblRoster[[#This Row],[나이]]=""),"",YEAR(TODAY())+(60-tblRoster[[#This Row],[나이]]))</f>
        <v>2059</v>
      </c>
      <c r="AH45" t="str">
        <f>IF(tblRoster[[#This Row],[직위]]="","일반","보직자")</f>
        <v>일반</v>
      </c>
      <c r="AI4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" t="str">
        <f ca="1">IF(tblRoster[[#This Row],[복직예정일]]="","",TEXT(tblRoster[[#This Row],[복직예정일]],"yyyy-mm"))</f>
        <v/>
      </c>
      <c r="AM45" t="str">
        <f ca="1">IF(tblRoster[[#This Row],[복직예정일]]="","",tblRoster[[#This Row],[복직예정일]]-TODAY())</f>
        <v/>
      </c>
      <c r="AN45" t="str">
        <f ca="1">IF(tblRoster[[#This Row],[휴직잔여일수]]="","",IF(tblRoster[[#This Row],[휴직잔여일수]]&lt;=180,"6개월내","6개월이후"))</f>
        <v/>
      </c>
      <c r="AO4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" spans="1:41" x14ac:dyDescent="0.3">
      <c r="A46">
        <v>900044</v>
      </c>
      <c r="B46" t="s">
        <v>232</v>
      </c>
      <c r="C46" t="s">
        <v>8</v>
      </c>
      <c r="D46">
        <v>37</v>
      </c>
      <c r="E46" t="s">
        <v>128</v>
      </c>
      <c r="F46" t="s">
        <v>147</v>
      </c>
      <c r="G46" t="s">
        <v>130</v>
      </c>
      <c r="H46" t="s">
        <v>233</v>
      </c>
      <c r="I46" t="s">
        <v>144</v>
      </c>
      <c r="J46" t="s">
        <v>145</v>
      </c>
      <c r="L46" t="s">
        <v>134</v>
      </c>
      <c r="M46" t="s">
        <v>135</v>
      </c>
      <c r="N46" s="1">
        <v>44835</v>
      </c>
      <c r="O46" s="1">
        <v>44835</v>
      </c>
      <c r="P46" s="1">
        <v>44835</v>
      </c>
      <c r="Q46" s="1">
        <v>44835</v>
      </c>
      <c r="R46">
        <v>7</v>
      </c>
      <c r="T4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6" t="str">
        <f>IF(tblRoster[[#This Row],[급수]]="4급(임기제)","4급",tblRoster[[#This Row],[급수]])</f>
        <v>8급</v>
      </c>
      <c r="V4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" t="str">
        <f>IF(OR(tblRoster[[#This Row],[교직원상세구분]]="사회복무요원",tblRoster[[#This Row],[교직원상세구분]]="인턴(수습)"),"제외","포함")</f>
        <v>포함</v>
      </c>
      <c r="Y46">
        <f>1</f>
        <v>1</v>
      </c>
      <c r="Z46">
        <f>IF(tblRoster[[#This Row],[재직상태구분]]="휴직",1,0)</f>
        <v>0</v>
      </c>
      <c r="AA4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6">
        <f ca="1">IF(tblRoster[[#This Row],[본교발령시작일자]]="","",DATEDIF(tblRoster[[#This Row],[본교발령시작일자]],TODAY(),"Y"))</f>
        <v>3</v>
      </c>
      <c r="AC46">
        <f ca="1">IF(tblRoster[[#This Row],[최초발령시작일자]]="","",DATEDIF(tblRoster[[#This Row],[최초발령시작일자]],TODAY(),"Y"))</f>
        <v>3</v>
      </c>
      <c r="AD4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6">
        <f ca="1">IF(tblRoster[[#This Row],[직급발령시작일자]]="","",ROUND(YEARFRAC(tblRoster[[#This Row],[직급발령시작일자]],TODAY()),1))</f>
        <v>3.9</v>
      </c>
      <c r="AF4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">
        <f ca="1">IF(OR(tblRoster[[#This Row],[공무원구분]]&lt;&gt;"공무원",tblRoster[[#This Row],[나이]]=""),"",YEAR(TODAY())+(60-tblRoster[[#This Row],[나이]]))</f>
        <v>2049</v>
      </c>
      <c r="AH46" t="str">
        <f>IF(tblRoster[[#This Row],[직위]]="","일반","보직자")</f>
        <v>일반</v>
      </c>
      <c r="AI4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" t="str">
        <f ca="1">IF(tblRoster[[#This Row],[복직예정일]]="","",TEXT(tblRoster[[#This Row],[복직예정일]],"yyyy-mm"))</f>
        <v/>
      </c>
      <c r="AM46" t="str">
        <f ca="1">IF(tblRoster[[#This Row],[복직예정일]]="","",tblRoster[[#This Row],[복직예정일]]-TODAY())</f>
        <v/>
      </c>
      <c r="AN46" t="str">
        <f ca="1">IF(tblRoster[[#This Row],[휴직잔여일수]]="","",IF(tblRoster[[#This Row],[휴직잔여일수]]&lt;=180,"6개월내","6개월이후"))</f>
        <v/>
      </c>
      <c r="AO4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" spans="1:41" x14ac:dyDescent="0.3">
      <c r="A47">
        <v>900045</v>
      </c>
      <c r="B47" t="s">
        <v>234</v>
      </c>
      <c r="C47" t="s">
        <v>8</v>
      </c>
      <c r="D47">
        <v>32</v>
      </c>
      <c r="E47" t="s">
        <v>150</v>
      </c>
      <c r="F47" t="s">
        <v>216</v>
      </c>
      <c r="G47" t="s">
        <v>155</v>
      </c>
      <c r="H47" t="s">
        <v>180</v>
      </c>
      <c r="I47" t="s">
        <v>144</v>
      </c>
      <c r="J47" t="s">
        <v>145</v>
      </c>
      <c r="L47" t="s">
        <v>134</v>
      </c>
      <c r="M47" t="s">
        <v>135</v>
      </c>
      <c r="N47" s="1">
        <v>44378</v>
      </c>
      <c r="O47" s="1">
        <v>44378</v>
      </c>
      <c r="P47" s="1">
        <v>44378</v>
      </c>
      <c r="Q47" s="1">
        <v>44378</v>
      </c>
      <c r="R47">
        <v>5</v>
      </c>
      <c r="T4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7" t="str">
        <f>IF(tblRoster[[#This Row],[급수]]="4급(임기제)","4급",tblRoster[[#This Row],[급수]])</f>
        <v>7급</v>
      </c>
      <c r="V4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" t="str">
        <f>IF(OR(tblRoster[[#This Row],[교직원상세구분]]="사회복무요원",tblRoster[[#This Row],[교직원상세구분]]="인턴(수습)"),"제외","포함")</f>
        <v>포함</v>
      </c>
      <c r="Y47">
        <f>1</f>
        <v>1</v>
      </c>
      <c r="Z47">
        <f>IF(tblRoster[[#This Row],[재직상태구분]]="휴직",1,0)</f>
        <v>0</v>
      </c>
      <c r="AA4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7">
        <f ca="1">IF(tblRoster[[#This Row],[본교발령시작일자]]="","",DATEDIF(tblRoster[[#This Row],[본교발령시작일자]],TODAY(),"Y"))</f>
        <v>5</v>
      </c>
      <c r="AC47">
        <f ca="1">IF(tblRoster[[#This Row],[최초발령시작일자]]="","",DATEDIF(tblRoster[[#This Row],[최초발령시작일자]],TODAY(),"Y"))</f>
        <v>5</v>
      </c>
      <c r="AD4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7">
        <f ca="1">IF(tblRoster[[#This Row],[직급발령시작일자]]="","",ROUND(YEARFRAC(tblRoster[[#This Row],[직급발령시작일자]],TODAY()),1))</f>
        <v>5.2</v>
      </c>
      <c r="AF47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7">
        <f ca="1">IF(OR(tblRoster[[#This Row],[공무원구분]]&lt;&gt;"공무원",tblRoster[[#This Row],[나이]]=""),"",YEAR(TODAY())+(60-tblRoster[[#This Row],[나이]]))</f>
        <v>2054</v>
      </c>
      <c r="AH47" t="str">
        <f>IF(tblRoster[[#This Row],[직위]]="","일반","보직자")</f>
        <v>일반</v>
      </c>
      <c r="AI4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" t="str">
        <f ca="1">IF(tblRoster[[#This Row],[복직예정일]]="","",TEXT(tblRoster[[#This Row],[복직예정일]],"yyyy-mm"))</f>
        <v/>
      </c>
      <c r="AM47" t="str">
        <f ca="1">IF(tblRoster[[#This Row],[복직예정일]]="","",tblRoster[[#This Row],[복직예정일]]-TODAY())</f>
        <v/>
      </c>
      <c r="AN47" t="str">
        <f ca="1">IF(tblRoster[[#This Row],[휴직잔여일수]]="","",IF(tblRoster[[#This Row],[휴직잔여일수]]&lt;=180,"6개월내","6개월이후"))</f>
        <v/>
      </c>
      <c r="AO4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8" spans="1:41" x14ac:dyDescent="0.3">
      <c r="A48">
        <v>900046</v>
      </c>
      <c r="B48" t="s">
        <v>235</v>
      </c>
      <c r="C48" t="s">
        <v>8</v>
      </c>
      <c r="D48">
        <v>28</v>
      </c>
      <c r="E48" t="s">
        <v>128</v>
      </c>
      <c r="F48" t="s">
        <v>236</v>
      </c>
      <c r="G48" t="s">
        <v>207</v>
      </c>
      <c r="H48" t="s">
        <v>180</v>
      </c>
      <c r="I48" t="s">
        <v>144</v>
      </c>
      <c r="J48" t="s">
        <v>145</v>
      </c>
      <c r="L48" t="s">
        <v>134</v>
      </c>
      <c r="M48" t="s">
        <v>135</v>
      </c>
      <c r="N48" s="1">
        <v>45992</v>
      </c>
      <c r="O48" s="1">
        <v>44835</v>
      </c>
      <c r="P48" s="1">
        <v>44835</v>
      </c>
      <c r="Q48" s="1">
        <v>44835</v>
      </c>
      <c r="R48">
        <v>4</v>
      </c>
      <c r="T4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8" t="str">
        <f>IF(tblRoster[[#This Row],[급수]]="4급(임기제)","4급",tblRoster[[#This Row],[급수]])</f>
        <v>7급</v>
      </c>
      <c r="V4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8" t="str">
        <f>IF(OR(tblRoster[[#This Row],[교직원상세구분]]="사회복무요원",tblRoster[[#This Row],[교직원상세구분]]="인턴(수습)"),"제외","포함")</f>
        <v>포함</v>
      </c>
      <c r="Y48">
        <f>1</f>
        <v>1</v>
      </c>
      <c r="Z48">
        <f>IF(tblRoster[[#This Row],[재직상태구분]]="휴직",1,0)</f>
        <v>0</v>
      </c>
      <c r="AA4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8">
        <f ca="1">IF(tblRoster[[#This Row],[본교발령시작일자]]="","",DATEDIF(tblRoster[[#This Row],[본교발령시작일자]],TODAY(),"Y"))</f>
        <v>3</v>
      </c>
      <c r="AC48">
        <f ca="1">IF(tblRoster[[#This Row],[최초발령시작일자]]="","",DATEDIF(tblRoster[[#This Row],[최초발령시작일자]],TODAY(),"Y"))</f>
        <v>0</v>
      </c>
      <c r="AD4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8">
        <f ca="1">IF(tblRoster[[#This Row],[직급발령시작일자]]="","",ROUND(YEARFRAC(tblRoster[[#This Row],[직급발령시작일자]],TODAY()),1))</f>
        <v>3.9</v>
      </c>
      <c r="AF4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8">
        <f ca="1">IF(OR(tblRoster[[#This Row],[공무원구분]]&lt;&gt;"공무원",tblRoster[[#This Row],[나이]]=""),"",YEAR(TODAY())+(60-tblRoster[[#This Row],[나이]]))</f>
        <v>2058</v>
      </c>
      <c r="AH48" t="str">
        <f>IF(tblRoster[[#This Row],[직위]]="","일반","보직자")</f>
        <v>일반</v>
      </c>
      <c r="AI4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8" t="str">
        <f ca="1">IF(tblRoster[[#This Row],[복직예정일]]="","",TEXT(tblRoster[[#This Row],[복직예정일]],"yyyy-mm"))</f>
        <v/>
      </c>
      <c r="AM48" t="str">
        <f ca="1">IF(tblRoster[[#This Row],[복직예정일]]="","",tblRoster[[#This Row],[복직예정일]]-TODAY())</f>
        <v/>
      </c>
      <c r="AN48" t="str">
        <f ca="1">IF(tblRoster[[#This Row],[휴직잔여일수]]="","",IF(tblRoster[[#This Row],[휴직잔여일수]]&lt;=180,"6개월내","6개월이후"))</f>
        <v/>
      </c>
      <c r="AO4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9" spans="1:41" x14ac:dyDescent="0.3">
      <c r="A49">
        <v>900047</v>
      </c>
      <c r="B49" t="s">
        <v>237</v>
      </c>
      <c r="C49" t="s">
        <v>8</v>
      </c>
      <c r="D49">
        <v>31</v>
      </c>
      <c r="E49" t="s">
        <v>150</v>
      </c>
      <c r="F49" t="s">
        <v>129</v>
      </c>
      <c r="G49" t="s">
        <v>207</v>
      </c>
      <c r="H49" t="s">
        <v>238</v>
      </c>
      <c r="I49" t="s">
        <v>239</v>
      </c>
      <c r="J49" t="s">
        <v>133</v>
      </c>
      <c r="L49" t="s">
        <v>134</v>
      </c>
      <c r="M49" t="s">
        <v>135</v>
      </c>
      <c r="N49" s="1">
        <v>43132</v>
      </c>
      <c r="O49" s="1">
        <v>45689</v>
      </c>
      <c r="P49" s="1">
        <v>45689</v>
      </c>
      <c r="Q49" s="1">
        <v>45689</v>
      </c>
      <c r="R49">
        <v>11</v>
      </c>
      <c r="T4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49" t="str">
        <f>IF(tblRoster[[#This Row],[급수]]="4급(임기제)","4급",tblRoster[[#This Row],[급수]])</f>
        <v>대학회계직</v>
      </c>
      <c r="V4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4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49" t="str">
        <f>IF(OR(tblRoster[[#This Row],[교직원상세구분]]="사회복무요원",tblRoster[[#This Row],[교직원상세구분]]="인턴(수습)"),"제외","포함")</f>
        <v>포함</v>
      </c>
      <c r="Y49">
        <f>1</f>
        <v>1</v>
      </c>
      <c r="Z49">
        <f>IF(tblRoster[[#This Row],[재직상태구분]]="휴직",1,0)</f>
        <v>0</v>
      </c>
      <c r="AA4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9">
        <f ca="1">IF(tblRoster[[#This Row],[본교발령시작일자]]="","",DATEDIF(tblRoster[[#This Row],[본교발령시작일자]],TODAY(),"Y"))</f>
        <v>1</v>
      </c>
      <c r="AC49">
        <f ca="1">IF(tblRoster[[#This Row],[최초발령시작일자]]="","",DATEDIF(tblRoster[[#This Row],[최초발령시작일자]],TODAY(),"Y"))</f>
        <v>8</v>
      </c>
      <c r="AD4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9">
        <f ca="1">IF(tblRoster[[#This Row],[직급발령시작일자]]="","",ROUND(YEARFRAC(tblRoster[[#This Row],[직급발령시작일자]],TODAY()),1))</f>
        <v>1.6</v>
      </c>
      <c r="AF4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9" t="str">
        <f ca="1">IF(OR(tblRoster[[#This Row],[공무원구분]]&lt;&gt;"공무원",tblRoster[[#This Row],[나이]]=""),"",YEAR(TODAY())+(60-tblRoster[[#This Row],[나이]]))</f>
        <v/>
      </c>
      <c r="AH49" t="str">
        <f>IF(tblRoster[[#This Row],[직위]]="","일반","보직자")</f>
        <v>일반</v>
      </c>
      <c r="AI4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9" t="str">
        <f ca="1">IF(tblRoster[[#This Row],[복직예정일]]="","",TEXT(tblRoster[[#This Row],[복직예정일]],"yyyy-mm"))</f>
        <v/>
      </c>
      <c r="AM49" t="str">
        <f ca="1">IF(tblRoster[[#This Row],[복직예정일]]="","",tblRoster[[#This Row],[복직예정일]]-TODAY())</f>
        <v/>
      </c>
      <c r="AN49" t="str">
        <f ca="1">IF(tblRoster[[#This Row],[휴직잔여일수]]="","",IF(tblRoster[[#This Row],[휴직잔여일수]]&lt;=180,"6개월내","6개월이후"))</f>
        <v/>
      </c>
      <c r="AO4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0" spans="1:41" x14ac:dyDescent="0.3">
      <c r="A50">
        <v>900048</v>
      </c>
      <c r="B50" t="s">
        <v>240</v>
      </c>
      <c r="C50" t="s">
        <v>8</v>
      </c>
      <c r="D50">
        <v>23</v>
      </c>
      <c r="E50" t="s">
        <v>150</v>
      </c>
      <c r="F50" t="s">
        <v>171</v>
      </c>
      <c r="G50" t="s">
        <v>207</v>
      </c>
      <c r="H50" t="s">
        <v>212</v>
      </c>
      <c r="I50" t="s">
        <v>213</v>
      </c>
      <c r="J50" t="s">
        <v>133</v>
      </c>
      <c r="L50" t="s">
        <v>134</v>
      </c>
      <c r="M50" t="s">
        <v>135</v>
      </c>
      <c r="N50" s="1">
        <v>46054</v>
      </c>
      <c r="O50" s="1">
        <v>46054</v>
      </c>
      <c r="P50" s="1">
        <v>46054</v>
      </c>
      <c r="Q50" s="1">
        <v>46054</v>
      </c>
      <c r="T5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50" t="str">
        <f>IF(tblRoster[[#This Row],[급수]]="4급(임기제)","4급",tblRoster[[#This Row],[급수]])</f>
        <v>인턴</v>
      </c>
      <c r="V5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5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50" t="str">
        <f>IF(OR(tblRoster[[#This Row],[교직원상세구분]]="사회복무요원",tblRoster[[#This Row],[교직원상세구분]]="인턴(수습)"),"제외","포함")</f>
        <v>제외</v>
      </c>
      <c r="Y50">
        <f>1</f>
        <v>1</v>
      </c>
      <c r="Z50">
        <f>IF(tblRoster[[#This Row],[재직상태구분]]="휴직",1,0)</f>
        <v>0</v>
      </c>
      <c r="AA5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50">
        <f ca="1">IF(tblRoster[[#This Row],[본교발령시작일자]]="","",DATEDIF(tblRoster[[#This Row],[본교발령시작일자]],TODAY(),"Y"))</f>
        <v>0</v>
      </c>
      <c r="AC50">
        <f ca="1">IF(tblRoster[[#This Row],[최초발령시작일자]]="","",DATEDIF(tblRoster[[#This Row],[최초발령시작일자]],TODAY(),"Y"))</f>
        <v>0</v>
      </c>
      <c r="AD5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50">
        <f ca="1">IF(tblRoster[[#This Row],[직급발령시작일자]]="","",ROUND(YEARFRAC(tblRoster[[#This Row],[직급발령시작일자]],TODAY()),1))</f>
        <v>0.6</v>
      </c>
      <c r="AF5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0" t="str">
        <f ca="1">IF(OR(tblRoster[[#This Row],[공무원구분]]&lt;&gt;"공무원",tblRoster[[#This Row],[나이]]=""),"",YEAR(TODAY())+(60-tblRoster[[#This Row],[나이]]))</f>
        <v/>
      </c>
      <c r="AH50" t="str">
        <f>IF(tblRoster[[#This Row],[직위]]="","일반","보직자")</f>
        <v>일반</v>
      </c>
      <c r="AI5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0" t="str">
        <f ca="1">IF(tblRoster[[#This Row],[복직예정일]]="","",TEXT(tblRoster[[#This Row],[복직예정일]],"yyyy-mm"))</f>
        <v/>
      </c>
      <c r="AM50" t="str">
        <f ca="1">IF(tblRoster[[#This Row],[복직예정일]]="","",tblRoster[[#This Row],[복직예정일]]-TODAY())</f>
        <v/>
      </c>
      <c r="AN50" t="str">
        <f ca="1">IF(tblRoster[[#This Row],[휴직잔여일수]]="","",IF(tblRoster[[#This Row],[휴직잔여일수]]&lt;=180,"6개월내","6개월이후"))</f>
        <v/>
      </c>
      <c r="AO5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1" spans="1:41" x14ac:dyDescent="0.3">
      <c r="A51">
        <v>900049</v>
      </c>
      <c r="B51" t="s">
        <v>14</v>
      </c>
      <c r="C51" t="s">
        <v>8</v>
      </c>
      <c r="D51">
        <v>48</v>
      </c>
      <c r="E51" t="s">
        <v>128</v>
      </c>
      <c r="F51" t="s">
        <v>158</v>
      </c>
      <c r="G51" t="s">
        <v>142</v>
      </c>
      <c r="H51" t="s">
        <v>223</v>
      </c>
      <c r="I51" t="s">
        <v>144</v>
      </c>
      <c r="J51" t="s">
        <v>145</v>
      </c>
      <c r="L51" t="s">
        <v>134</v>
      </c>
      <c r="M51" t="s">
        <v>135</v>
      </c>
      <c r="N51" s="1">
        <v>38292</v>
      </c>
      <c r="O51" s="1">
        <v>38292</v>
      </c>
      <c r="P51" s="1">
        <v>44896</v>
      </c>
      <c r="Q51" s="1">
        <v>44896</v>
      </c>
      <c r="R51">
        <v>24</v>
      </c>
      <c r="S51" t="s">
        <v>241</v>
      </c>
      <c r="T5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51" t="str">
        <f>IF(tblRoster[[#This Row],[급수]]="4급(임기제)","4급",tblRoster[[#This Row],[급수]])</f>
        <v>8급</v>
      </c>
      <c r="V5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5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51" t="str">
        <f>IF(OR(tblRoster[[#This Row],[교직원상세구분]]="사회복무요원",tblRoster[[#This Row],[교직원상세구분]]="인턴(수습)"),"제외","포함")</f>
        <v>포함</v>
      </c>
      <c r="Y51">
        <f>1</f>
        <v>1</v>
      </c>
      <c r="Z51">
        <f>IF(tblRoster[[#This Row],[재직상태구분]]="휴직",1,0)</f>
        <v>0</v>
      </c>
      <c r="AA5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51">
        <f ca="1">IF(tblRoster[[#This Row],[본교발령시작일자]]="","",DATEDIF(tblRoster[[#This Row],[본교발령시작일자]],TODAY(),"Y"))</f>
        <v>21</v>
      </c>
      <c r="AC51">
        <f ca="1">IF(tblRoster[[#This Row],[최초발령시작일자]]="","",DATEDIF(tblRoster[[#This Row],[최초발령시작일자]],TODAY(),"Y"))</f>
        <v>21</v>
      </c>
      <c r="AD5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51">
        <f ca="1">IF(tblRoster[[#This Row],[직급발령시작일자]]="","",ROUND(YEARFRAC(tblRoster[[#This Row],[직급발령시작일자]],TODAY()),1))</f>
        <v>3.8</v>
      </c>
      <c r="AF5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1">
        <f ca="1">IF(OR(tblRoster[[#This Row],[공무원구분]]&lt;&gt;"공무원",tblRoster[[#This Row],[나이]]=""),"",YEAR(TODAY())+(60-tblRoster[[#This Row],[나이]]))</f>
        <v>2038</v>
      </c>
      <c r="AH51" t="str">
        <f>IF(tblRoster[[#This Row],[직위]]="","일반","보직자")</f>
        <v>일반</v>
      </c>
      <c r="AI5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1" t="str">
        <f ca="1">IF(tblRoster[[#This Row],[복직예정일]]="","",TEXT(tblRoster[[#This Row],[복직예정일]],"yyyy-mm"))</f>
        <v/>
      </c>
      <c r="AM51" t="str">
        <f ca="1">IF(tblRoster[[#This Row],[복직예정일]]="","",tblRoster[[#This Row],[복직예정일]]-TODAY())</f>
        <v/>
      </c>
      <c r="AN51" t="str">
        <f ca="1">IF(tblRoster[[#This Row],[휴직잔여일수]]="","",IF(tblRoster[[#This Row],[휴직잔여일수]]&lt;=180,"6개월내","6개월이후"))</f>
        <v/>
      </c>
      <c r="AO5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2" spans="1:41" x14ac:dyDescent="0.3">
      <c r="A52">
        <v>900050</v>
      </c>
      <c r="B52" t="s">
        <v>242</v>
      </c>
      <c r="C52" t="s">
        <v>8</v>
      </c>
      <c r="D52">
        <v>48</v>
      </c>
      <c r="E52" t="s">
        <v>150</v>
      </c>
      <c r="F52" t="s">
        <v>236</v>
      </c>
      <c r="G52" t="s">
        <v>142</v>
      </c>
      <c r="H52" t="s">
        <v>243</v>
      </c>
      <c r="I52" t="s">
        <v>144</v>
      </c>
      <c r="J52" t="s">
        <v>145</v>
      </c>
      <c r="K52" t="s">
        <v>244</v>
      </c>
      <c r="L52" t="s">
        <v>134</v>
      </c>
      <c r="M52" t="s">
        <v>135</v>
      </c>
      <c r="N52" s="1">
        <v>45078</v>
      </c>
      <c r="O52" s="1">
        <v>45078</v>
      </c>
      <c r="P52" s="1">
        <v>45748</v>
      </c>
      <c r="Q52" s="1">
        <v>45748</v>
      </c>
      <c r="R52">
        <v>3</v>
      </c>
      <c r="T5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52" t="str">
        <f>IF(tblRoster[[#This Row],[급수]]="4급(임기제)","4급",tblRoster[[#This Row],[급수]])</f>
        <v>5급</v>
      </c>
      <c r="V5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5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52" t="str">
        <f>IF(OR(tblRoster[[#This Row],[교직원상세구분]]="사회복무요원",tblRoster[[#This Row],[교직원상세구분]]="인턴(수습)"),"제외","포함")</f>
        <v>포함</v>
      </c>
      <c r="Y52">
        <f>1</f>
        <v>1</v>
      </c>
      <c r="Z52">
        <f>IF(tblRoster[[#This Row],[재직상태구분]]="휴직",1,0)</f>
        <v>0</v>
      </c>
      <c r="AA5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52">
        <f ca="1">IF(tblRoster[[#This Row],[본교발령시작일자]]="","",DATEDIF(tblRoster[[#This Row],[본교발령시작일자]],TODAY(),"Y"))</f>
        <v>3</v>
      </c>
      <c r="AC52">
        <f ca="1">IF(tblRoster[[#This Row],[최초발령시작일자]]="","",DATEDIF(tblRoster[[#This Row],[최초발령시작일자]],TODAY(),"Y"))</f>
        <v>3</v>
      </c>
      <c r="AD5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52">
        <f ca="1">IF(tblRoster[[#This Row],[직급발령시작일자]]="","",ROUND(YEARFRAC(tblRoster[[#This Row],[직급발령시작일자]],TODAY()),1))</f>
        <v>1.4</v>
      </c>
      <c r="AF5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2">
        <f ca="1">IF(OR(tblRoster[[#This Row],[공무원구분]]&lt;&gt;"공무원",tblRoster[[#This Row],[나이]]=""),"",YEAR(TODAY())+(60-tblRoster[[#This Row],[나이]]))</f>
        <v>2038</v>
      </c>
      <c r="AH52" t="str">
        <f>IF(tblRoster[[#This Row],[직위]]="","일반","보직자")</f>
        <v>보직자</v>
      </c>
      <c r="AI5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2" t="str">
        <f ca="1">IF(tblRoster[[#This Row],[복직예정일]]="","",TEXT(tblRoster[[#This Row],[복직예정일]],"yyyy-mm"))</f>
        <v/>
      </c>
      <c r="AM52" t="str">
        <f ca="1">IF(tblRoster[[#This Row],[복직예정일]]="","",tblRoster[[#This Row],[복직예정일]]-TODAY())</f>
        <v/>
      </c>
      <c r="AN52" t="str">
        <f ca="1">IF(tblRoster[[#This Row],[휴직잔여일수]]="","",IF(tblRoster[[#This Row],[휴직잔여일수]]&lt;=180,"6개월내","6개월이후"))</f>
        <v/>
      </c>
      <c r="AO5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3" spans="1:41" x14ac:dyDescent="0.3">
      <c r="A53">
        <v>900051</v>
      </c>
      <c r="B53" t="s">
        <v>245</v>
      </c>
      <c r="C53" t="s">
        <v>8</v>
      </c>
      <c r="D53">
        <v>48</v>
      </c>
      <c r="E53" t="s">
        <v>128</v>
      </c>
      <c r="F53" t="s">
        <v>236</v>
      </c>
      <c r="G53" t="s">
        <v>182</v>
      </c>
      <c r="H53" t="s">
        <v>148</v>
      </c>
      <c r="I53" t="s">
        <v>132</v>
      </c>
      <c r="J53" t="s">
        <v>133</v>
      </c>
      <c r="L53" t="s">
        <v>135</v>
      </c>
      <c r="M53" t="s">
        <v>135</v>
      </c>
      <c r="N53" s="1">
        <v>42370</v>
      </c>
      <c r="O53" s="1">
        <v>42370</v>
      </c>
      <c r="P53" s="1">
        <v>46054</v>
      </c>
      <c r="Q53" s="1">
        <v>46054</v>
      </c>
      <c r="R53">
        <v>12</v>
      </c>
      <c r="T5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53" t="str">
        <f>IF(tblRoster[[#This Row],[급수]]="4급(임기제)","4급",tblRoster[[#This Row],[급수]])</f>
        <v>대학회계계약직</v>
      </c>
      <c r="V5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5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53" t="str">
        <f>IF(OR(tblRoster[[#This Row],[교직원상세구분]]="사회복무요원",tblRoster[[#This Row],[교직원상세구분]]="인턴(수습)"),"제외","포함")</f>
        <v>포함</v>
      </c>
      <c r="Y53">
        <f>1</f>
        <v>1</v>
      </c>
      <c r="Z53">
        <f>IF(tblRoster[[#This Row],[재직상태구분]]="휴직",1,0)</f>
        <v>0</v>
      </c>
      <c r="AA5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53">
        <f ca="1">IF(tblRoster[[#This Row],[본교발령시작일자]]="","",DATEDIF(tblRoster[[#This Row],[본교발령시작일자]],TODAY(),"Y"))</f>
        <v>10</v>
      </c>
      <c r="AC53">
        <f ca="1">IF(tblRoster[[#This Row],[최초발령시작일자]]="","",DATEDIF(tblRoster[[#This Row],[최초발령시작일자]],TODAY(),"Y"))</f>
        <v>10</v>
      </c>
      <c r="AD5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53">
        <f ca="1">IF(tblRoster[[#This Row],[직급발령시작일자]]="","",ROUND(YEARFRAC(tblRoster[[#This Row],[직급발령시작일자]],TODAY()),1))</f>
        <v>0.6</v>
      </c>
      <c r="AF5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3" t="str">
        <f ca="1">IF(OR(tblRoster[[#This Row],[공무원구분]]&lt;&gt;"공무원",tblRoster[[#This Row],[나이]]=""),"",YEAR(TODAY())+(60-tblRoster[[#This Row],[나이]]))</f>
        <v/>
      </c>
      <c r="AH53" t="str">
        <f>IF(tblRoster[[#This Row],[직위]]="","일반","보직자")</f>
        <v>일반</v>
      </c>
      <c r="AI5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3" t="str">
        <f ca="1">IF(tblRoster[[#This Row],[복직예정일]]="","",TEXT(tblRoster[[#This Row],[복직예정일]],"yyyy-mm"))</f>
        <v/>
      </c>
      <c r="AM53" t="str">
        <f ca="1">IF(tblRoster[[#This Row],[복직예정일]]="","",tblRoster[[#This Row],[복직예정일]]-TODAY())</f>
        <v/>
      </c>
      <c r="AN53" t="str">
        <f ca="1">IF(tblRoster[[#This Row],[휴직잔여일수]]="","",IF(tblRoster[[#This Row],[휴직잔여일수]]&lt;=180,"6개월내","6개월이후"))</f>
        <v/>
      </c>
      <c r="AO5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4" spans="1:41" x14ac:dyDescent="0.3">
      <c r="A54">
        <v>900052</v>
      </c>
      <c r="B54" t="s">
        <v>15</v>
      </c>
      <c r="C54" t="s">
        <v>16</v>
      </c>
      <c r="D54">
        <v>41</v>
      </c>
      <c r="E54" t="s">
        <v>128</v>
      </c>
      <c r="F54" t="s">
        <v>246</v>
      </c>
      <c r="G54" t="s">
        <v>207</v>
      </c>
      <c r="H54" t="s">
        <v>219</v>
      </c>
      <c r="I54" t="s">
        <v>144</v>
      </c>
      <c r="J54" t="s">
        <v>145</v>
      </c>
      <c r="L54" t="s">
        <v>134</v>
      </c>
      <c r="M54" t="s">
        <v>135</v>
      </c>
      <c r="N54" s="1">
        <v>44866</v>
      </c>
      <c r="O54" s="1">
        <v>44866</v>
      </c>
      <c r="P54" s="1">
        <v>46023</v>
      </c>
      <c r="Q54" s="1">
        <v>46023</v>
      </c>
      <c r="R54">
        <v>5</v>
      </c>
      <c r="S54" t="s">
        <v>247</v>
      </c>
      <c r="T5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54" t="str">
        <f>IF(tblRoster[[#This Row],[급수]]="4급(임기제)","4급",tblRoster[[#This Row],[급수]])</f>
        <v>8급</v>
      </c>
      <c r="V5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5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54" t="str">
        <f>IF(OR(tblRoster[[#This Row],[교직원상세구분]]="사회복무요원",tblRoster[[#This Row],[교직원상세구분]]="인턴(수습)"),"제외","포함")</f>
        <v>포함</v>
      </c>
      <c r="Y54">
        <f>1</f>
        <v>1</v>
      </c>
      <c r="Z54">
        <f>IF(tblRoster[[#This Row],[재직상태구분]]="휴직",1,0)</f>
        <v>1</v>
      </c>
      <c r="AA5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54">
        <f ca="1">IF(tblRoster[[#This Row],[본교발령시작일자]]="","",DATEDIF(tblRoster[[#This Row],[본교발령시작일자]],TODAY(),"Y"))</f>
        <v>3</v>
      </c>
      <c r="AC54">
        <f ca="1">IF(tblRoster[[#This Row],[최초발령시작일자]]="","",DATEDIF(tblRoster[[#This Row],[최초발령시작일자]],TODAY(),"Y"))</f>
        <v>3</v>
      </c>
      <c r="AD5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54">
        <f ca="1">IF(tblRoster[[#This Row],[직급발령시작일자]]="","",ROUND(YEARFRAC(tblRoster[[#This Row],[직급발령시작일자]],TODAY()),1))</f>
        <v>0.7</v>
      </c>
      <c r="AF5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4">
        <f ca="1">IF(OR(tblRoster[[#This Row],[공무원구분]]&lt;&gt;"공무원",tblRoster[[#This Row],[나이]]=""),"",YEAR(TODAY())+(60-tblRoster[[#This Row],[나이]]))</f>
        <v>2045</v>
      </c>
      <c r="AH54" t="str">
        <f>IF(tblRoster[[#This Row],[직위]]="","일반","보직자")</f>
        <v>일반</v>
      </c>
      <c r="AI54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46164</v>
      </c>
      <c r="AJ5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54" s="1">
        <f ca="1">IF(tblRoster[[#This Row],[현재휴직시작일]]="","",IFERROR(INDEX(tblLeave[종료일],MATCH(tblRoster[[#This Row],[교직원번호]]&amp;"|"&amp;tblRoster[[#This Row],[현재휴직시작일]],tblLeave[매칭키],0)),""))</f>
        <v>46529</v>
      </c>
      <c r="AL54" t="str">
        <f ca="1">IF(tblRoster[[#This Row],[복직예정일]]="","",TEXT(tblRoster[[#This Row],[복직예정일]],"yyyy-mm"))</f>
        <v>2027-05</v>
      </c>
      <c r="AM54">
        <f ca="1">IF(tblRoster[[#This Row],[복직예정일]]="","",tblRoster[[#This Row],[복직예정일]]-TODAY())</f>
        <v>257</v>
      </c>
      <c r="AN54" t="str">
        <f ca="1">IF(tblRoster[[#This Row],[휴직잔여일수]]="","",IF(tblRoster[[#This Row],[휴직잔여일수]]&lt;=180,"6개월내","6개월이후"))</f>
        <v>6개월이후</v>
      </c>
      <c r="AO5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5" spans="1:41" x14ac:dyDescent="0.3">
      <c r="A55">
        <v>900053</v>
      </c>
      <c r="B55" t="s">
        <v>248</v>
      </c>
      <c r="C55" t="s">
        <v>8</v>
      </c>
      <c r="D55">
        <v>26</v>
      </c>
      <c r="E55" t="s">
        <v>128</v>
      </c>
      <c r="F55" t="s">
        <v>168</v>
      </c>
      <c r="G55" t="s">
        <v>182</v>
      </c>
      <c r="H55" t="s">
        <v>238</v>
      </c>
      <c r="I55" t="s">
        <v>239</v>
      </c>
      <c r="J55" t="s">
        <v>133</v>
      </c>
      <c r="L55" t="s">
        <v>134</v>
      </c>
      <c r="M55" t="s">
        <v>135</v>
      </c>
      <c r="N55" s="1">
        <v>45748</v>
      </c>
      <c r="O55" s="1">
        <v>45809</v>
      </c>
      <c r="P55" s="1">
        <v>45809</v>
      </c>
      <c r="Q55" s="1">
        <v>45809</v>
      </c>
      <c r="R55">
        <v>1</v>
      </c>
      <c r="T5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55" t="str">
        <f>IF(tblRoster[[#This Row],[급수]]="4급(임기제)","4급",tblRoster[[#This Row],[급수]])</f>
        <v>대학회계직</v>
      </c>
      <c r="V5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5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55" t="str">
        <f>IF(OR(tblRoster[[#This Row],[교직원상세구분]]="사회복무요원",tblRoster[[#This Row],[교직원상세구분]]="인턴(수습)"),"제외","포함")</f>
        <v>포함</v>
      </c>
      <c r="Y55">
        <f>1</f>
        <v>1</v>
      </c>
      <c r="Z55">
        <f>IF(tblRoster[[#This Row],[재직상태구분]]="휴직",1,0)</f>
        <v>0</v>
      </c>
      <c r="AA5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55">
        <f ca="1">IF(tblRoster[[#This Row],[본교발령시작일자]]="","",DATEDIF(tblRoster[[#This Row],[본교발령시작일자]],TODAY(),"Y"))</f>
        <v>1</v>
      </c>
      <c r="AC55">
        <f ca="1">IF(tblRoster[[#This Row],[최초발령시작일자]]="","",DATEDIF(tblRoster[[#This Row],[최초발령시작일자]],TODAY(),"Y"))</f>
        <v>1</v>
      </c>
      <c r="AD5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55">
        <f ca="1">IF(tblRoster[[#This Row],[직급발령시작일자]]="","",ROUND(YEARFRAC(tblRoster[[#This Row],[직급발령시작일자]],TODAY()),1))</f>
        <v>1.3</v>
      </c>
      <c r="AF5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5" t="str">
        <f ca="1">IF(OR(tblRoster[[#This Row],[공무원구분]]&lt;&gt;"공무원",tblRoster[[#This Row],[나이]]=""),"",YEAR(TODAY())+(60-tblRoster[[#This Row],[나이]]))</f>
        <v/>
      </c>
      <c r="AH55" t="str">
        <f>IF(tblRoster[[#This Row],[직위]]="","일반","보직자")</f>
        <v>일반</v>
      </c>
      <c r="AI5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5" t="str">
        <f ca="1">IF(tblRoster[[#This Row],[복직예정일]]="","",TEXT(tblRoster[[#This Row],[복직예정일]],"yyyy-mm"))</f>
        <v/>
      </c>
      <c r="AM55" t="str">
        <f ca="1">IF(tblRoster[[#This Row],[복직예정일]]="","",tblRoster[[#This Row],[복직예정일]]-TODAY())</f>
        <v/>
      </c>
      <c r="AN55" t="str">
        <f ca="1">IF(tblRoster[[#This Row],[휴직잔여일수]]="","",IF(tblRoster[[#This Row],[휴직잔여일수]]&lt;=180,"6개월내","6개월이후"))</f>
        <v/>
      </c>
      <c r="AO5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6" spans="1:41" x14ac:dyDescent="0.3">
      <c r="A56">
        <v>900054</v>
      </c>
      <c r="B56" t="s">
        <v>18</v>
      </c>
      <c r="C56" t="s">
        <v>16</v>
      </c>
      <c r="D56">
        <v>52</v>
      </c>
      <c r="E56" t="s">
        <v>128</v>
      </c>
      <c r="F56" t="s">
        <v>216</v>
      </c>
      <c r="G56" t="s">
        <v>211</v>
      </c>
      <c r="H56" t="s">
        <v>163</v>
      </c>
      <c r="I56" t="s">
        <v>144</v>
      </c>
      <c r="J56" t="s">
        <v>145</v>
      </c>
      <c r="L56" t="s">
        <v>134</v>
      </c>
      <c r="M56" t="s">
        <v>135</v>
      </c>
      <c r="N56" s="1">
        <v>41548</v>
      </c>
      <c r="O56" s="1">
        <v>45658</v>
      </c>
      <c r="P56" s="1">
        <v>45658</v>
      </c>
      <c r="Q56" s="1">
        <v>45658</v>
      </c>
      <c r="S56" t="s">
        <v>249</v>
      </c>
      <c r="T5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56" t="str">
        <f>IF(tblRoster[[#This Row],[급수]]="4급(임기제)","4급",tblRoster[[#This Row],[급수]])</f>
        <v>6급</v>
      </c>
      <c r="V5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5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56" t="str">
        <f>IF(OR(tblRoster[[#This Row],[교직원상세구분]]="사회복무요원",tblRoster[[#This Row],[교직원상세구분]]="인턴(수습)"),"제외","포함")</f>
        <v>포함</v>
      </c>
      <c r="Y56">
        <f>1</f>
        <v>1</v>
      </c>
      <c r="Z56">
        <f>IF(tblRoster[[#This Row],[재직상태구분]]="휴직",1,0)</f>
        <v>1</v>
      </c>
      <c r="AA5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56">
        <f ca="1">IF(tblRoster[[#This Row],[본교발령시작일자]]="","",DATEDIF(tblRoster[[#This Row],[본교발령시작일자]],TODAY(),"Y"))</f>
        <v>1</v>
      </c>
      <c r="AC56">
        <f ca="1">IF(tblRoster[[#This Row],[최초발령시작일자]]="","",DATEDIF(tblRoster[[#This Row],[최초발령시작일자]],TODAY(),"Y"))</f>
        <v>12</v>
      </c>
      <c r="AD5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56">
        <f ca="1">IF(tblRoster[[#This Row],[직급발령시작일자]]="","",ROUND(YEARFRAC(tblRoster[[#This Row],[직급발령시작일자]],TODAY()),1))</f>
        <v>1.7</v>
      </c>
      <c r="AF5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6">
        <f ca="1">IF(OR(tblRoster[[#This Row],[공무원구분]]&lt;&gt;"공무원",tblRoster[[#This Row],[나이]]=""),"",YEAR(TODAY())+(60-tblRoster[[#This Row],[나이]]))</f>
        <v>2034</v>
      </c>
      <c r="AH56" t="str">
        <f>IF(tblRoster[[#This Row],[직위]]="","일반","보직자")</f>
        <v>일반</v>
      </c>
      <c r="AI56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46159</v>
      </c>
      <c r="AJ5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56" s="1">
        <f ca="1">IF(tblRoster[[#This Row],[현재휴직시작일]]="","",IFERROR(INDEX(tblLeave[종료일],MATCH(tblRoster[[#This Row],[교직원번호]]&amp;"|"&amp;tblRoster[[#This Row],[현재휴직시작일]],tblLeave[매칭키],0)),""))</f>
        <v>46524</v>
      </c>
      <c r="AL56" t="str">
        <f ca="1">IF(tblRoster[[#This Row],[복직예정일]]="","",TEXT(tblRoster[[#This Row],[복직예정일]],"yyyy-mm"))</f>
        <v>2027-05</v>
      </c>
      <c r="AM56">
        <f ca="1">IF(tblRoster[[#This Row],[복직예정일]]="","",tblRoster[[#This Row],[복직예정일]]-TODAY())</f>
        <v>252</v>
      </c>
      <c r="AN56" t="str">
        <f ca="1">IF(tblRoster[[#This Row],[휴직잔여일수]]="","",IF(tblRoster[[#This Row],[휴직잔여일수]]&lt;=180,"6개월내","6개월이후"))</f>
        <v>6개월이후</v>
      </c>
      <c r="AO5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7" spans="1:41" x14ac:dyDescent="0.3">
      <c r="A57">
        <v>900055</v>
      </c>
      <c r="B57" t="s">
        <v>250</v>
      </c>
      <c r="C57" t="s">
        <v>8</v>
      </c>
      <c r="D57">
        <v>45</v>
      </c>
      <c r="E57" t="s">
        <v>128</v>
      </c>
      <c r="F57" t="s">
        <v>154</v>
      </c>
      <c r="G57" t="s">
        <v>207</v>
      </c>
      <c r="H57" t="s">
        <v>163</v>
      </c>
      <c r="I57" t="s">
        <v>144</v>
      </c>
      <c r="J57" t="s">
        <v>145</v>
      </c>
      <c r="L57" t="s">
        <v>134</v>
      </c>
      <c r="M57" t="s">
        <v>135</v>
      </c>
      <c r="N57" s="1">
        <v>45413</v>
      </c>
      <c r="O57" s="1">
        <v>45413</v>
      </c>
      <c r="P57" s="1">
        <v>45413</v>
      </c>
      <c r="Q57" s="1">
        <v>45413</v>
      </c>
      <c r="R57">
        <v>4</v>
      </c>
      <c r="T5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57" t="str">
        <f>IF(tblRoster[[#This Row],[급수]]="4급(임기제)","4급",tblRoster[[#This Row],[급수]])</f>
        <v>6급</v>
      </c>
      <c r="V5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5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57" t="str">
        <f>IF(OR(tblRoster[[#This Row],[교직원상세구분]]="사회복무요원",tblRoster[[#This Row],[교직원상세구분]]="인턴(수습)"),"제외","포함")</f>
        <v>포함</v>
      </c>
      <c r="Y57">
        <f>1</f>
        <v>1</v>
      </c>
      <c r="Z57">
        <f>IF(tblRoster[[#This Row],[재직상태구분]]="휴직",1,0)</f>
        <v>0</v>
      </c>
      <c r="AA5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57">
        <f ca="1">IF(tblRoster[[#This Row],[본교발령시작일자]]="","",DATEDIF(tblRoster[[#This Row],[본교발령시작일자]],TODAY(),"Y"))</f>
        <v>2</v>
      </c>
      <c r="AC57">
        <f ca="1">IF(tblRoster[[#This Row],[최초발령시작일자]]="","",DATEDIF(tblRoster[[#This Row],[최초발령시작일자]],TODAY(),"Y"))</f>
        <v>2</v>
      </c>
      <c r="AD5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57">
        <f ca="1">IF(tblRoster[[#This Row],[직급발령시작일자]]="","",ROUND(YEARFRAC(tblRoster[[#This Row],[직급발령시작일자]],TODAY()),1))</f>
        <v>2.4</v>
      </c>
      <c r="AF5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7">
        <f ca="1">IF(OR(tblRoster[[#This Row],[공무원구분]]&lt;&gt;"공무원",tblRoster[[#This Row],[나이]]=""),"",YEAR(TODAY())+(60-tblRoster[[#This Row],[나이]]))</f>
        <v>2041</v>
      </c>
      <c r="AH57" t="str">
        <f>IF(tblRoster[[#This Row],[직위]]="","일반","보직자")</f>
        <v>일반</v>
      </c>
      <c r="AI5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7" t="str">
        <f ca="1">IF(tblRoster[[#This Row],[복직예정일]]="","",TEXT(tblRoster[[#This Row],[복직예정일]],"yyyy-mm"))</f>
        <v/>
      </c>
      <c r="AM57" t="str">
        <f ca="1">IF(tblRoster[[#This Row],[복직예정일]]="","",tblRoster[[#This Row],[복직예정일]]-TODAY())</f>
        <v/>
      </c>
      <c r="AN57" t="str">
        <f ca="1">IF(tblRoster[[#This Row],[휴직잔여일수]]="","",IF(tblRoster[[#This Row],[휴직잔여일수]]&lt;=180,"6개월내","6개월이후"))</f>
        <v/>
      </c>
      <c r="AO5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8" spans="1:41" x14ac:dyDescent="0.3">
      <c r="A58">
        <v>900056</v>
      </c>
      <c r="B58" t="s">
        <v>19</v>
      </c>
      <c r="C58" t="s">
        <v>8</v>
      </c>
      <c r="D58">
        <v>51</v>
      </c>
      <c r="E58" t="s">
        <v>150</v>
      </c>
      <c r="F58" t="s">
        <v>147</v>
      </c>
      <c r="G58" t="s">
        <v>222</v>
      </c>
      <c r="H58" t="s">
        <v>163</v>
      </c>
      <c r="I58" t="s">
        <v>144</v>
      </c>
      <c r="J58" t="s">
        <v>145</v>
      </c>
      <c r="L58" t="s">
        <v>135</v>
      </c>
      <c r="M58" t="s">
        <v>135</v>
      </c>
      <c r="N58" s="1">
        <v>41275</v>
      </c>
      <c r="O58" s="1">
        <v>41275</v>
      </c>
      <c r="P58" s="1">
        <v>41395</v>
      </c>
      <c r="Q58" s="1">
        <v>41395</v>
      </c>
      <c r="R58">
        <v>13</v>
      </c>
      <c r="S58" t="s">
        <v>251</v>
      </c>
      <c r="T5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58" t="str">
        <f>IF(tblRoster[[#This Row],[급수]]="4급(임기제)","4급",tblRoster[[#This Row],[급수]])</f>
        <v>6급</v>
      </c>
      <c r="V5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5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58" t="str">
        <f>IF(OR(tblRoster[[#This Row],[교직원상세구분]]="사회복무요원",tblRoster[[#This Row],[교직원상세구분]]="인턴(수습)"),"제외","포함")</f>
        <v>포함</v>
      </c>
      <c r="Y58">
        <f>1</f>
        <v>1</v>
      </c>
      <c r="Z58">
        <f>IF(tblRoster[[#This Row],[재직상태구분]]="휴직",1,0)</f>
        <v>0</v>
      </c>
      <c r="AA5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58">
        <f ca="1">IF(tblRoster[[#This Row],[본교발령시작일자]]="","",DATEDIF(tblRoster[[#This Row],[본교발령시작일자]],TODAY(),"Y"))</f>
        <v>13</v>
      </c>
      <c r="AC58">
        <f ca="1">IF(tblRoster[[#This Row],[최초발령시작일자]]="","",DATEDIF(tblRoster[[#This Row],[최초발령시작일자]],TODAY(),"Y"))</f>
        <v>13</v>
      </c>
      <c r="AD5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58">
        <f ca="1">IF(tblRoster[[#This Row],[직급발령시작일자]]="","",ROUND(YEARFRAC(tblRoster[[#This Row],[직급발령시작일자]],TODAY()),1))</f>
        <v>13.4</v>
      </c>
      <c r="AF5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58">
        <f ca="1">IF(OR(tblRoster[[#This Row],[공무원구분]]&lt;&gt;"공무원",tblRoster[[#This Row],[나이]]=""),"",YEAR(TODAY())+(60-tblRoster[[#This Row],[나이]]))</f>
        <v>2035</v>
      </c>
      <c r="AH58" t="str">
        <f>IF(tblRoster[[#This Row],[직위]]="","일반","보직자")</f>
        <v>일반</v>
      </c>
      <c r="AI5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5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5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58" t="str">
        <f ca="1">IF(tblRoster[[#This Row],[복직예정일]]="","",TEXT(tblRoster[[#This Row],[복직예정일]],"yyyy-mm"))</f>
        <v/>
      </c>
      <c r="AM58" t="str">
        <f ca="1">IF(tblRoster[[#This Row],[복직예정일]]="","",tblRoster[[#This Row],[복직예정일]]-TODAY())</f>
        <v/>
      </c>
      <c r="AN58" t="str">
        <f ca="1">IF(tblRoster[[#This Row],[휴직잔여일수]]="","",IF(tblRoster[[#This Row],[휴직잔여일수]]&lt;=180,"6개월내","6개월이후"))</f>
        <v/>
      </c>
      <c r="AO5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59" spans="1:41" x14ac:dyDescent="0.3">
      <c r="A59">
        <v>900057</v>
      </c>
      <c r="B59" t="s">
        <v>20</v>
      </c>
      <c r="C59" t="s">
        <v>16</v>
      </c>
      <c r="D59">
        <v>43</v>
      </c>
      <c r="E59" t="s">
        <v>150</v>
      </c>
      <c r="F59" t="s">
        <v>158</v>
      </c>
      <c r="G59" t="s">
        <v>138</v>
      </c>
      <c r="H59" t="s">
        <v>252</v>
      </c>
      <c r="I59" t="s">
        <v>132</v>
      </c>
      <c r="J59" t="s">
        <v>133</v>
      </c>
      <c r="L59" t="s">
        <v>135</v>
      </c>
      <c r="M59" t="s">
        <v>135</v>
      </c>
      <c r="N59" s="1">
        <v>44986</v>
      </c>
      <c r="O59" s="1">
        <v>44986</v>
      </c>
      <c r="P59" s="1">
        <v>45717</v>
      </c>
      <c r="Q59" s="1">
        <v>45717</v>
      </c>
      <c r="R59">
        <v>5</v>
      </c>
      <c r="S59" t="s">
        <v>253</v>
      </c>
      <c r="T5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59" t="str">
        <f>IF(tblRoster[[#This Row],[급수]]="4급(임기제)","4급",tblRoster[[#This Row],[급수]])</f>
        <v>대학회계계약직</v>
      </c>
      <c r="V5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5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59" t="str">
        <f>IF(OR(tblRoster[[#This Row],[교직원상세구분]]="사회복무요원",tblRoster[[#This Row],[교직원상세구분]]="인턴(수습)"),"제외","포함")</f>
        <v>포함</v>
      </c>
      <c r="Y59">
        <f>1</f>
        <v>1</v>
      </c>
      <c r="Z59">
        <f>IF(tblRoster[[#This Row],[재직상태구분]]="휴직",1,0)</f>
        <v>1</v>
      </c>
      <c r="AA5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59">
        <f ca="1">IF(tblRoster[[#This Row],[본교발령시작일자]]="","",DATEDIF(tblRoster[[#This Row],[본교발령시작일자]],TODAY(),"Y"))</f>
        <v>3</v>
      </c>
      <c r="AC59">
        <f ca="1">IF(tblRoster[[#This Row],[최초발령시작일자]]="","",DATEDIF(tblRoster[[#This Row],[최초발령시작일자]],TODAY(),"Y"))</f>
        <v>3</v>
      </c>
      <c r="AD5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59">
        <f ca="1">IF(tblRoster[[#This Row],[직급발령시작일자]]="","",ROUND(YEARFRAC(tblRoster[[#This Row],[직급발령시작일자]],TODAY()),1))</f>
        <v>1.5</v>
      </c>
      <c r="AF5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59" t="str">
        <f ca="1">IF(OR(tblRoster[[#This Row],[공무원구분]]&lt;&gt;"공무원",tblRoster[[#This Row],[나이]]=""),"",YEAR(TODAY())+(60-tblRoster[[#This Row],[나이]]))</f>
        <v/>
      </c>
      <c r="AH59" t="str">
        <f>IF(tblRoster[[#This Row],[직위]]="","일반","보직자")</f>
        <v>일반</v>
      </c>
      <c r="AI59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46253</v>
      </c>
      <c r="AJ5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연수휴직</v>
      </c>
      <c r="AK59" s="1">
        <f ca="1">IF(tblRoster[[#This Row],[현재휴직시작일]]="","",IFERROR(INDEX(tblLeave[종료일],MATCH(tblRoster[[#This Row],[교직원번호]]&amp;"|"&amp;tblRoster[[#This Row],[현재휴직시작일]],tblLeave[매칭키],0)),""))</f>
        <v>46618</v>
      </c>
      <c r="AL59" t="str">
        <f ca="1">IF(tblRoster[[#This Row],[복직예정일]]="","",TEXT(tblRoster[[#This Row],[복직예정일]],"yyyy-mm"))</f>
        <v>2027-08</v>
      </c>
      <c r="AM59">
        <f ca="1">IF(tblRoster[[#This Row],[복직예정일]]="","",tblRoster[[#This Row],[복직예정일]]-TODAY())</f>
        <v>346</v>
      </c>
      <c r="AN59" t="str">
        <f ca="1">IF(tblRoster[[#This Row],[휴직잔여일수]]="","",IF(tblRoster[[#This Row],[휴직잔여일수]]&lt;=180,"6개월내","6개월이후"))</f>
        <v>6개월이후</v>
      </c>
      <c r="AO5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0" spans="1:41" x14ac:dyDescent="0.3">
      <c r="A60">
        <v>900058</v>
      </c>
      <c r="B60" t="s">
        <v>254</v>
      </c>
      <c r="C60" t="s">
        <v>8</v>
      </c>
      <c r="D60">
        <v>36</v>
      </c>
      <c r="E60" t="s">
        <v>150</v>
      </c>
      <c r="F60" t="s">
        <v>158</v>
      </c>
      <c r="G60" t="s">
        <v>151</v>
      </c>
      <c r="H60" t="s">
        <v>180</v>
      </c>
      <c r="I60" t="s">
        <v>144</v>
      </c>
      <c r="J60" t="s">
        <v>145</v>
      </c>
      <c r="L60" t="s">
        <v>134</v>
      </c>
      <c r="M60" t="s">
        <v>135</v>
      </c>
      <c r="N60" s="1">
        <v>43862</v>
      </c>
      <c r="O60" s="1">
        <v>43862</v>
      </c>
      <c r="P60" s="1">
        <v>45413</v>
      </c>
      <c r="Q60" s="1">
        <v>45413</v>
      </c>
      <c r="R60">
        <v>6</v>
      </c>
      <c r="T6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60" t="str">
        <f>IF(tblRoster[[#This Row],[급수]]="4급(임기제)","4급",tblRoster[[#This Row],[급수]])</f>
        <v>7급</v>
      </c>
      <c r="V6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6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0" t="str">
        <f>IF(OR(tblRoster[[#This Row],[교직원상세구분]]="사회복무요원",tblRoster[[#This Row],[교직원상세구분]]="인턴(수습)"),"제외","포함")</f>
        <v>포함</v>
      </c>
      <c r="Y60">
        <f>1</f>
        <v>1</v>
      </c>
      <c r="Z60">
        <f>IF(tblRoster[[#This Row],[재직상태구분]]="휴직",1,0)</f>
        <v>0</v>
      </c>
      <c r="AA6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60">
        <f ca="1">IF(tblRoster[[#This Row],[본교발령시작일자]]="","",DATEDIF(tblRoster[[#This Row],[본교발령시작일자]],TODAY(),"Y"))</f>
        <v>6</v>
      </c>
      <c r="AC60">
        <f ca="1">IF(tblRoster[[#This Row],[최초발령시작일자]]="","",DATEDIF(tblRoster[[#This Row],[최초발령시작일자]],TODAY(),"Y"))</f>
        <v>6</v>
      </c>
      <c r="AD6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60">
        <f ca="1">IF(tblRoster[[#This Row],[직급발령시작일자]]="","",ROUND(YEARFRAC(tblRoster[[#This Row],[직급발령시작일자]],TODAY()),1))</f>
        <v>2.4</v>
      </c>
      <c r="AF6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0">
        <f ca="1">IF(OR(tblRoster[[#This Row],[공무원구분]]&lt;&gt;"공무원",tblRoster[[#This Row],[나이]]=""),"",YEAR(TODAY())+(60-tblRoster[[#This Row],[나이]]))</f>
        <v>2050</v>
      </c>
      <c r="AH60" t="str">
        <f>IF(tblRoster[[#This Row],[직위]]="","일반","보직자")</f>
        <v>일반</v>
      </c>
      <c r="AI6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0" t="str">
        <f ca="1">IF(tblRoster[[#This Row],[복직예정일]]="","",TEXT(tblRoster[[#This Row],[복직예정일]],"yyyy-mm"))</f>
        <v/>
      </c>
      <c r="AM60" t="str">
        <f ca="1">IF(tblRoster[[#This Row],[복직예정일]]="","",tblRoster[[#This Row],[복직예정일]]-TODAY())</f>
        <v/>
      </c>
      <c r="AN60" t="str">
        <f ca="1">IF(tblRoster[[#This Row],[휴직잔여일수]]="","",IF(tblRoster[[#This Row],[휴직잔여일수]]&lt;=180,"6개월내","6개월이후"))</f>
        <v/>
      </c>
      <c r="AO6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1" spans="1:41" x14ac:dyDescent="0.3">
      <c r="A61">
        <v>900059</v>
      </c>
      <c r="B61" t="s">
        <v>255</v>
      </c>
      <c r="C61" t="s">
        <v>8</v>
      </c>
      <c r="D61">
        <v>51</v>
      </c>
      <c r="E61" t="s">
        <v>128</v>
      </c>
      <c r="F61" t="s">
        <v>129</v>
      </c>
      <c r="G61" t="s">
        <v>142</v>
      </c>
      <c r="H61" t="s">
        <v>200</v>
      </c>
      <c r="I61" t="s">
        <v>144</v>
      </c>
      <c r="J61" t="s">
        <v>145</v>
      </c>
      <c r="L61" t="s">
        <v>134</v>
      </c>
      <c r="M61" t="s">
        <v>135</v>
      </c>
      <c r="N61" s="1">
        <v>36647</v>
      </c>
      <c r="O61" s="1">
        <v>36647</v>
      </c>
      <c r="P61" s="1">
        <v>43983</v>
      </c>
      <c r="Q61" s="1">
        <v>43983</v>
      </c>
      <c r="R61">
        <v>28</v>
      </c>
      <c r="T6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61" t="str">
        <f>IF(tblRoster[[#This Row],[급수]]="4급(임기제)","4급",tblRoster[[#This Row],[급수]])</f>
        <v>5급</v>
      </c>
      <c r="V6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6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1" t="str">
        <f>IF(OR(tblRoster[[#This Row],[교직원상세구분]]="사회복무요원",tblRoster[[#This Row],[교직원상세구분]]="인턴(수습)"),"제외","포함")</f>
        <v>포함</v>
      </c>
      <c r="Y61">
        <f>1</f>
        <v>1</v>
      </c>
      <c r="Z61">
        <f>IF(tblRoster[[#This Row],[재직상태구분]]="휴직",1,0)</f>
        <v>0</v>
      </c>
      <c r="AA6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61">
        <f ca="1">IF(tblRoster[[#This Row],[본교발령시작일자]]="","",DATEDIF(tblRoster[[#This Row],[본교발령시작일자]],TODAY(),"Y"))</f>
        <v>26</v>
      </c>
      <c r="AC61">
        <f ca="1">IF(tblRoster[[#This Row],[최초발령시작일자]]="","",DATEDIF(tblRoster[[#This Row],[최초발령시작일자]],TODAY(),"Y"))</f>
        <v>26</v>
      </c>
      <c r="AD6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61">
        <f ca="1">IF(tblRoster[[#This Row],[직급발령시작일자]]="","",ROUND(YEARFRAC(tblRoster[[#This Row],[직급발령시작일자]],TODAY()),1))</f>
        <v>6.3</v>
      </c>
      <c r="AF6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61">
        <f ca="1">IF(OR(tblRoster[[#This Row],[공무원구분]]&lt;&gt;"공무원",tblRoster[[#This Row],[나이]]=""),"",YEAR(TODAY())+(60-tblRoster[[#This Row],[나이]]))</f>
        <v>2035</v>
      </c>
      <c r="AH61" t="str">
        <f>IF(tblRoster[[#This Row],[직위]]="","일반","보직자")</f>
        <v>일반</v>
      </c>
      <c r="AI6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1" t="str">
        <f ca="1">IF(tblRoster[[#This Row],[복직예정일]]="","",TEXT(tblRoster[[#This Row],[복직예정일]],"yyyy-mm"))</f>
        <v/>
      </c>
      <c r="AM61" t="str">
        <f ca="1">IF(tblRoster[[#This Row],[복직예정일]]="","",tblRoster[[#This Row],[복직예정일]]-TODAY())</f>
        <v/>
      </c>
      <c r="AN61" t="str">
        <f ca="1">IF(tblRoster[[#This Row],[휴직잔여일수]]="","",IF(tblRoster[[#This Row],[휴직잔여일수]]&lt;=180,"6개월내","6개월이후"))</f>
        <v/>
      </c>
      <c r="AO6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2" spans="1:41" x14ac:dyDescent="0.3">
      <c r="A62">
        <v>900060</v>
      </c>
      <c r="B62" t="s">
        <v>256</v>
      </c>
      <c r="C62" t="s">
        <v>8</v>
      </c>
      <c r="D62">
        <v>50</v>
      </c>
      <c r="E62" t="s">
        <v>150</v>
      </c>
      <c r="F62" t="s">
        <v>129</v>
      </c>
      <c r="G62" t="s">
        <v>169</v>
      </c>
      <c r="H62" t="s">
        <v>200</v>
      </c>
      <c r="I62" t="s">
        <v>144</v>
      </c>
      <c r="J62" t="s">
        <v>145</v>
      </c>
      <c r="L62" t="s">
        <v>134</v>
      </c>
      <c r="M62" t="s">
        <v>135</v>
      </c>
      <c r="N62" s="1">
        <v>43922</v>
      </c>
      <c r="O62" s="1">
        <v>43922</v>
      </c>
      <c r="P62" s="1">
        <v>43922</v>
      </c>
      <c r="Q62" s="1">
        <v>43922</v>
      </c>
      <c r="R62">
        <v>6</v>
      </c>
      <c r="T6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62" t="str">
        <f>IF(tblRoster[[#This Row],[급수]]="4급(임기제)","4급",tblRoster[[#This Row],[급수]])</f>
        <v>5급</v>
      </c>
      <c r="V6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6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2" t="str">
        <f>IF(OR(tblRoster[[#This Row],[교직원상세구분]]="사회복무요원",tblRoster[[#This Row],[교직원상세구분]]="인턴(수습)"),"제외","포함")</f>
        <v>포함</v>
      </c>
      <c r="Y62">
        <f>1</f>
        <v>1</v>
      </c>
      <c r="Z62">
        <f>IF(tblRoster[[#This Row],[재직상태구분]]="휴직",1,0)</f>
        <v>0</v>
      </c>
      <c r="AA6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62">
        <f ca="1">IF(tblRoster[[#This Row],[본교발령시작일자]]="","",DATEDIF(tblRoster[[#This Row],[본교발령시작일자]],TODAY(),"Y"))</f>
        <v>6</v>
      </c>
      <c r="AC62">
        <f ca="1">IF(tblRoster[[#This Row],[최초발령시작일자]]="","",DATEDIF(tblRoster[[#This Row],[최초발령시작일자]],TODAY(),"Y"))</f>
        <v>6</v>
      </c>
      <c r="AD6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62">
        <f ca="1">IF(tblRoster[[#This Row],[직급발령시작일자]]="","",ROUND(YEARFRAC(tblRoster[[#This Row],[직급발령시작일자]],TODAY()),1))</f>
        <v>6.4</v>
      </c>
      <c r="AF6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62">
        <f ca="1">IF(OR(tblRoster[[#This Row],[공무원구분]]&lt;&gt;"공무원",tblRoster[[#This Row],[나이]]=""),"",YEAR(TODAY())+(60-tblRoster[[#This Row],[나이]]))</f>
        <v>2036</v>
      </c>
      <c r="AH62" t="str">
        <f>IF(tblRoster[[#This Row],[직위]]="","일반","보직자")</f>
        <v>일반</v>
      </c>
      <c r="AI6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2" t="str">
        <f ca="1">IF(tblRoster[[#This Row],[복직예정일]]="","",TEXT(tblRoster[[#This Row],[복직예정일]],"yyyy-mm"))</f>
        <v/>
      </c>
      <c r="AM62" t="str">
        <f ca="1">IF(tblRoster[[#This Row],[복직예정일]]="","",tblRoster[[#This Row],[복직예정일]]-TODAY())</f>
        <v/>
      </c>
      <c r="AN62" t="str">
        <f ca="1">IF(tblRoster[[#This Row],[휴직잔여일수]]="","",IF(tblRoster[[#This Row],[휴직잔여일수]]&lt;=180,"6개월내","6개월이후"))</f>
        <v/>
      </c>
      <c r="AO6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3" spans="1:41" x14ac:dyDescent="0.3">
      <c r="A63">
        <v>900061</v>
      </c>
      <c r="B63" t="s">
        <v>257</v>
      </c>
      <c r="C63" t="s">
        <v>8</v>
      </c>
      <c r="D63">
        <v>36</v>
      </c>
      <c r="E63" t="s">
        <v>150</v>
      </c>
      <c r="F63" t="s">
        <v>184</v>
      </c>
      <c r="G63" t="s">
        <v>151</v>
      </c>
      <c r="H63" t="s">
        <v>163</v>
      </c>
      <c r="I63" t="s">
        <v>144</v>
      </c>
      <c r="J63" t="s">
        <v>145</v>
      </c>
      <c r="L63" t="s">
        <v>134</v>
      </c>
      <c r="M63" t="s">
        <v>135</v>
      </c>
      <c r="N63" s="1">
        <v>41699</v>
      </c>
      <c r="O63" s="1">
        <v>45658</v>
      </c>
      <c r="P63" s="1">
        <v>45658</v>
      </c>
      <c r="Q63" s="1">
        <v>45658</v>
      </c>
      <c r="T6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63" t="str">
        <f>IF(tblRoster[[#This Row],[급수]]="4급(임기제)","4급",tblRoster[[#This Row],[급수]])</f>
        <v>6급</v>
      </c>
      <c r="V6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6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3" t="str">
        <f>IF(OR(tblRoster[[#This Row],[교직원상세구분]]="사회복무요원",tblRoster[[#This Row],[교직원상세구분]]="인턴(수습)"),"제외","포함")</f>
        <v>포함</v>
      </c>
      <c r="Y63">
        <f>1</f>
        <v>1</v>
      </c>
      <c r="Z63">
        <f>IF(tblRoster[[#This Row],[재직상태구분]]="휴직",1,0)</f>
        <v>0</v>
      </c>
      <c r="AA6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63">
        <f ca="1">IF(tblRoster[[#This Row],[본교발령시작일자]]="","",DATEDIF(tblRoster[[#This Row],[본교발령시작일자]],TODAY(),"Y"))</f>
        <v>1</v>
      </c>
      <c r="AC63">
        <f ca="1">IF(tblRoster[[#This Row],[최초발령시작일자]]="","",DATEDIF(tblRoster[[#This Row],[최초발령시작일자]],TODAY(),"Y"))</f>
        <v>12</v>
      </c>
      <c r="AD6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63">
        <f ca="1">IF(tblRoster[[#This Row],[직급발령시작일자]]="","",ROUND(YEARFRAC(tblRoster[[#This Row],[직급발령시작일자]],TODAY()),1))</f>
        <v>1.7</v>
      </c>
      <c r="AF6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3">
        <f ca="1">IF(OR(tblRoster[[#This Row],[공무원구분]]&lt;&gt;"공무원",tblRoster[[#This Row],[나이]]=""),"",YEAR(TODAY())+(60-tblRoster[[#This Row],[나이]]))</f>
        <v>2050</v>
      </c>
      <c r="AH63" t="str">
        <f>IF(tblRoster[[#This Row],[직위]]="","일반","보직자")</f>
        <v>일반</v>
      </c>
      <c r="AI6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3" t="str">
        <f ca="1">IF(tblRoster[[#This Row],[복직예정일]]="","",TEXT(tblRoster[[#This Row],[복직예정일]],"yyyy-mm"))</f>
        <v/>
      </c>
      <c r="AM63" t="str">
        <f ca="1">IF(tblRoster[[#This Row],[복직예정일]]="","",tblRoster[[#This Row],[복직예정일]]-TODAY())</f>
        <v/>
      </c>
      <c r="AN63" t="str">
        <f ca="1">IF(tblRoster[[#This Row],[휴직잔여일수]]="","",IF(tblRoster[[#This Row],[휴직잔여일수]]&lt;=180,"6개월내","6개월이후"))</f>
        <v/>
      </c>
      <c r="AO6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4" spans="1:41" x14ac:dyDescent="0.3">
      <c r="A64">
        <v>900062</v>
      </c>
      <c r="B64" t="s">
        <v>258</v>
      </c>
      <c r="C64" t="s">
        <v>8</v>
      </c>
      <c r="D64">
        <v>24</v>
      </c>
      <c r="E64" t="s">
        <v>128</v>
      </c>
      <c r="F64" t="s">
        <v>158</v>
      </c>
      <c r="G64" t="s">
        <v>182</v>
      </c>
      <c r="H64" t="s">
        <v>212</v>
      </c>
      <c r="I64" t="s">
        <v>213</v>
      </c>
      <c r="J64" t="s">
        <v>133</v>
      </c>
      <c r="L64" t="s">
        <v>134</v>
      </c>
      <c r="M64" t="s">
        <v>135</v>
      </c>
      <c r="N64" s="1">
        <v>45413</v>
      </c>
      <c r="O64" s="1">
        <v>45078</v>
      </c>
      <c r="P64" s="1">
        <v>45078</v>
      </c>
      <c r="Q64" s="1">
        <v>45078</v>
      </c>
      <c r="T6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64" t="str">
        <f>IF(tblRoster[[#This Row],[급수]]="4급(임기제)","4급",tblRoster[[#This Row],[급수]])</f>
        <v>인턴</v>
      </c>
      <c r="V6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6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64" t="str">
        <f>IF(OR(tblRoster[[#This Row],[교직원상세구분]]="사회복무요원",tblRoster[[#This Row],[교직원상세구분]]="인턴(수습)"),"제외","포함")</f>
        <v>제외</v>
      </c>
      <c r="Y64">
        <f>1</f>
        <v>1</v>
      </c>
      <c r="Z64">
        <f>IF(tblRoster[[#This Row],[재직상태구분]]="휴직",1,0)</f>
        <v>0</v>
      </c>
      <c r="AA6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64">
        <f ca="1">IF(tblRoster[[#This Row],[본교발령시작일자]]="","",DATEDIF(tblRoster[[#This Row],[본교발령시작일자]],TODAY(),"Y"))</f>
        <v>3</v>
      </c>
      <c r="AC64">
        <f ca="1">IF(tblRoster[[#This Row],[최초발령시작일자]]="","",DATEDIF(tblRoster[[#This Row],[최초발령시작일자]],TODAY(),"Y"))</f>
        <v>2</v>
      </c>
      <c r="AD6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64">
        <f ca="1">IF(tblRoster[[#This Row],[직급발령시작일자]]="","",ROUND(YEARFRAC(tblRoster[[#This Row],[직급발령시작일자]],TODAY()),1))</f>
        <v>3.3</v>
      </c>
      <c r="AF6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4" t="str">
        <f ca="1">IF(OR(tblRoster[[#This Row],[공무원구분]]&lt;&gt;"공무원",tblRoster[[#This Row],[나이]]=""),"",YEAR(TODAY())+(60-tblRoster[[#This Row],[나이]]))</f>
        <v/>
      </c>
      <c r="AH64" t="str">
        <f>IF(tblRoster[[#This Row],[직위]]="","일반","보직자")</f>
        <v>일반</v>
      </c>
      <c r="AI6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4" t="str">
        <f ca="1">IF(tblRoster[[#This Row],[복직예정일]]="","",TEXT(tblRoster[[#This Row],[복직예정일]],"yyyy-mm"))</f>
        <v/>
      </c>
      <c r="AM64" t="str">
        <f ca="1">IF(tblRoster[[#This Row],[복직예정일]]="","",tblRoster[[#This Row],[복직예정일]]-TODAY())</f>
        <v/>
      </c>
      <c r="AN64" t="str">
        <f ca="1">IF(tblRoster[[#This Row],[휴직잔여일수]]="","",IF(tblRoster[[#This Row],[휴직잔여일수]]&lt;=180,"6개월내","6개월이후"))</f>
        <v/>
      </c>
      <c r="AO6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5" spans="1:41" x14ac:dyDescent="0.3">
      <c r="A65">
        <v>900063</v>
      </c>
      <c r="B65" t="s">
        <v>259</v>
      </c>
      <c r="C65" t="s">
        <v>8</v>
      </c>
      <c r="D65">
        <v>28</v>
      </c>
      <c r="E65" t="s">
        <v>150</v>
      </c>
      <c r="F65" t="s">
        <v>137</v>
      </c>
      <c r="G65" t="s">
        <v>159</v>
      </c>
      <c r="H65" t="s">
        <v>260</v>
      </c>
      <c r="I65" t="s">
        <v>239</v>
      </c>
      <c r="J65" t="s">
        <v>133</v>
      </c>
      <c r="L65" t="s">
        <v>135</v>
      </c>
      <c r="M65" t="s">
        <v>135</v>
      </c>
      <c r="N65" s="1">
        <v>43983</v>
      </c>
      <c r="O65" s="1">
        <v>43983</v>
      </c>
      <c r="P65" s="1">
        <v>43983</v>
      </c>
      <c r="Q65" s="1">
        <v>43983</v>
      </c>
      <c r="R65">
        <v>9</v>
      </c>
      <c r="T6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65" t="str">
        <f>IF(tblRoster[[#This Row],[급수]]="4급(임기제)","4급",tblRoster[[#This Row],[급수]])</f>
        <v>대학회계직</v>
      </c>
      <c r="V6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6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65" t="str">
        <f>IF(OR(tblRoster[[#This Row],[교직원상세구분]]="사회복무요원",tblRoster[[#This Row],[교직원상세구분]]="인턴(수습)"),"제외","포함")</f>
        <v>포함</v>
      </c>
      <c r="Y65">
        <f>1</f>
        <v>1</v>
      </c>
      <c r="Z65">
        <f>IF(tblRoster[[#This Row],[재직상태구분]]="휴직",1,0)</f>
        <v>0</v>
      </c>
      <c r="AA6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65">
        <f ca="1">IF(tblRoster[[#This Row],[본교발령시작일자]]="","",DATEDIF(tblRoster[[#This Row],[본교발령시작일자]],TODAY(),"Y"))</f>
        <v>6</v>
      </c>
      <c r="AC65">
        <f ca="1">IF(tblRoster[[#This Row],[최초발령시작일자]]="","",DATEDIF(tblRoster[[#This Row],[최초발령시작일자]],TODAY(),"Y"))</f>
        <v>6</v>
      </c>
      <c r="AD6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65">
        <f ca="1">IF(tblRoster[[#This Row],[직급발령시작일자]]="","",ROUND(YEARFRAC(tblRoster[[#This Row],[직급발령시작일자]],TODAY()),1))</f>
        <v>6.3</v>
      </c>
      <c r="AF6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65" t="str">
        <f ca="1">IF(OR(tblRoster[[#This Row],[공무원구분]]&lt;&gt;"공무원",tblRoster[[#This Row],[나이]]=""),"",YEAR(TODAY())+(60-tblRoster[[#This Row],[나이]]))</f>
        <v/>
      </c>
      <c r="AH65" t="str">
        <f>IF(tblRoster[[#This Row],[직위]]="","일반","보직자")</f>
        <v>일반</v>
      </c>
      <c r="AI6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5" t="str">
        <f ca="1">IF(tblRoster[[#This Row],[복직예정일]]="","",TEXT(tblRoster[[#This Row],[복직예정일]],"yyyy-mm"))</f>
        <v/>
      </c>
      <c r="AM65" t="str">
        <f ca="1">IF(tblRoster[[#This Row],[복직예정일]]="","",tblRoster[[#This Row],[복직예정일]]-TODAY())</f>
        <v/>
      </c>
      <c r="AN65" t="str">
        <f ca="1">IF(tblRoster[[#This Row],[휴직잔여일수]]="","",IF(tblRoster[[#This Row],[휴직잔여일수]]&lt;=180,"6개월내","6개월이후"))</f>
        <v/>
      </c>
      <c r="AO6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6" spans="1:41" x14ac:dyDescent="0.3">
      <c r="A66">
        <v>900064</v>
      </c>
      <c r="B66" t="s">
        <v>261</v>
      </c>
      <c r="C66" t="s">
        <v>8</v>
      </c>
      <c r="D66">
        <v>47</v>
      </c>
      <c r="E66" t="s">
        <v>128</v>
      </c>
      <c r="F66" t="s">
        <v>236</v>
      </c>
      <c r="G66" t="s">
        <v>207</v>
      </c>
      <c r="H66" t="s">
        <v>209</v>
      </c>
      <c r="I66" t="s">
        <v>144</v>
      </c>
      <c r="J66" t="s">
        <v>145</v>
      </c>
      <c r="L66" t="s">
        <v>135</v>
      </c>
      <c r="M66" t="s">
        <v>135</v>
      </c>
      <c r="N66" s="1">
        <v>39142</v>
      </c>
      <c r="O66" s="1">
        <v>39142</v>
      </c>
      <c r="P66" s="1">
        <v>44621</v>
      </c>
      <c r="Q66" s="1">
        <v>44621</v>
      </c>
      <c r="R66">
        <v>19</v>
      </c>
      <c r="T6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66" t="str">
        <f>IF(tblRoster[[#This Row],[급수]]="4급(임기제)","4급",tblRoster[[#This Row],[급수]])</f>
        <v>6급</v>
      </c>
      <c r="V6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6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6" t="str">
        <f>IF(OR(tblRoster[[#This Row],[교직원상세구분]]="사회복무요원",tblRoster[[#This Row],[교직원상세구분]]="인턴(수습)"),"제외","포함")</f>
        <v>포함</v>
      </c>
      <c r="Y66">
        <f>1</f>
        <v>1</v>
      </c>
      <c r="Z66">
        <f>IF(tblRoster[[#This Row],[재직상태구분]]="휴직",1,0)</f>
        <v>0</v>
      </c>
      <c r="AA6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66">
        <f ca="1">IF(tblRoster[[#This Row],[본교발령시작일자]]="","",DATEDIF(tblRoster[[#This Row],[본교발령시작일자]],TODAY(),"Y"))</f>
        <v>19</v>
      </c>
      <c r="AC66">
        <f ca="1">IF(tblRoster[[#This Row],[최초발령시작일자]]="","",DATEDIF(tblRoster[[#This Row],[최초발령시작일자]],TODAY(),"Y"))</f>
        <v>19</v>
      </c>
      <c r="AD6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66">
        <f ca="1">IF(tblRoster[[#This Row],[직급발령시작일자]]="","",ROUND(YEARFRAC(tblRoster[[#This Row],[직급발령시작일자]],TODAY()),1))</f>
        <v>4.5</v>
      </c>
      <c r="AF6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6">
        <f ca="1">IF(OR(tblRoster[[#This Row],[공무원구분]]&lt;&gt;"공무원",tblRoster[[#This Row],[나이]]=""),"",YEAR(TODAY())+(60-tblRoster[[#This Row],[나이]]))</f>
        <v>2039</v>
      </c>
      <c r="AH66" t="str">
        <f>IF(tblRoster[[#This Row],[직위]]="","일반","보직자")</f>
        <v>일반</v>
      </c>
      <c r="AI6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6" t="str">
        <f ca="1">IF(tblRoster[[#This Row],[복직예정일]]="","",TEXT(tblRoster[[#This Row],[복직예정일]],"yyyy-mm"))</f>
        <v/>
      </c>
      <c r="AM66" t="str">
        <f ca="1">IF(tblRoster[[#This Row],[복직예정일]]="","",tblRoster[[#This Row],[복직예정일]]-TODAY())</f>
        <v/>
      </c>
      <c r="AN66" t="str">
        <f ca="1">IF(tblRoster[[#This Row],[휴직잔여일수]]="","",IF(tblRoster[[#This Row],[휴직잔여일수]]&lt;=180,"6개월내","6개월이후"))</f>
        <v/>
      </c>
      <c r="AO6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7" spans="1:41" x14ac:dyDescent="0.3">
      <c r="A67">
        <v>900065</v>
      </c>
      <c r="B67" t="s">
        <v>262</v>
      </c>
      <c r="C67" t="s">
        <v>8</v>
      </c>
      <c r="D67">
        <v>26</v>
      </c>
      <c r="E67" t="s">
        <v>128</v>
      </c>
      <c r="F67" t="s">
        <v>189</v>
      </c>
      <c r="G67" t="s">
        <v>211</v>
      </c>
      <c r="H67" t="s">
        <v>148</v>
      </c>
      <c r="I67" t="s">
        <v>132</v>
      </c>
      <c r="J67" t="s">
        <v>133</v>
      </c>
      <c r="L67" t="s">
        <v>135</v>
      </c>
      <c r="M67" t="s">
        <v>135</v>
      </c>
      <c r="N67" s="1">
        <v>45352</v>
      </c>
      <c r="O67" s="1">
        <v>45352</v>
      </c>
      <c r="P67" s="1">
        <v>45352</v>
      </c>
      <c r="Q67" s="1">
        <v>45352</v>
      </c>
      <c r="R67">
        <v>5</v>
      </c>
      <c r="T6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67" t="str">
        <f>IF(tblRoster[[#This Row],[급수]]="4급(임기제)","4급",tblRoster[[#This Row],[급수]])</f>
        <v>대학회계계약직</v>
      </c>
      <c r="V6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6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67" t="str">
        <f>IF(OR(tblRoster[[#This Row],[교직원상세구분]]="사회복무요원",tblRoster[[#This Row],[교직원상세구분]]="인턴(수습)"),"제외","포함")</f>
        <v>포함</v>
      </c>
      <c r="Y67">
        <f>1</f>
        <v>1</v>
      </c>
      <c r="Z67">
        <f>IF(tblRoster[[#This Row],[재직상태구분]]="휴직",1,0)</f>
        <v>0</v>
      </c>
      <c r="AA6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67">
        <f ca="1">IF(tblRoster[[#This Row],[본교발령시작일자]]="","",DATEDIF(tblRoster[[#This Row],[본교발령시작일자]],TODAY(),"Y"))</f>
        <v>2</v>
      </c>
      <c r="AC67">
        <f ca="1">IF(tblRoster[[#This Row],[최초발령시작일자]]="","",DATEDIF(tblRoster[[#This Row],[최초발령시작일자]],TODAY(),"Y"))</f>
        <v>2</v>
      </c>
      <c r="AD6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67">
        <f ca="1">IF(tblRoster[[#This Row],[직급발령시작일자]]="","",ROUND(YEARFRAC(tblRoster[[#This Row],[직급발령시작일자]],TODAY()),1))</f>
        <v>2.5</v>
      </c>
      <c r="AF6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7" t="str">
        <f ca="1">IF(OR(tblRoster[[#This Row],[공무원구분]]&lt;&gt;"공무원",tblRoster[[#This Row],[나이]]=""),"",YEAR(TODAY())+(60-tblRoster[[#This Row],[나이]]))</f>
        <v/>
      </c>
      <c r="AH67" t="str">
        <f>IF(tblRoster[[#This Row],[직위]]="","일반","보직자")</f>
        <v>일반</v>
      </c>
      <c r="AI6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7" t="str">
        <f ca="1">IF(tblRoster[[#This Row],[복직예정일]]="","",TEXT(tblRoster[[#This Row],[복직예정일]],"yyyy-mm"))</f>
        <v/>
      </c>
      <c r="AM67" t="str">
        <f ca="1">IF(tblRoster[[#This Row],[복직예정일]]="","",tblRoster[[#This Row],[복직예정일]]-TODAY())</f>
        <v/>
      </c>
      <c r="AN67" t="str">
        <f ca="1">IF(tblRoster[[#This Row],[휴직잔여일수]]="","",IF(tblRoster[[#This Row],[휴직잔여일수]]&lt;=180,"6개월내","6개월이후"))</f>
        <v/>
      </c>
      <c r="AO6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8" spans="1:41" x14ac:dyDescent="0.3">
      <c r="A68">
        <v>900066</v>
      </c>
      <c r="B68" t="s">
        <v>22</v>
      </c>
      <c r="C68" t="s">
        <v>8</v>
      </c>
      <c r="D68">
        <v>28</v>
      </c>
      <c r="E68" t="s">
        <v>128</v>
      </c>
      <c r="F68" t="s">
        <v>216</v>
      </c>
      <c r="G68" t="s">
        <v>155</v>
      </c>
      <c r="H68" t="s">
        <v>180</v>
      </c>
      <c r="I68" t="s">
        <v>144</v>
      </c>
      <c r="J68" t="s">
        <v>145</v>
      </c>
      <c r="L68" t="s">
        <v>134</v>
      </c>
      <c r="M68" t="s">
        <v>135</v>
      </c>
      <c r="N68" s="1">
        <v>44317</v>
      </c>
      <c r="O68" s="1">
        <v>44317</v>
      </c>
      <c r="P68" s="1">
        <v>45139</v>
      </c>
      <c r="Q68" s="1">
        <v>45139</v>
      </c>
      <c r="R68">
        <v>5</v>
      </c>
      <c r="S68" t="s">
        <v>263</v>
      </c>
      <c r="T6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68" t="str">
        <f>IF(tblRoster[[#This Row],[급수]]="4급(임기제)","4급",tblRoster[[#This Row],[급수]])</f>
        <v>7급</v>
      </c>
      <c r="V6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6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8" t="str">
        <f>IF(OR(tblRoster[[#This Row],[교직원상세구분]]="사회복무요원",tblRoster[[#This Row],[교직원상세구분]]="인턴(수습)"),"제외","포함")</f>
        <v>포함</v>
      </c>
      <c r="Y68">
        <f>1</f>
        <v>1</v>
      </c>
      <c r="Z68">
        <f>IF(tblRoster[[#This Row],[재직상태구분]]="휴직",1,0)</f>
        <v>0</v>
      </c>
      <c r="AA6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68">
        <f ca="1">IF(tblRoster[[#This Row],[본교발령시작일자]]="","",DATEDIF(tblRoster[[#This Row],[본교발령시작일자]],TODAY(),"Y"))</f>
        <v>5</v>
      </c>
      <c r="AC68">
        <f ca="1">IF(tblRoster[[#This Row],[최초발령시작일자]]="","",DATEDIF(tblRoster[[#This Row],[최초발령시작일자]],TODAY(),"Y"))</f>
        <v>5</v>
      </c>
      <c r="AD6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68">
        <f ca="1">IF(tblRoster[[#This Row],[직급발령시작일자]]="","",ROUND(YEARFRAC(tblRoster[[#This Row],[직급발령시작일자]],TODAY()),1))</f>
        <v>3.1</v>
      </c>
      <c r="AF6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8">
        <f ca="1">IF(OR(tblRoster[[#This Row],[공무원구분]]&lt;&gt;"공무원",tblRoster[[#This Row],[나이]]=""),"",YEAR(TODAY())+(60-tblRoster[[#This Row],[나이]]))</f>
        <v>2058</v>
      </c>
      <c r="AH68" t="str">
        <f>IF(tblRoster[[#This Row],[직위]]="","일반","보직자")</f>
        <v>일반</v>
      </c>
      <c r="AI6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8" t="str">
        <f ca="1">IF(tblRoster[[#This Row],[복직예정일]]="","",TEXT(tblRoster[[#This Row],[복직예정일]],"yyyy-mm"))</f>
        <v/>
      </c>
      <c r="AM68" t="str">
        <f ca="1">IF(tblRoster[[#This Row],[복직예정일]]="","",tblRoster[[#This Row],[복직예정일]]-TODAY())</f>
        <v/>
      </c>
      <c r="AN68" t="str">
        <f ca="1">IF(tblRoster[[#This Row],[휴직잔여일수]]="","",IF(tblRoster[[#This Row],[휴직잔여일수]]&lt;=180,"6개월내","6개월이후"))</f>
        <v/>
      </c>
      <c r="AO6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69" spans="1:41" x14ac:dyDescent="0.3">
      <c r="A69">
        <v>900067</v>
      </c>
      <c r="B69" t="s">
        <v>264</v>
      </c>
      <c r="C69" t="s">
        <v>8</v>
      </c>
      <c r="D69">
        <v>25</v>
      </c>
      <c r="E69" t="s">
        <v>128</v>
      </c>
      <c r="F69" t="s">
        <v>246</v>
      </c>
      <c r="G69" t="s">
        <v>159</v>
      </c>
      <c r="H69" t="s">
        <v>233</v>
      </c>
      <c r="I69" t="s">
        <v>144</v>
      </c>
      <c r="J69" t="s">
        <v>145</v>
      </c>
      <c r="L69" t="s">
        <v>134</v>
      </c>
      <c r="M69" t="s">
        <v>135</v>
      </c>
      <c r="N69" s="1">
        <v>45748</v>
      </c>
      <c r="O69" s="1">
        <v>45748</v>
      </c>
      <c r="P69" s="1">
        <v>45748</v>
      </c>
      <c r="Q69" s="1">
        <v>45748</v>
      </c>
      <c r="T6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69" t="str">
        <f>IF(tblRoster[[#This Row],[급수]]="4급(임기제)","4급",tblRoster[[#This Row],[급수]])</f>
        <v>8급</v>
      </c>
      <c r="V6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6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69" t="str">
        <f>IF(OR(tblRoster[[#This Row],[교직원상세구분]]="사회복무요원",tblRoster[[#This Row],[교직원상세구분]]="인턴(수습)"),"제외","포함")</f>
        <v>포함</v>
      </c>
      <c r="Y69">
        <f>1</f>
        <v>1</v>
      </c>
      <c r="Z69">
        <f>IF(tblRoster[[#This Row],[재직상태구분]]="휴직",1,0)</f>
        <v>0</v>
      </c>
      <c r="AA6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69">
        <f ca="1">IF(tblRoster[[#This Row],[본교발령시작일자]]="","",DATEDIF(tblRoster[[#This Row],[본교발령시작일자]],TODAY(),"Y"))</f>
        <v>1</v>
      </c>
      <c r="AC69">
        <f ca="1">IF(tblRoster[[#This Row],[최초발령시작일자]]="","",DATEDIF(tblRoster[[#This Row],[최초발령시작일자]],TODAY(),"Y"))</f>
        <v>1</v>
      </c>
      <c r="AD6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69">
        <f ca="1">IF(tblRoster[[#This Row],[직급발령시작일자]]="","",ROUND(YEARFRAC(tblRoster[[#This Row],[직급발령시작일자]],TODAY()),1))</f>
        <v>1.4</v>
      </c>
      <c r="AF6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69">
        <f ca="1">IF(OR(tblRoster[[#This Row],[공무원구분]]&lt;&gt;"공무원",tblRoster[[#This Row],[나이]]=""),"",YEAR(TODAY())+(60-tblRoster[[#This Row],[나이]]))</f>
        <v>2061</v>
      </c>
      <c r="AH69" t="str">
        <f>IF(tblRoster[[#This Row],[직위]]="","일반","보직자")</f>
        <v>일반</v>
      </c>
      <c r="AI6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6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6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69" t="str">
        <f ca="1">IF(tblRoster[[#This Row],[복직예정일]]="","",TEXT(tblRoster[[#This Row],[복직예정일]],"yyyy-mm"))</f>
        <v/>
      </c>
      <c r="AM69" t="str">
        <f ca="1">IF(tblRoster[[#This Row],[복직예정일]]="","",tblRoster[[#This Row],[복직예정일]]-TODAY())</f>
        <v/>
      </c>
      <c r="AN69" t="str">
        <f ca="1">IF(tblRoster[[#This Row],[휴직잔여일수]]="","",IF(tblRoster[[#This Row],[휴직잔여일수]]&lt;=180,"6개월내","6개월이후"))</f>
        <v/>
      </c>
      <c r="AO6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0" spans="1:41" x14ac:dyDescent="0.3">
      <c r="A70">
        <v>900068</v>
      </c>
      <c r="B70" t="s">
        <v>265</v>
      </c>
      <c r="C70" t="s">
        <v>8</v>
      </c>
      <c r="D70">
        <v>32</v>
      </c>
      <c r="E70" t="s">
        <v>150</v>
      </c>
      <c r="F70" t="s">
        <v>158</v>
      </c>
      <c r="G70" t="s">
        <v>151</v>
      </c>
      <c r="H70" t="s">
        <v>180</v>
      </c>
      <c r="I70" t="s">
        <v>144</v>
      </c>
      <c r="J70" t="s">
        <v>145</v>
      </c>
      <c r="L70" t="s">
        <v>134</v>
      </c>
      <c r="M70" t="s">
        <v>135</v>
      </c>
      <c r="N70" s="1">
        <v>45474</v>
      </c>
      <c r="O70" s="1">
        <v>45474</v>
      </c>
      <c r="P70" s="1">
        <v>45474</v>
      </c>
      <c r="Q70" s="1">
        <v>45474</v>
      </c>
      <c r="R70">
        <v>2</v>
      </c>
      <c r="T7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70" t="str">
        <f>IF(tblRoster[[#This Row],[급수]]="4급(임기제)","4급",tblRoster[[#This Row],[급수]])</f>
        <v>7급</v>
      </c>
      <c r="V7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7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0" t="str">
        <f>IF(OR(tblRoster[[#This Row],[교직원상세구분]]="사회복무요원",tblRoster[[#This Row],[교직원상세구분]]="인턴(수습)"),"제외","포함")</f>
        <v>포함</v>
      </c>
      <c r="Y70">
        <f>1</f>
        <v>1</v>
      </c>
      <c r="Z70">
        <f>IF(tblRoster[[#This Row],[재직상태구분]]="휴직",1,0)</f>
        <v>0</v>
      </c>
      <c r="AA7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70">
        <f ca="1">IF(tblRoster[[#This Row],[본교발령시작일자]]="","",DATEDIF(tblRoster[[#This Row],[본교발령시작일자]],TODAY(),"Y"))</f>
        <v>2</v>
      </c>
      <c r="AC70">
        <f ca="1">IF(tblRoster[[#This Row],[최초발령시작일자]]="","",DATEDIF(tblRoster[[#This Row],[최초발령시작일자]],TODAY(),"Y"))</f>
        <v>2</v>
      </c>
      <c r="AD7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70">
        <f ca="1">IF(tblRoster[[#This Row],[직급발령시작일자]]="","",ROUND(YEARFRAC(tblRoster[[#This Row],[직급발령시작일자]],TODAY()),1))</f>
        <v>2.2000000000000002</v>
      </c>
      <c r="AF7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0">
        <f ca="1">IF(OR(tblRoster[[#This Row],[공무원구분]]&lt;&gt;"공무원",tblRoster[[#This Row],[나이]]=""),"",YEAR(TODAY())+(60-tblRoster[[#This Row],[나이]]))</f>
        <v>2054</v>
      </c>
      <c r="AH70" t="str">
        <f>IF(tblRoster[[#This Row],[직위]]="","일반","보직자")</f>
        <v>일반</v>
      </c>
      <c r="AI7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0" t="str">
        <f ca="1">IF(tblRoster[[#This Row],[복직예정일]]="","",TEXT(tblRoster[[#This Row],[복직예정일]],"yyyy-mm"))</f>
        <v/>
      </c>
      <c r="AM70" t="str">
        <f ca="1">IF(tblRoster[[#This Row],[복직예정일]]="","",tblRoster[[#This Row],[복직예정일]]-TODAY())</f>
        <v/>
      </c>
      <c r="AN70" t="str">
        <f ca="1">IF(tblRoster[[#This Row],[휴직잔여일수]]="","",IF(tblRoster[[#This Row],[휴직잔여일수]]&lt;=180,"6개월내","6개월이후"))</f>
        <v/>
      </c>
      <c r="AO7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1" spans="1:41" x14ac:dyDescent="0.3">
      <c r="A71">
        <v>900069</v>
      </c>
      <c r="B71" t="s">
        <v>23</v>
      </c>
      <c r="C71" t="s">
        <v>16</v>
      </c>
      <c r="D71">
        <v>27</v>
      </c>
      <c r="E71" t="s">
        <v>128</v>
      </c>
      <c r="F71" t="s">
        <v>266</v>
      </c>
      <c r="G71" t="s">
        <v>202</v>
      </c>
      <c r="H71" t="s">
        <v>131</v>
      </c>
      <c r="I71" t="s">
        <v>132</v>
      </c>
      <c r="J71" t="s">
        <v>133</v>
      </c>
      <c r="L71" t="s">
        <v>135</v>
      </c>
      <c r="M71" t="s">
        <v>135</v>
      </c>
      <c r="N71" s="1">
        <v>45444</v>
      </c>
      <c r="O71" s="1">
        <v>45931</v>
      </c>
      <c r="P71" s="1">
        <v>45931</v>
      </c>
      <c r="Q71" s="1">
        <v>45931</v>
      </c>
      <c r="R71">
        <v>5</v>
      </c>
      <c r="S71" t="s">
        <v>267</v>
      </c>
      <c r="T7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71" t="str">
        <f>IF(tblRoster[[#This Row],[급수]]="4급(임기제)","4급",tblRoster[[#This Row],[급수]])</f>
        <v>대학회계계약직</v>
      </c>
      <c r="V7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7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71" t="str">
        <f>IF(OR(tblRoster[[#This Row],[교직원상세구분]]="사회복무요원",tblRoster[[#This Row],[교직원상세구분]]="인턴(수습)"),"제외","포함")</f>
        <v>포함</v>
      </c>
      <c r="Y71">
        <f>1</f>
        <v>1</v>
      </c>
      <c r="Z71">
        <f>IF(tblRoster[[#This Row],[재직상태구분]]="휴직",1,0)</f>
        <v>1</v>
      </c>
      <c r="AA7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71">
        <f ca="1">IF(tblRoster[[#This Row],[본교발령시작일자]]="","",DATEDIF(tblRoster[[#This Row],[본교발령시작일자]],TODAY(),"Y"))</f>
        <v>0</v>
      </c>
      <c r="AC71">
        <f ca="1">IF(tblRoster[[#This Row],[최초발령시작일자]]="","",DATEDIF(tblRoster[[#This Row],[최초발령시작일자]],TODAY(),"Y"))</f>
        <v>2</v>
      </c>
      <c r="AD7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71">
        <f ca="1">IF(tblRoster[[#This Row],[직급발령시작일자]]="","",ROUND(YEARFRAC(tblRoster[[#This Row],[직급발령시작일자]],TODAY()),1))</f>
        <v>0.9</v>
      </c>
      <c r="AF7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1" t="str">
        <f ca="1">IF(OR(tblRoster[[#This Row],[공무원구분]]&lt;&gt;"공무원",tblRoster[[#This Row],[나이]]=""),"",YEAR(TODAY())+(60-tblRoster[[#This Row],[나이]]))</f>
        <v/>
      </c>
      <c r="AH71" t="str">
        <f>IF(tblRoster[[#This Row],[직위]]="","일반","보직자")</f>
        <v>일반</v>
      </c>
      <c r="AI71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46138</v>
      </c>
      <c r="AJ7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71" s="1">
        <f ca="1">IF(tblRoster[[#This Row],[현재휴직시작일]]="","",IFERROR(INDEX(tblLeave[종료일],MATCH(tblRoster[[#This Row],[교직원번호]]&amp;"|"&amp;tblRoster[[#This Row],[현재휴직시작일]],tblLeave[매칭키],0)),""))</f>
        <v>46503</v>
      </c>
      <c r="AL71" t="str">
        <f ca="1">IF(tblRoster[[#This Row],[복직예정일]]="","",TEXT(tblRoster[[#This Row],[복직예정일]],"yyyy-mm"))</f>
        <v>2027-04</v>
      </c>
      <c r="AM71">
        <f ca="1">IF(tblRoster[[#This Row],[복직예정일]]="","",tblRoster[[#This Row],[복직예정일]]-TODAY())</f>
        <v>231</v>
      </c>
      <c r="AN71" t="str">
        <f ca="1">IF(tblRoster[[#This Row],[휴직잔여일수]]="","",IF(tblRoster[[#This Row],[휴직잔여일수]]&lt;=180,"6개월내","6개월이후"))</f>
        <v>6개월이후</v>
      </c>
      <c r="AO7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2" spans="1:41" x14ac:dyDescent="0.3">
      <c r="A72">
        <v>900070</v>
      </c>
      <c r="B72" t="s">
        <v>268</v>
      </c>
      <c r="C72" t="s">
        <v>8</v>
      </c>
      <c r="D72">
        <v>59</v>
      </c>
      <c r="E72" t="s">
        <v>128</v>
      </c>
      <c r="F72" t="s">
        <v>168</v>
      </c>
      <c r="G72" t="s">
        <v>138</v>
      </c>
      <c r="H72" t="s">
        <v>163</v>
      </c>
      <c r="I72" t="s">
        <v>144</v>
      </c>
      <c r="J72" t="s">
        <v>145</v>
      </c>
      <c r="L72" t="s">
        <v>134</v>
      </c>
      <c r="M72" t="s">
        <v>135</v>
      </c>
      <c r="N72" s="1">
        <v>38292</v>
      </c>
      <c r="O72" s="1">
        <v>38292</v>
      </c>
      <c r="P72" s="1">
        <v>45383</v>
      </c>
      <c r="Q72" s="1">
        <v>45383</v>
      </c>
      <c r="R72">
        <v>23</v>
      </c>
      <c r="T7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72" t="str">
        <f>IF(tblRoster[[#This Row],[급수]]="4급(임기제)","4급",tblRoster[[#This Row],[급수]])</f>
        <v>6급</v>
      </c>
      <c r="V7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7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2" t="str">
        <f>IF(OR(tblRoster[[#This Row],[교직원상세구분]]="사회복무요원",tblRoster[[#This Row],[교직원상세구분]]="인턴(수습)"),"제외","포함")</f>
        <v>포함</v>
      </c>
      <c r="Y72">
        <f>1</f>
        <v>1</v>
      </c>
      <c r="Z72">
        <f>IF(tblRoster[[#This Row],[재직상태구분]]="휴직",1,0)</f>
        <v>0</v>
      </c>
      <c r="AA7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72">
        <f ca="1">IF(tblRoster[[#This Row],[본교발령시작일자]]="","",DATEDIF(tblRoster[[#This Row],[본교발령시작일자]],TODAY(),"Y"))</f>
        <v>21</v>
      </c>
      <c r="AC72">
        <f ca="1">IF(tblRoster[[#This Row],[최초발령시작일자]]="","",DATEDIF(tblRoster[[#This Row],[최초발령시작일자]],TODAY(),"Y"))</f>
        <v>21</v>
      </c>
      <c r="AD7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72">
        <f ca="1">IF(tblRoster[[#This Row],[직급발령시작일자]]="","",ROUND(YEARFRAC(tblRoster[[#This Row],[직급발령시작일자]],TODAY()),1))</f>
        <v>2.4</v>
      </c>
      <c r="AF7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2">
        <f ca="1">IF(OR(tblRoster[[#This Row],[공무원구분]]&lt;&gt;"공무원",tblRoster[[#This Row],[나이]]=""),"",YEAR(TODAY())+(60-tblRoster[[#This Row],[나이]]))</f>
        <v>2027</v>
      </c>
      <c r="AH72" t="str">
        <f>IF(tblRoster[[#This Row],[직위]]="","일반","보직자")</f>
        <v>일반</v>
      </c>
      <c r="AI7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2" t="str">
        <f ca="1">IF(tblRoster[[#This Row],[복직예정일]]="","",TEXT(tblRoster[[#This Row],[복직예정일]],"yyyy-mm"))</f>
        <v/>
      </c>
      <c r="AM72" t="str">
        <f ca="1">IF(tblRoster[[#This Row],[복직예정일]]="","",tblRoster[[#This Row],[복직예정일]]-TODAY())</f>
        <v/>
      </c>
      <c r="AN72" t="str">
        <f ca="1">IF(tblRoster[[#This Row],[휴직잔여일수]]="","",IF(tblRoster[[#This Row],[휴직잔여일수]]&lt;=180,"6개월내","6개월이후"))</f>
        <v/>
      </c>
      <c r="AO7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3" spans="1:41" x14ac:dyDescent="0.3">
      <c r="A73">
        <v>900071</v>
      </c>
      <c r="B73" t="s">
        <v>269</v>
      </c>
      <c r="C73" t="s">
        <v>8</v>
      </c>
      <c r="D73">
        <v>28</v>
      </c>
      <c r="E73" t="s">
        <v>128</v>
      </c>
      <c r="F73" t="s">
        <v>171</v>
      </c>
      <c r="G73" t="s">
        <v>159</v>
      </c>
      <c r="H73" t="s">
        <v>180</v>
      </c>
      <c r="I73" t="s">
        <v>144</v>
      </c>
      <c r="J73" t="s">
        <v>145</v>
      </c>
      <c r="L73" t="s">
        <v>135</v>
      </c>
      <c r="M73" t="s">
        <v>135</v>
      </c>
      <c r="N73" s="1">
        <v>45078</v>
      </c>
      <c r="O73" s="1">
        <v>44621</v>
      </c>
      <c r="P73" s="1">
        <v>44896</v>
      </c>
      <c r="Q73" s="1">
        <v>44896</v>
      </c>
      <c r="R73">
        <v>4</v>
      </c>
      <c r="T7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73" t="str">
        <f>IF(tblRoster[[#This Row],[급수]]="4급(임기제)","4급",tblRoster[[#This Row],[급수]])</f>
        <v>7급</v>
      </c>
      <c r="V7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7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3" t="str">
        <f>IF(OR(tblRoster[[#This Row],[교직원상세구분]]="사회복무요원",tblRoster[[#This Row],[교직원상세구분]]="인턴(수습)"),"제외","포함")</f>
        <v>포함</v>
      </c>
      <c r="Y73">
        <f>1</f>
        <v>1</v>
      </c>
      <c r="Z73">
        <f>IF(tblRoster[[#This Row],[재직상태구분]]="휴직",1,0)</f>
        <v>0</v>
      </c>
      <c r="AA7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73">
        <f ca="1">IF(tblRoster[[#This Row],[본교발령시작일자]]="","",DATEDIF(tblRoster[[#This Row],[본교발령시작일자]],TODAY(),"Y"))</f>
        <v>4</v>
      </c>
      <c r="AC73">
        <f ca="1">IF(tblRoster[[#This Row],[최초발령시작일자]]="","",DATEDIF(tblRoster[[#This Row],[최초발령시작일자]],TODAY(),"Y"))</f>
        <v>3</v>
      </c>
      <c r="AD7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73">
        <f ca="1">IF(tblRoster[[#This Row],[직급발령시작일자]]="","",ROUND(YEARFRAC(tblRoster[[#This Row],[직급발령시작일자]],TODAY()),1))</f>
        <v>3.8</v>
      </c>
      <c r="AF7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3">
        <f ca="1">IF(OR(tblRoster[[#This Row],[공무원구분]]&lt;&gt;"공무원",tblRoster[[#This Row],[나이]]=""),"",YEAR(TODAY())+(60-tblRoster[[#This Row],[나이]]))</f>
        <v>2058</v>
      </c>
      <c r="AH73" t="str">
        <f>IF(tblRoster[[#This Row],[직위]]="","일반","보직자")</f>
        <v>일반</v>
      </c>
      <c r="AI7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3" t="str">
        <f ca="1">IF(tblRoster[[#This Row],[복직예정일]]="","",TEXT(tblRoster[[#This Row],[복직예정일]],"yyyy-mm"))</f>
        <v/>
      </c>
      <c r="AM73" t="str">
        <f ca="1">IF(tblRoster[[#This Row],[복직예정일]]="","",tblRoster[[#This Row],[복직예정일]]-TODAY())</f>
        <v/>
      </c>
      <c r="AN73" t="str">
        <f ca="1">IF(tblRoster[[#This Row],[휴직잔여일수]]="","",IF(tblRoster[[#This Row],[휴직잔여일수]]&lt;=180,"6개월내","6개월이후"))</f>
        <v/>
      </c>
      <c r="AO7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4" spans="1:41" x14ac:dyDescent="0.3">
      <c r="A74">
        <v>900072</v>
      </c>
      <c r="B74" t="s">
        <v>270</v>
      </c>
      <c r="C74" t="s">
        <v>8</v>
      </c>
      <c r="D74">
        <v>30</v>
      </c>
      <c r="E74" t="s">
        <v>150</v>
      </c>
      <c r="F74" t="s">
        <v>189</v>
      </c>
      <c r="G74" t="s">
        <v>173</v>
      </c>
      <c r="H74" t="s">
        <v>205</v>
      </c>
      <c r="I74" t="s">
        <v>144</v>
      </c>
      <c r="J74" t="s">
        <v>145</v>
      </c>
      <c r="L74" t="s">
        <v>134</v>
      </c>
      <c r="M74" t="s">
        <v>135</v>
      </c>
      <c r="N74" s="1">
        <v>43862</v>
      </c>
      <c r="O74" s="1">
        <v>44682</v>
      </c>
      <c r="P74" s="1">
        <v>45748</v>
      </c>
      <c r="Q74" s="1">
        <v>45748</v>
      </c>
      <c r="R74">
        <v>9</v>
      </c>
      <c r="T7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74" t="str">
        <f>IF(tblRoster[[#This Row],[급수]]="4급(임기제)","4급",tblRoster[[#This Row],[급수]])</f>
        <v>9급</v>
      </c>
      <c r="V7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7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4" t="str">
        <f>IF(OR(tblRoster[[#This Row],[교직원상세구분]]="사회복무요원",tblRoster[[#This Row],[교직원상세구분]]="인턴(수습)"),"제외","포함")</f>
        <v>포함</v>
      </c>
      <c r="Y74">
        <f>1</f>
        <v>1</v>
      </c>
      <c r="Z74">
        <f>IF(tblRoster[[#This Row],[재직상태구분]]="휴직",1,0)</f>
        <v>0</v>
      </c>
      <c r="AA7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74">
        <f ca="1">IF(tblRoster[[#This Row],[본교발령시작일자]]="","",DATEDIF(tblRoster[[#This Row],[본교발령시작일자]],TODAY(),"Y"))</f>
        <v>4</v>
      </c>
      <c r="AC74">
        <f ca="1">IF(tblRoster[[#This Row],[최초발령시작일자]]="","",DATEDIF(tblRoster[[#This Row],[최초발령시작일자]],TODAY(),"Y"))</f>
        <v>6</v>
      </c>
      <c r="AD7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74">
        <f ca="1">IF(tblRoster[[#This Row],[직급발령시작일자]]="","",ROUND(YEARFRAC(tblRoster[[#This Row],[직급발령시작일자]],TODAY()),1))</f>
        <v>1.4</v>
      </c>
      <c r="AF7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4">
        <f ca="1">IF(OR(tblRoster[[#This Row],[공무원구분]]&lt;&gt;"공무원",tblRoster[[#This Row],[나이]]=""),"",YEAR(TODAY())+(60-tblRoster[[#This Row],[나이]]))</f>
        <v>2056</v>
      </c>
      <c r="AH74" t="str">
        <f>IF(tblRoster[[#This Row],[직위]]="","일반","보직자")</f>
        <v>일반</v>
      </c>
      <c r="AI7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4" t="str">
        <f ca="1">IF(tblRoster[[#This Row],[복직예정일]]="","",TEXT(tblRoster[[#This Row],[복직예정일]],"yyyy-mm"))</f>
        <v/>
      </c>
      <c r="AM74" t="str">
        <f ca="1">IF(tblRoster[[#This Row],[복직예정일]]="","",tblRoster[[#This Row],[복직예정일]]-TODAY())</f>
        <v/>
      </c>
      <c r="AN74" t="str">
        <f ca="1">IF(tblRoster[[#This Row],[휴직잔여일수]]="","",IF(tblRoster[[#This Row],[휴직잔여일수]]&lt;=180,"6개월내","6개월이후"))</f>
        <v/>
      </c>
      <c r="AO7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5" spans="1:41" x14ac:dyDescent="0.3">
      <c r="A75">
        <v>900073</v>
      </c>
      <c r="B75" t="s">
        <v>271</v>
      </c>
      <c r="C75" t="s">
        <v>8</v>
      </c>
      <c r="D75">
        <v>45</v>
      </c>
      <c r="E75" t="s">
        <v>128</v>
      </c>
      <c r="F75" t="s">
        <v>179</v>
      </c>
      <c r="G75" t="s">
        <v>138</v>
      </c>
      <c r="H75" t="s">
        <v>230</v>
      </c>
      <c r="I75" t="s">
        <v>144</v>
      </c>
      <c r="J75" t="s">
        <v>145</v>
      </c>
      <c r="L75" t="s">
        <v>134</v>
      </c>
      <c r="M75" t="s">
        <v>135</v>
      </c>
      <c r="N75" s="1">
        <v>42401</v>
      </c>
      <c r="O75" s="1">
        <v>42401</v>
      </c>
      <c r="P75" s="1">
        <v>46357</v>
      </c>
      <c r="Q75" s="1">
        <v>46357</v>
      </c>
      <c r="R75">
        <v>11</v>
      </c>
      <c r="T7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75" t="str">
        <f>IF(tblRoster[[#This Row],[급수]]="4급(임기제)","4급",tblRoster[[#This Row],[급수]])</f>
        <v>6급</v>
      </c>
      <c r="V7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7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5" t="str">
        <f>IF(OR(tblRoster[[#This Row],[교직원상세구분]]="사회복무요원",tblRoster[[#This Row],[교직원상세구분]]="인턴(수습)"),"제외","포함")</f>
        <v>포함</v>
      </c>
      <c r="Y75">
        <f>1</f>
        <v>1</v>
      </c>
      <c r="Z75">
        <f>IF(tblRoster[[#This Row],[재직상태구분]]="휴직",1,0)</f>
        <v>0</v>
      </c>
      <c r="AA7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75">
        <f ca="1">IF(tblRoster[[#This Row],[본교발령시작일자]]="","",DATEDIF(tblRoster[[#This Row],[본교발령시작일자]],TODAY(),"Y"))</f>
        <v>10</v>
      </c>
      <c r="AC75">
        <f ca="1">IF(tblRoster[[#This Row],[최초발령시작일자]]="","",DATEDIF(tblRoster[[#This Row],[최초발령시작일자]],TODAY(),"Y"))</f>
        <v>10</v>
      </c>
      <c r="AD7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75">
        <f ca="1">IF(tblRoster[[#This Row],[직급발령시작일자]]="","",ROUND(YEARFRAC(tblRoster[[#This Row],[직급발령시작일자]],TODAY()),1))</f>
        <v>0.2</v>
      </c>
      <c r="AF7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5">
        <f ca="1">IF(OR(tblRoster[[#This Row],[공무원구분]]&lt;&gt;"공무원",tblRoster[[#This Row],[나이]]=""),"",YEAR(TODAY())+(60-tblRoster[[#This Row],[나이]]))</f>
        <v>2041</v>
      </c>
      <c r="AH75" t="str">
        <f>IF(tblRoster[[#This Row],[직위]]="","일반","보직자")</f>
        <v>일반</v>
      </c>
      <c r="AI7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5" t="str">
        <f ca="1">IF(tblRoster[[#This Row],[복직예정일]]="","",TEXT(tblRoster[[#This Row],[복직예정일]],"yyyy-mm"))</f>
        <v/>
      </c>
      <c r="AM75" t="str">
        <f ca="1">IF(tblRoster[[#This Row],[복직예정일]]="","",tblRoster[[#This Row],[복직예정일]]-TODAY())</f>
        <v/>
      </c>
      <c r="AN75" t="str">
        <f ca="1">IF(tblRoster[[#This Row],[휴직잔여일수]]="","",IF(tblRoster[[#This Row],[휴직잔여일수]]&lt;=180,"6개월내","6개월이후"))</f>
        <v/>
      </c>
      <c r="AO7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6" spans="1:41" x14ac:dyDescent="0.3">
      <c r="A76">
        <v>900074</v>
      </c>
      <c r="B76" t="s">
        <v>272</v>
      </c>
      <c r="C76" t="s">
        <v>8</v>
      </c>
      <c r="D76">
        <v>47</v>
      </c>
      <c r="E76" t="s">
        <v>128</v>
      </c>
      <c r="F76" t="s">
        <v>216</v>
      </c>
      <c r="G76" t="s">
        <v>159</v>
      </c>
      <c r="H76" t="s">
        <v>180</v>
      </c>
      <c r="I76" t="s">
        <v>144</v>
      </c>
      <c r="J76" t="s">
        <v>145</v>
      </c>
      <c r="L76" t="s">
        <v>135</v>
      </c>
      <c r="M76" t="s">
        <v>135</v>
      </c>
      <c r="N76" s="1">
        <v>43101</v>
      </c>
      <c r="O76" s="1">
        <v>43101</v>
      </c>
      <c r="P76" s="1">
        <v>44958</v>
      </c>
      <c r="Q76" s="1">
        <v>44958</v>
      </c>
      <c r="R76">
        <v>9</v>
      </c>
      <c r="T7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76" t="str">
        <f>IF(tblRoster[[#This Row],[급수]]="4급(임기제)","4급",tblRoster[[#This Row],[급수]])</f>
        <v>7급</v>
      </c>
      <c r="V7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7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6" t="str">
        <f>IF(OR(tblRoster[[#This Row],[교직원상세구분]]="사회복무요원",tblRoster[[#This Row],[교직원상세구분]]="인턴(수습)"),"제외","포함")</f>
        <v>포함</v>
      </c>
      <c r="Y76">
        <f>1</f>
        <v>1</v>
      </c>
      <c r="Z76">
        <f>IF(tblRoster[[#This Row],[재직상태구분]]="휴직",1,0)</f>
        <v>0</v>
      </c>
      <c r="AA7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76">
        <f ca="1">IF(tblRoster[[#This Row],[본교발령시작일자]]="","",DATEDIF(tblRoster[[#This Row],[본교발령시작일자]],TODAY(),"Y"))</f>
        <v>8</v>
      </c>
      <c r="AC76">
        <f ca="1">IF(tblRoster[[#This Row],[최초발령시작일자]]="","",DATEDIF(tblRoster[[#This Row],[최초발령시작일자]],TODAY(),"Y"))</f>
        <v>8</v>
      </c>
      <c r="AD7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76">
        <f ca="1">IF(tblRoster[[#This Row],[직급발령시작일자]]="","",ROUND(YEARFRAC(tblRoster[[#This Row],[직급발령시작일자]],TODAY()),1))</f>
        <v>3.6</v>
      </c>
      <c r="AF7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6">
        <f ca="1">IF(OR(tblRoster[[#This Row],[공무원구분]]&lt;&gt;"공무원",tblRoster[[#This Row],[나이]]=""),"",YEAR(TODAY())+(60-tblRoster[[#This Row],[나이]]))</f>
        <v>2039</v>
      </c>
      <c r="AH76" t="str">
        <f>IF(tblRoster[[#This Row],[직위]]="","일반","보직자")</f>
        <v>일반</v>
      </c>
      <c r="AI7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6" t="str">
        <f ca="1">IF(tblRoster[[#This Row],[복직예정일]]="","",TEXT(tblRoster[[#This Row],[복직예정일]],"yyyy-mm"))</f>
        <v/>
      </c>
      <c r="AM76" t="str">
        <f ca="1">IF(tblRoster[[#This Row],[복직예정일]]="","",tblRoster[[#This Row],[복직예정일]]-TODAY())</f>
        <v/>
      </c>
      <c r="AN76" t="str">
        <f ca="1">IF(tblRoster[[#This Row],[휴직잔여일수]]="","",IF(tblRoster[[#This Row],[휴직잔여일수]]&lt;=180,"6개월내","6개월이후"))</f>
        <v/>
      </c>
      <c r="AO7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7" spans="1:41" x14ac:dyDescent="0.3">
      <c r="A77">
        <v>900075</v>
      </c>
      <c r="B77" t="s">
        <v>24</v>
      </c>
      <c r="C77" t="s">
        <v>8</v>
      </c>
      <c r="D77">
        <v>35</v>
      </c>
      <c r="E77" t="s">
        <v>128</v>
      </c>
      <c r="F77" t="s">
        <v>236</v>
      </c>
      <c r="G77" t="s">
        <v>151</v>
      </c>
      <c r="H77" t="s">
        <v>252</v>
      </c>
      <c r="I77" t="s">
        <v>132</v>
      </c>
      <c r="J77" t="s">
        <v>133</v>
      </c>
      <c r="L77" t="s">
        <v>135</v>
      </c>
      <c r="M77" t="s">
        <v>135</v>
      </c>
      <c r="N77" s="1">
        <v>45566</v>
      </c>
      <c r="O77" s="1">
        <v>45566</v>
      </c>
      <c r="P77" s="1">
        <v>45566</v>
      </c>
      <c r="Q77" s="1">
        <v>45566</v>
      </c>
      <c r="R77">
        <v>5</v>
      </c>
      <c r="S77" t="s">
        <v>273</v>
      </c>
      <c r="T7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77" t="str">
        <f>IF(tblRoster[[#This Row],[급수]]="4급(임기제)","4급",tblRoster[[#This Row],[급수]])</f>
        <v>대학회계계약직</v>
      </c>
      <c r="V7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7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77" t="str">
        <f>IF(OR(tblRoster[[#This Row],[교직원상세구분]]="사회복무요원",tblRoster[[#This Row],[교직원상세구분]]="인턴(수습)"),"제외","포함")</f>
        <v>포함</v>
      </c>
      <c r="Y77">
        <f>1</f>
        <v>1</v>
      </c>
      <c r="Z77">
        <f>IF(tblRoster[[#This Row],[재직상태구분]]="휴직",1,0)</f>
        <v>0</v>
      </c>
      <c r="AA7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77">
        <f ca="1">IF(tblRoster[[#This Row],[본교발령시작일자]]="","",DATEDIF(tblRoster[[#This Row],[본교발령시작일자]],TODAY(),"Y"))</f>
        <v>1</v>
      </c>
      <c r="AC77">
        <f ca="1">IF(tblRoster[[#This Row],[최초발령시작일자]]="","",DATEDIF(tblRoster[[#This Row],[최초발령시작일자]],TODAY(),"Y"))</f>
        <v>1</v>
      </c>
      <c r="AD7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77">
        <f ca="1">IF(tblRoster[[#This Row],[직급발령시작일자]]="","",ROUND(YEARFRAC(tblRoster[[#This Row],[직급발령시작일자]],TODAY()),1))</f>
        <v>1.9</v>
      </c>
      <c r="AF7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7" t="str">
        <f ca="1">IF(OR(tblRoster[[#This Row],[공무원구분]]&lt;&gt;"공무원",tblRoster[[#This Row],[나이]]=""),"",YEAR(TODAY())+(60-tblRoster[[#This Row],[나이]]))</f>
        <v/>
      </c>
      <c r="AH77" t="str">
        <f>IF(tblRoster[[#This Row],[직위]]="","일반","보직자")</f>
        <v>일반</v>
      </c>
      <c r="AI7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7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7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77" t="str">
        <f ca="1">IF(tblRoster[[#This Row],[복직예정일]]="","",TEXT(tblRoster[[#This Row],[복직예정일]],"yyyy-mm"))</f>
        <v/>
      </c>
      <c r="AM77" t="str">
        <f ca="1">IF(tblRoster[[#This Row],[복직예정일]]="","",tblRoster[[#This Row],[복직예정일]]-TODAY())</f>
        <v/>
      </c>
      <c r="AN77" t="str">
        <f ca="1">IF(tblRoster[[#This Row],[휴직잔여일수]]="","",IF(tblRoster[[#This Row],[휴직잔여일수]]&lt;=180,"6개월내","6개월이후"))</f>
        <v/>
      </c>
      <c r="AO7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8" spans="1:41" x14ac:dyDescent="0.3">
      <c r="A78">
        <v>900076</v>
      </c>
      <c r="B78" t="s">
        <v>25</v>
      </c>
      <c r="C78" t="s">
        <v>16</v>
      </c>
      <c r="D78">
        <v>54</v>
      </c>
      <c r="E78" t="s">
        <v>128</v>
      </c>
      <c r="F78" t="s">
        <v>236</v>
      </c>
      <c r="G78" t="s">
        <v>169</v>
      </c>
      <c r="H78" t="s">
        <v>230</v>
      </c>
      <c r="I78" t="s">
        <v>144</v>
      </c>
      <c r="J78" t="s">
        <v>145</v>
      </c>
      <c r="L78" t="s">
        <v>135</v>
      </c>
      <c r="M78" t="s">
        <v>135</v>
      </c>
      <c r="N78" s="1">
        <v>36892</v>
      </c>
      <c r="O78" s="1">
        <v>36892</v>
      </c>
      <c r="P78" s="1">
        <v>41244</v>
      </c>
      <c r="Q78" s="1">
        <v>41244</v>
      </c>
      <c r="R78">
        <v>26</v>
      </c>
      <c r="S78" t="s">
        <v>274</v>
      </c>
      <c r="T7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78" t="str">
        <f>IF(tblRoster[[#This Row],[급수]]="4급(임기제)","4급",tblRoster[[#This Row],[급수]])</f>
        <v>6급</v>
      </c>
      <c r="V7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7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8" t="str">
        <f>IF(OR(tblRoster[[#This Row],[교직원상세구분]]="사회복무요원",tblRoster[[#This Row],[교직원상세구분]]="인턴(수습)"),"제외","포함")</f>
        <v>포함</v>
      </c>
      <c r="Y78">
        <f>1</f>
        <v>1</v>
      </c>
      <c r="Z78">
        <f>IF(tblRoster[[#This Row],[재직상태구분]]="휴직",1,0)</f>
        <v>1</v>
      </c>
      <c r="AA7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78">
        <f ca="1">IF(tblRoster[[#This Row],[본교발령시작일자]]="","",DATEDIF(tblRoster[[#This Row],[본교발령시작일자]],TODAY(),"Y"))</f>
        <v>25</v>
      </c>
      <c r="AC78">
        <f ca="1">IF(tblRoster[[#This Row],[최초발령시작일자]]="","",DATEDIF(tblRoster[[#This Row],[최초발령시작일자]],TODAY(),"Y"))</f>
        <v>25</v>
      </c>
      <c r="AD7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78">
        <f ca="1">IF(tblRoster[[#This Row],[직급발령시작일자]]="","",ROUND(YEARFRAC(tblRoster[[#This Row],[직급발령시작일자]],TODAY()),1))</f>
        <v>13.8</v>
      </c>
      <c r="AF7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78">
        <f ca="1">IF(OR(tblRoster[[#This Row],[공무원구분]]&lt;&gt;"공무원",tblRoster[[#This Row],[나이]]=""),"",YEAR(TODAY())+(60-tblRoster[[#This Row],[나이]]))</f>
        <v>2032</v>
      </c>
      <c r="AH78" t="str">
        <f>IF(tblRoster[[#This Row],[직위]]="","일반","보직자")</f>
        <v>일반</v>
      </c>
      <c r="AI78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45990</v>
      </c>
      <c r="AJ7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78" s="1">
        <f ca="1">IF(tblRoster[[#This Row],[현재휴직시작일]]="","",IFERROR(INDEX(tblLeave[종료일],MATCH(tblRoster[[#This Row],[교직원번호]]&amp;"|"&amp;tblRoster[[#This Row],[현재휴직시작일]],tblLeave[매칭키],0)),""))</f>
        <v>46355</v>
      </c>
      <c r="AL78" t="str">
        <f ca="1">IF(tblRoster[[#This Row],[복직예정일]]="","",TEXT(tblRoster[[#This Row],[복직예정일]],"yyyy-mm"))</f>
        <v>2026-11</v>
      </c>
      <c r="AM78">
        <f ca="1">IF(tblRoster[[#This Row],[복직예정일]]="","",tblRoster[[#This Row],[복직예정일]]-TODAY())</f>
        <v>83</v>
      </c>
      <c r="AN78" t="str">
        <f ca="1">IF(tblRoster[[#This Row],[휴직잔여일수]]="","",IF(tblRoster[[#This Row],[휴직잔여일수]]&lt;=180,"6개월내","6개월이후"))</f>
        <v>6개월내</v>
      </c>
      <c r="AO7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79" spans="1:41" x14ac:dyDescent="0.3">
      <c r="A79">
        <v>900077</v>
      </c>
      <c r="B79" t="s">
        <v>26</v>
      </c>
      <c r="C79" t="s">
        <v>16</v>
      </c>
      <c r="D79">
        <v>42</v>
      </c>
      <c r="E79" t="s">
        <v>128</v>
      </c>
      <c r="F79" t="s">
        <v>216</v>
      </c>
      <c r="G79" t="s">
        <v>173</v>
      </c>
      <c r="H79" t="s">
        <v>275</v>
      </c>
      <c r="I79" t="s">
        <v>144</v>
      </c>
      <c r="J79" t="s">
        <v>145</v>
      </c>
      <c r="L79" t="s">
        <v>135</v>
      </c>
      <c r="M79" t="s">
        <v>135</v>
      </c>
      <c r="N79" s="1">
        <v>41913</v>
      </c>
      <c r="O79" s="1">
        <v>41913</v>
      </c>
      <c r="P79" s="1">
        <v>46143</v>
      </c>
      <c r="Q79" s="1">
        <v>46143</v>
      </c>
      <c r="R79">
        <v>13</v>
      </c>
      <c r="S79" t="s">
        <v>276</v>
      </c>
      <c r="T7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79" t="str">
        <f>IF(tblRoster[[#This Row],[급수]]="4급(임기제)","4급",tblRoster[[#This Row],[급수]])</f>
        <v>7급</v>
      </c>
      <c r="V7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7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79" t="str">
        <f>IF(OR(tblRoster[[#This Row],[교직원상세구분]]="사회복무요원",tblRoster[[#This Row],[교직원상세구분]]="인턴(수습)"),"제외","포함")</f>
        <v>포함</v>
      </c>
      <c r="Y79">
        <f>1</f>
        <v>1</v>
      </c>
      <c r="Z79">
        <f>IF(tblRoster[[#This Row],[재직상태구분]]="휴직",1,0)</f>
        <v>1</v>
      </c>
      <c r="AA7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79">
        <f ca="1">IF(tblRoster[[#This Row],[본교발령시작일자]]="","",DATEDIF(tblRoster[[#This Row],[본교발령시작일자]],TODAY(),"Y"))</f>
        <v>11</v>
      </c>
      <c r="AC79">
        <f ca="1">IF(tblRoster[[#This Row],[최초발령시작일자]]="","",DATEDIF(tblRoster[[#This Row],[최초발령시작일자]],TODAY(),"Y"))</f>
        <v>11</v>
      </c>
      <c r="AD7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79">
        <f ca="1">IF(tblRoster[[#This Row],[직급발령시작일자]]="","",ROUND(YEARFRAC(tblRoster[[#This Row],[직급발령시작일자]],TODAY()),1))</f>
        <v>0.4</v>
      </c>
      <c r="AF7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79">
        <f ca="1">IF(OR(tblRoster[[#This Row],[공무원구분]]&lt;&gt;"공무원",tblRoster[[#This Row],[나이]]=""),"",YEAR(TODAY())+(60-tblRoster[[#This Row],[나이]]))</f>
        <v>2044</v>
      </c>
      <c r="AH79" t="str">
        <f>IF(tblRoster[[#This Row],[직위]]="","일반","보직자")</f>
        <v>일반</v>
      </c>
      <c r="AI79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46020</v>
      </c>
      <c r="AJ7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79" s="1">
        <f ca="1">IF(tblRoster[[#This Row],[현재휴직시작일]]="","",IFERROR(INDEX(tblLeave[종료일],MATCH(tblRoster[[#This Row],[교직원번호]]&amp;"|"&amp;tblRoster[[#This Row],[현재휴직시작일]],tblLeave[매칭키],0)),""))</f>
        <v>46567</v>
      </c>
      <c r="AL79" t="str">
        <f ca="1">IF(tblRoster[[#This Row],[복직예정일]]="","",TEXT(tblRoster[[#This Row],[복직예정일]],"yyyy-mm"))</f>
        <v>2027-06</v>
      </c>
      <c r="AM79">
        <f ca="1">IF(tblRoster[[#This Row],[복직예정일]]="","",tblRoster[[#This Row],[복직예정일]]-TODAY())</f>
        <v>295</v>
      </c>
      <c r="AN79" t="str">
        <f ca="1">IF(tblRoster[[#This Row],[휴직잔여일수]]="","",IF(tblRoster[[#This Row],[휴직잔여일수]]&lt;=180,"6개월내","6개월이후"))</f>
        <v>6개월이후</v>
      </c>
      <c r="AO7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0" spans="1:41" x14ac:dyDescent="0.3">
      <c r="A80">
        <v>900078</v>
      </c>
      <c r="B80" t="s">
        <v>277</v>
      </c>
      <c r="C80" t="s">
        <v>8</v>
      </c>
      <c r="D80">
        <v>47</v>
      </c>
      <c r="E80" t="s">
        <v>150</v>
      </c>
      <c r="F80" t="s">
        <v>158</v>
      </c>
      <c r="G80" t="s">
        <v>151</v>
      </c>
      <c r="H80" t="s">
        <v>177</v>
      </c>
      <c r="I80" t="s">
        <v>144</v>
      </c>
      <c r="J80" t="s">
        <v>145</v>
      </c>
      <c r="L80" t="s">
        <v>134</v>
      </c>
      <c r="M80" t="s">
        <v>135</v>
      </c>
      <c r="N80" s="1">
        <v>39845</v>
      </c>
      <c r="O80" s="1">
        <v>39845</v>
      </c>
      <c r="P80" s="1">
        <v>41122</v>
      </c>
      <c r="Q80" s="1">
        <v>41122</v>
      </c>
      <c r="R80">
        <v>20</v>
      </c>
      <c r="T8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80" t="str">
        <f>IF(tblRoster[[#This Row],[급수]]="4급(임기제)","4급",tblRoster[[#This Row],[급수]])</f>
        <v>4급</v>
      </c>
      <c r="V8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8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0" t="str">
        <f>IF(OR(tblRoster[[#This Row],[교직원상세구분]]="사회복무요원",tblRoster[[#This Row],[교직원상세구분]]="인턴(수습)"),"제외","포함")</f>
        <v>포함</v>
      </c>
      <c r="Y80">
        <f>1</f>
        <v>1</v>
      </c>
      <c r="Z80">
        <f>IF(tblRoster[[#This Row],[재직상태구분]]="휴직",1,0)</f>
        <v>0</v>
      </c>
      <c r="AA8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80">
        <f ca="1">IF(tblRoster[[#This Row],[본교발령시작일자]]="","",DATEDIF(tblRoster[[#This Row],[본교발령시작일자]],TODAY(),"Y"))</f>
        <v>17</v>
      </c>
      <c r="AC80">
        <f ca="1">IF(tblRoster[[#This Row],[최초발령시작일자]]="","",DATEDIF(tblRoster[[#This Row],[최초발령시작일자]],TODAY(),"Y"))</f>
        <v>17</v>
      </c>
      <c r="AD8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80">
        <f ca="1">IF(tblRoster[[#This Row],[직급발령시작일자]]="","",ROUND(YEARFRAC(tblRoster[[#This Row],[직급발령시작일자]],TODAY()),1))</f>
        <v>14.1</v>
      </c>
      <c r="AF80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80">
        <f ca="1">IF(OR(tblRoster[[#This Row],[공무원구분]]&lt;&gt;"공무원",tblRoster[[#This Row],[나이]]=""),"",YEAR(TODAY())+(60-tblRoster[[#This Row],[나이]]))</f>
        <v>2039</v>
      </c>
      <c r="AH80" t="str">
        <f>IF(tblRoster[[#This Row],[직위]]="","일반","보직자")</f>
        <v>일반</v>
      </c>
      <c r="AI8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0" t="str">
        <f ca="1">IF(tblRoster[[#This Row],[복직예정일]]="","",TEXT(tblRoster[[#This Row],[복직예정일]],"yyyy-mm"))</f>
        <v/>
      </c>
      <c r="AM80" t="str">
        <f ca="1">IF(tblRoster[[#This Row],[복직예정일]]="","",tblRoster[[#This Row],[복직예정일]]-TODAY())</f>
        <v/>
      </c>
      <c r="AN80" t="str">
        <f ca="1">IF(tblRoster[[#This Row],[휴직잔여일수]]="","",IF(tblRoster[[#This Row],[휴직잔여일수]]&lt;=180,"6개월내","6개월이후"))</f>
        <v/>
      </c>
      <c r="AO8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1" spans="1:41" x14ac:dyDescent="0.3">
      <c r="A81">
        <v>900079</v>
      </c>
      <c r="B81" t="s">
        <v>27</v>
      </c>
      <c r="C81" t="s">
        <v>8</v>
      </c>
      <c r="D81">
        <v>45</v>
      </c>
      <c r="E81" t="s">
        <v>150</v>
      </c>
      <c r="F81" t="s">
        <v>184</v>
      </c>
      <c r="G81" t="s">
        <v>130</v>
      </c>
      <c r="H81" t="s">
        <v>180</v>
      </c>
      <c r="I81" t="s">
        <v>144</v>
      </c>
      <c r="J81" t="s">
        <v>145</v>
      </c>
      <c r="L81" t="s">
        <v>135</v>
      </c>
      <c r="M81" t="s">
        <v>135</v>
      </c>
      <c r="N81" s="1">
        <v>44562</v>
      </c>
      <c r="O81" s="1">
        <v>44562</v>
      </c>
      <c r="P81" s="1">
        <v>44562</v>
      </c>
      <c r="Q81" s="1">
        <v>44562</v>
      </c>
      <c r="R81">
        <v>7</v>
      </c>
      <c r="S81" t="s">
        <v>278</v>
      </c>
      <c r="T8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81" t="str">
        <f>IF(tblRoster[[#This Row],[급수]]="4급(임기제)","4급",tblRoster[[#This Row],[급수]])</f>
        <v>7급</v>
      </c>
      <c r="V8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8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1" t="str">
        <f>IF(OR(tblRoster[[#This Row],[교직원상세구분]]="사회복무요원",tblRoster[[#This Row],[교직원상세구분]]="인턴(수습)"),"제외","포함")</f>
        <v>포함</v>
      </c>
      <c r="Y81">
        <f>1</f>
        <v>1</v>
      </c>
      <c r="Z81">
        <f>IF(tblRoster[[#This Row],[재직상태구분]]="휴직",1,0)</f>
        <v>0</v>
      </c>
      <c r="AA8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81">
        <f ca="1">IF(tblRoster[[#This Row],[본교발령시작일자]]="","",DATEDIF(tblRoster[[#This Row],[본교발령시작일자]],TODAY(),"Y"))</f>
        <v>4</v>
      </c>
      <c r="AC81">
        <f ca="1">IF(tblRoster[[#This Row],[최초발령시작일자]]="","",DATEDIF(tblRoster[[#This Row],[최초발령시작일자]],TODAY(),"Y"))</f>
        <v>4</v>
      </c>
      <c r="AD8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81">
        <f ca="1">IF(tblRoster[[#This Row],[직급발령시작일자]]="","",ROUND(YEARFRAC(tblRoster[[#This Row],[직급발령시작일자]],TODAY()),1))</f>
        <v>4.7</v>
      </c>
      <c r="AF8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81">
        <f ca="1">IF(OR(tblRoster[[#This Row],[공무원구분]]&lt;&gt;"공무원",tblRoster[[#This Row],[나이]]=""),"",YEAR(TODAY())+(60-tblRoster[[#This Row],[나이]]))</f>
        <v>2041</v>
      </c>
      <c r="AH81" t="str">
        <f>IF(tblRoster[[#This Row],[직위]]="","일반","보직자")</f>
        <v>일반</v>
      </c>
      <c r="AI8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1" t="str">
        <f ca="1">IF(tblRoster[[#This Row],[복직예정일]]="","",TEXT(tblRoster[[#This Row],[복직예정일]],"yyyy-mm"))</f>
        <v/>
      </c>
      <c r="AM81" t="str">
        <f ca="1">IF(tblRoster[[#This Row],[복직예정일]]="","",tblRoster[[#This Row],[복직예정일]]-TODAY())</f>
        <v/>
      </c>
      <c r="AN81" t="str">
        <f ca="1">IF(tblRoster[[#This Row],[휴직잔여일수]]="","",IF(tblRoster[[#This Row],[휴직잔여일수]]&lt;=180,"6개월내","6개월이후"))</f>
        <v/>
      </c>
      <c r="AO8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2" spans="1:41" x14ac:dyDescent="0.3">
      <c r="A82">
        <v>900080</v>
      </c>
      <c r="B82" t="s">
        <v>279</v>
      </c>
      <c r="C82" t="s">
        <v>8</v>
      </c>
      <c r="D82">
        <v>47</v>
      </c>
      <c r="E82" t="s">
        <v>150</v>
      </c>
      <c r="F82" t="s">
        <v>141</v>
      </c>
      <c r="G82" t="s">
        <v>185</v>
      </c>
      <c r="H82" t="s">
        <v>175</v>
      </c>
      <c r="I82" t="s">
        <v>144</v>
      </c>
      <c r="J82" t="s">
        <v>145</v>
      </c>
      <c r="L82" t="s">
        <v>134</v>
      </c>
      <c r="M82" t="s">
        <v>135</v>
      </c>
      <c r="N82" s="1">
        <v>42948</v>
      </c>
      <c r="O82" s="1">
        <v>42948</v>
      </c>
      <c r="P82" s="1">
        <v>42948</v>
      </c>
      <c r="Q82" s="1">
        <v>42948</v>
      </c>
      <c r="R82">
        <v>10</v>
      </c>
      <c r="T8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82" t="str">
        <f>IF(tblRoster[[#This Row],[급수]]="4급(임기제)","4급",tblRoster[[#This Row],[급수]])</f>
        <v>9급</v>
      </c>
      <c r="V8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8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2" t="str">
        <f>IF(OR(tblRoster[[#This Row],[교직원상세구분]]="사회복무요원",tblRoster[[#This Row],[교직원상세구분]]="인턴(수습)"),"제외","포함")</f>
        <v>포함</v>
      </c>
      <c r="Y82">
        <f>1</f>
        <v>1</v>
      </c>
      <c r="Z82">
        <f>IF(tblRoster[[#This Row],[재직상태구분]]="휴직",1,0)</f>
        <v>0</v>
      </c>
      <c r="AA8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82">
        <f ca="1">IF(tblRoster[[#This Row],[본교발령시작일자]]="","",DATEDIF(tblRoster[[#This Row],[본교발령시작일자]],TODAY(),"Y"))</f>
        <v>9</v>
      </c>
      <c r="AC82">
        <f ca="1">IF(tblRoster[[#This Row],[최초발령시작일자]]="","",DATEDIF(tblRoster[[#This Row],[최초발령시작일자]],TODAY(),"Y"))</f>
        <v>9</v>
      </c>
      <c r="AD8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82">
        <f ca="1">IF(tblRoster[[#This Row],[직급발령시작일자]]="","",ROUND(YEARFRAC(tblRoster[[#This Row],[직급발령시작일자]],TODAY()),1))</f>
        <v>9.1</v>
      </c>
      <c r="AF8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82">
        <f ca="1">IF(OR(tblRoster[[#This Row],[공무원구분]]&lt;&gt;"공무원",tblRoster[[#This Row],[나이]]=""),"",YEAR(TODAY())+(60-tblRoster[[#This Row],[나이]]))</f>
        <v>2039</v>
      </c>
      <c r="AH82" t="str">
        <f>IF(tblRoster[[#This Row],[직위]]="","일반","보직자")</f>
        <v>일반</v>
      </c>
      <c r="AI8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2" t="str">
        <f ca="1">IF(tblRoster[[#This Row],[복직예정일]]="","",TEXT(tblRoster[[#This Row],[복직예정일]],"yyyy-mm"))</f>
        <v/>
      </c>
      <c r="AM82" t="str">
        <f ca="1">IF(tblRoster[[#This Row],[복직예정일]]="","",tblRoster[[#This Row],[복직예정일]]-TODAY())</f>
        <v/>
      </c>
      <c r="AN82" t="str">
        <f ca="1">IF(tblRoster[[#This Row],[휴직잔여일수]]="","",IF(tblRoster[[#This Row],[휴직잔여일수]]&lt;=180,"6개월내","6개월이후"))</f>
        <v/>
      </c>
      <c r="AO8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3" spans="1:41" x14ac:dyDescent="0.3">
      <c r="A83">
        <v>900081</v>
      </c>
      <c r="B83" t="s">
        <v>280</v>
      </c>
      <c r="C83" t="s">
        <v>8</v>
      </c>
      <c r="D83">
        <v>45</v>
      </c>
      <c r="E83" t="s">
        <v>128</v>
      </c>
      <c r="F83" t="s">
        <v>141</v>
      </c>
      <c r="G83" t="s">
        <v>138</v>
      </c>
      <c r="H83" t="s">
        <v>163</v>
      </c>
      <c r="I83" t="s">
        <v>144</v>
      </c>
      <c r="J83" t="s">
        <v>145</v>
      </c>
      <c r="L83" t="s">
        <v>134</v>
      </c>
      <c r="M83" t="s">
        <v>135</v>
      </c>
      <c r="N83" s="1">
        <v>44348</v>
      </c>
      <c r="O83" s="1">
        <v>44348</v>
      </c>
      <c r="P83" s="1">
        <v>44348</v>
      </c>
      <c r="Q83" s="1">
        <v>44348</v>
      </c>
      <c r="T8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83" t="str">
        <f>IF(tblRoster[[#This Row],[급수]]="4급(임기제)","4급",tblRoster[[#This Row],[급수]])</f>
        <v>6급</v>
      </c>
      <c r="V8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8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3" t="str">
        <f>IF(OR(tblRoster[[#This Row],[교직원상세구분]]="사회복무요원",tblRoster[[#This Row],[교직원상세구분]]="인턴(수습)"),"제외","포함")</f>
        <v>포함</v>
      </c>
      <c r="Y83">
        <f>1</f>
        <v>1</v>
      </c>
      <c r="Z83">
        <f>IF(tblRoster[[#This Row],[재직상태구분]]="휴직",1,0)</f>
        <v>0</v>
      </c>
      <c r="AA8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83">
        <f ca="1">IF(tblRoster[[#This Row],[본교발령시작일자]]="","",DATEDIF(tblRoster[[#This Row],[본교발령시작일자]],TODAY(),"Y"))</f>
        <v>5</v>
      </c>
      <c r="AC83">
        <f ca="1">IF(tblRoster[[#This Row],[최초발령시작일자]]="","",DATEDIF(tblRoster[[#This Row],[최초발령시작일자]],TODAY(),"Y"))</f>
        <v>5</v>
      </c>
      <c r="AD8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83">
        <f ca="1">IF(tblRoster[[#This Row],[직급발령시작일자]]="","",ROUND(YEARFRAC(tblRoster[[#This Row],[직급발령시작일자]],TODAY()),1))</f>
        <v>5.3</v>
      </c>
      <c r="AF8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83">
        <f ca="1">IF(OR(tblRoster[[#This Row],[공무원구분]]&lt;&gt;"공무원",tblRoster[[#This Row],[나이]]=""),"",YEAR(TODAY())+(60-tblRoster[[#This Row],[나이]]))</f>
        <v>2041</v>
      </c>
      <c r="AH83" t="str">
        <f>IF(tblRoster[[#This Row],[직위]]="","일반","보직자")</f>
        <v>일반</v>
      </c>
      <c r="AI8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3" t="str">
        <f ca="1">IF(tblRoster[[#This Row],[복직예정일]]="","",TEXT(tblRoster[[#This Row],[복직예정일]],"yyyy-mm"))</f>
        <v/>
      </c>
      <c r="AM83" t="str">
        <f ca="1">IF(tblRoster[[#This Row],[복직예정일]]="","",tblRoster[[#This Row],[복직예정일]]-TODAY())</f>
        <v/>
      </c>
      <c r="AN83" t="str">
        <f ca="1">IF(tblRoster[[#This Row],[휴직잔여일수]]="","",IF(tblRoster[[#This Row],[휴직잔여일수]]&lt;=180,"6개월내","6개월이후"))</f>
        <v/>
      </c>
      <c r="AO8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4" spans="1:41" x14ac:dyDescent="0.3">
      <c r="A84">
        <v>900082</v>
      </c>
      <c r="B84" t="s">
        <v>281</v>
      </c>
      <c r="C84" t="s">
        <v>8</v>
      </c>
      <c r="D84">
        <v>30</v>
      </c>
      <c r="E84" t="s">
        <v>150</v>
      </c>
      <c r="F84" t="s">
        <v>154</v>
      </c>
      <c r="G84" t="s">
        <v>169</v>
      </c>
      <c r="H84" t="s">
        <v>180</v>
      </c>
      <c r="I84" t="s">
        <v>144</v>
      </c>
      <c r="J84" t="s">
        <v>145</v>
      </c>
      <c r="L84" t="s">
        <v>134</v>
      </c>
      <c r="M84" t="s">
        <v>135</v>
      </c>
      <c r="N84" s="1">
        <v>45323</v>
      </c>
      <c r="O84" s="1">
        <v>45323</v>
      </c>
      <c r="P84" s="1">
        <v>45323</v>
      </c>
      <c r="Q84" s="1">
        <v>45323</v>
      </c>
      <c r="R84">
        <v>4</v>
      </c>
      <c r="T8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84" t="str">
        <f>IF(tblRoster[[#This Row],[급수]]="4급(임기제)","4급",tblRoster[[#This Row],[급수]])</f>
        <v>7급</v>
      </c>
      <c r="V8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8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4" t="str">
        <f>IF(OR(tblRoster[[#This Row],[교직원상세구분]]="사회복무요원",tblRoster[[#This Row],[교직원상세구분]]="인턴(수습)"),"제외","포함")</f>
        <v>포함</v>
      </c>
      <c r="Y84">
        <f>1</f>
        <v>1</v>
      </c>
      <c r="Z84">
        <f>IF(tblRoster[[#This Row],[재직상태구분]]="휴직",1,0)</f>
        <v>0</v>
      </c>
      <c r="AA8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84">
        <f ca="1">IF(tblRoster[[#This Row],[본교발령시작일자]]="","",DATEDIF(tblRoster[[#This Row],[본교발령시작일자]],TODAY(),"Y"))</f>
        <v>2</v>
      </c>
      <c r="AC84">
        <f ca="1">IF(tblRoster[[#This Row],[최초발령시작일자]]="","",DATEDIF(tblRoster[[#This Row],[최초발령시작일자]],TODAY(),"Y"))</f>
        <v>2</v>
      </c>
      <c r="AD8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84">
        <f ca="1">IF(tblRoster[[#This Row],[직급발령시작일자]]="","",ROUND(YEARFRAC(tblRoster[[#This Row],[직급발령시작일자]],TODAY()),1))</f>
        <v>2.6</v>
      </c>
      <c r="AF8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84">
        <f ca="1">IF(OR(tblRoster[[#This Row],[공무원구분]]&lt;&gt;"공무원",tblRoster[[#This Row],[나이]]=""),"",YEAR(TODAY())+(60-tblRoster[[#This Row],[나이]]))</f>
        <v>2056</v>
      </c>
      <c r="AH84" t="str">
        <f>IF(tblRoster[[#This Row],[직위]]="","일반","보직자")</f>
        <v>일반</v>
      </c>
      <c r="AI8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4" t="str">
        <f ca="1">IF(tblRoster[[#This Row],[복직예정일]]="","",TEXT(tblRoster[[#This Row],[복직예정일]],"yyyy-mm"))</f>
        <v/>
      </c>
      <c r="AM84" t="str">
        <f ca="1">IF(tblRoster[[#This Row],[복직예정일]]="","",tblRoster[[#This Row],[복직예정일]]-TODAY())</f>
        <v/>
      </c>
      <c r="AN84" t="str">
        <f ca="1">IF(tblRoster[[#This Row],[휴직잔여일수]]="","",IF(tblRoster[[#This Row],[휴직잔여일수]]&lt;=180,"6개월내","6개월이후"))</f>
        <v/>
      </c>
      <c r="AO8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5" spans="1:41" x14ac:dyDescent="0.3">
      <c r="A85">
        <v>900083</v>
      </c>
      <c r="B85" t="s">
        <v>282</v>
      </c>
      <c r="C85" t="s">
        <v>8</v>
      </c>
      <c r="D85">
        <v>38</v>
      </c>
      <c r="E85" t="s">
        <v>150</v>
      </c>
      <c r="F85" t="s">
        <v>129</v>
      </c>
      <c r="G85" t="s">
        <v>155</v>
      </c>
      <c r="H85" t="s">
        <v>283</v>
      </c>
      <c r="I85" t="s">
        <v>284</v>
      </c>
      <c r="J85" t="s">
        <v>145</v>
      </c>
      <c r="L85" t="s">
        <v>134</v>
      </c>
      <c r="M85" t="s">
        <v>135</v>
      </c>
      <c r="N85" s="1">
        <v>44986</v>
      </c>
      <c r="O85" s="1">
        <v>45383</v>
      </c>
      <c r="P85" s="1">
        <v>45383</v>
      </c>
      <c r="Q85" s="1">
        <v>45383</v>
      </c>
      <c r="R85">
        <v>4</v>
      </c>
      <c r="T8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연구사</v>
      </c>
      <c r="U85" t="str">
        <f>IF(tblRoster[[#This Row],[급수]]="4급(임기제)","4급",tblRoster[[#This Row],[급수]])</f>
        <v>연구사</v>
      </c>
      <c r="V8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8</v>
      </c>
      <c r="W8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5" t="str">
        <f>IF(OR(tblRoster[[#This Row],[교직원상세구분]]="사회복무요원",tblRoster[[#This Row],[교직원상세구분]]="인턴(수습)"),"제외","포함")</f>
        <v>포함</v>
      </c>
      <c r="Y85">
        <f>1</f>
        <v>1</v>
      </c>
      <c r="Z85">
        <f>IF(tblRoster[[#This Row],[재직상태구분]]="휴직",1,0)</f>
        <v>0</v>
      </c>
      <c r="AA8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85">
        <f ca="1">IF(tblRoster[[#This Row],[본교발령시작일자]]="","",DATEDIF(tblRoster[[#This Row],[본교발령시작일자]],TODAY(),"Y"))</f>
        <v>2</v>
      </c>
      <c r="AC85">
        <f ca="1">IF(tblRoster[[#This Row],[최초발령시작일자]]="","",DATEDIF(tblRoster[[#This Row],[최초발령시작일자]],TODAY(),"Y"))</f>
        <v>3</v>
      </c>
      <c r="AD8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85">
        <f ca="1">IF(tblRoster[[#This Row],[직급발령시작일자]]="","",ROUND(YEARFRAC(tblRoster[[#This Row],[직급발령시작일자]],TODAY()),1))</f>
        <v>2.4</v>
      </c>
      <c r="AF8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85">
        <f ca="1">IF(OR(tblRoster[[#This Row],[공무원구분]]&lt;&gt;"공무원",tblRoster[[#This Row],[나이]]=""),"",YEAR(TODAY())+(60-tblRoster[[#This Row],[나이]]))</f>
        <v>2048</v>
      </c>
      <c r="AH85" t="str">
        <f>IF(tblRoster[[#This Row],[직위]]="","일반","보직자")</f>
        <v>일반</v>
      </c>
      <c r="AI8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5" t="str">
        <f ca="1">IF(tblRoster[[#This Row],[복직예정일]]="","",TEXT(tblRoster[[#This Row],[복직예정일]],"yyyy-mm"))</f>
        <v/>
      </c>
      <c r="AM85" t="str">
        <f ca="1">IF(tblRoster[[#This Row],[복직예정일]]="","",tblRoster[[#This Row],[복직예정일]]-TODAY())</f>
        <v/>
      </c>
      <c r="AN85" t="str">
        <f ca="1">IF(tblRoster[[#This Row],[휴직잔여일수]]="","",IF(tblRoster[[#This Row],[휴직잔여일수]]&lt;=180,"6개월내","6개월이후"))</f>
        <v/>
      </c>
      <c r="AO8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6" spans="1:41" x14ac:dyDescent="0.3">
      <c r="A86">
        <v>900084</v>
      </c>
      <c r="B86" t="s">
        <v>285</v>
      </c>
      <c r="C86" t="s">
        <v>8</v>
      </c>
      <c r="D86">
        <v>46</v>
      </c>
      <c r="E86" t="s">
        <v>150</v>
      </c>
      <c r="F86" t="s">
        <v>154</v>
      </c>
      <c r="G86" t="s">
        <v>211</v>
      </c>
      <c r="H86" t="s">
        <v>156</v>
      </c>
      <c r="I86" t="s">
        <v>144</v>
      </c>
      <c r="J86" t="s">
        <v>145</v>
      </c>
      <c r="L86" t="s">
        <v>134</v>
      </c>
      <c r="M86" t="s">
        <v>135</v>
      </c>
      <c r="N86" s="1">
        <v>41579</v>
      </c>
      <c r="O86" s="1">
        <v>46204</v>
      </c>
      <c r="P86" s="1">
        <v>46204</v>
      </c>
      <c r="Q86" s="1">
        <v>46204</v>
      </c>
      <c r="R86">
        <v>16</v>
      </c>
      <c r="T8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86" t="str">
        <f>IF(tblRoster[[#This Row],[급수]]="4급(임기제)","4급",tblRoster[[#This Row],[급수]])</f>
        <v>6급</v>
      </c>
      <c r="V8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8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6" t="str">
        <f>IF(OR(tblRoster[[#This Row],[교직원상세구분]]="사회복무요원",tblRoster[[#This Row],[교직원상세구분]]="인턴(수습)"),"제외","포함")</f>
        <v>포함</v>
      </c>
      <c r="Y86">
        <f>1</f>
        <v>1</v>
      </c>
      <c r="Z86">
        <f>IF(tblRoster[[#This Row],[재직상태구분]]="휴직",1,0)</f>
        <v>0</v>
      </c>
      <c r="AA8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86">
        <f ca="1">IF(tblRoster[[#This Row],[본교발령시작일자]]="","",DATEDIF(tblRoster[[#This Row],[본교발령시작일자]],TODAY(),"Y"))</f>
        <v>0</v>
      </c>
      <c r="AC86">
        <f ca="1">IF(tblRoster[[#This Row],[최초발령시작일자]]="","",DATEDIF(tblRoster[[#This Row],[최초발령시작일자]],TODAY(),"Y"))</f>
        <v>12</v>
      </c>
      <c r="AD8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86">
        <f ca="1">IF(tblRoster[[#This Row],[직급발령시작일자]]="","",ROUND(YEARFRAC(tblRoster[[#This Row],[직급발령시작일자]],TODAY()),1))</f>
        <v>0.2</v>
      </c>
      <c r="AF8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86">
        <f ca="1">IF(OR(tblRoster[[#This Row],[공무원구분]]&lt;&gt;"공무원",tblRoster[[#This Row],[나이]]=""),"",YEAR(TODAY())+(60-tblRoster[[#This Row],[나이]]))</f>
        <v>2040</v>
      </c>
      <c r="AH86" t="str">
        <f>IF(tblRoster[[#This Row],[직위]]="","일반","보직자")</f>
        <v>일반</v>
      </c>
      <c r="AI8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6" t="str">
        <f ca="1">IF(tblRoster[[#This Row],[복직예정일]]="","",TEXT(tblRoster[[#This Row],[복직예정일]],"yyyy-mm"))</f>
        <v/>
      </c>
      <c r="AM86" t="str">
        <f ca="1">IF(tblRoster[[#This Row],[복직예정일]]="","",tblRoster[[#This Row],[복직예정일]]-TODAY())</f>
        <v/>
      </c>
      <c r="AN86" t="str">
        <f ca="1">IF(tblRoster[[#This Row],[휴직잔여일수]]="","",IF(tblRoster[[#This Row],[휴직잔여일수]]&lt;=180,"6개월내","6개월이후"))</f>
        <v/>
      </c>
      <c r="AO8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7" spans="1:41" x14ac:dyDescent="0.3">
      <c r="A87">
        <v>900085</v>
      </c>
      <c r="B87" t="s">
        <v>286</v>
      </c>
      <c r="C87" t="s">
        <v>8</v>
      </c>
      <c r="D87">
        <v>28</v>
      </c>
      <c r="E87" t="s">
        <v>128</v>
      </c>
      <c r="F87" t="s">
        <v>154</v>
      </c>
      <c r="G87" t="s">
        <v>182</v>
      </c>
      <c r="H87" t="s">
        <v>275</v>
      </c>
      <c r="I87" t="s">
        <v>144</v>
      </c>
      <c r="J87" t="s">
        <v>145</v>
      </c>
      <c r="L87" t="s">
        <v>135</v>
      </c>
      <c r="M87" t="s">
        <v>135</v>
      </c>
      <c r="N87" s="1">
        <v>44317</v>
      </c>
      <c r="O87" s="1">
        <v>45689</v>
      </c>
      <c r="P87" s="1">
        <v>45689</v>
      </c>
      <c r="Q87" s="1">
        <v>45689</v>
      </c>
      <c r="R87">
        <v>7</v>
      </c>
      <c r="T8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87" t="str">
        <f>IF(tblRoster[[#This Row],[급수]]="4급(임기제)","4급",tblRoster[[#This Row],[급수]])</f>
        <v>7급</v>
      </c>
      <c r="V8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8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7" t="str">
        <f>IF(OR(tblRoster[[#This Row],[교직원상세구분]]="사회복무요원",tblRoster[[#This Row],[교직원상세구분]]="인턴(수습)"),"제외","포함")</f>
        <v>포함</v>
      </c>
      <c r="Y87">
        <f>1</f>
        <v>1</v>
      </c>
      <c r="Z87">
        <f>IF(tblRoster[[#This Row],[재직상태구분]]="휴직",1,0)</f>
        <v>0</v>
      </c>
      <c r="AA8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87">
        <f ca="1">IF(tblRoster[[#This Row],[본교발령시작일자]]="","",DATEDIF(tblRoster[[#This Row],[본교발령시작일자]],TODAY(),"Y"))</f>
        <v>1</v>
      </c>
      <c r="AC87">
        <f ca="1">IF(tblRoster[[#This Row],[최초발령시작일자]]="","",DATEDIF(tblRoster[[#This Row],[최초발령시작일자]],TODAY(),"Y"))</f>
        <v>5</v>
      </c>
      <c r="AD8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87">
        <f ca="1">IF(tblRoster[[#This Row],[직급발령시작일자]]="","",ROUND(YEARFRAC(tblRoster[[#This Row],[직급발령시작일자]],TODAY()),1))</f>
        <v>1.6</v>
      </c>
      <c r="AF8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87">
        <f ca="1">IF(OR(tblRoster[[#This Row],[공무원구분]]&lt;&gt;"공무원",tblRoster[[#This Row],[나이]]=""),"",YEAR(TODAY())+(60-tblRoster[[#This Row],[나이]]))</f>
        <v>2058</v>
      </c>
      <c r="AH87" t="str">
        <f>IF(tblRoster[[#This Row],[직위]]="","일반","보직자")</f>
        <v>일반</v>
      </c>
      <c r="AI8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7" t="str">
        <f ca="1">IF(tblRoster[[#This Row],[복직예정일]]="","",TEXT(tblRoster[[#This Row],[복직예정일]],"yyyy-mm"))</f>
        <v/>
      </c>
      <c r="AM87" t="str">
        <f ca="1">IF(tblRoster[[#This Row],[복직예정일]]="","",tblRoster[[#This Row],[복직예정일]]-TODAY())</f>
        <v/>
      </c>
      <c r="AN87" t="str">
        <f ca="1">IF(tblRoster[[#This Row],[휴직잔여일수]]="","",IF(tblRoster[[#This Row],[휴직잔여일수]]&lt;=180,"6개월내","6개월이후"))</f>
        <v/>
      </c>
      <c r="AO8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8" spans="1:41" x14ac:dyDescent="0.3">
      <c r="A88">
        <v>900086</v>
      </c>
      <c r="B88" t="s">
        <v>287</v>
      </c>
      <c r="C88" t="s">
        <v>8</v>
      </c>
      <c r="D88">
        <v>33</v>
      </c>
      <c r="E88" t="s">
        <v>128</v>
      </c>
      <c r="F88" t="s">
        <v>147</v>
      </c>
      <c r="G88" t="s">
        <v>222</v>
      </c>
      <c r="H88" t="s">
        <v>219</v>
      </c>
      <c r="I88" t="s">
        <v>144</v>
      </c>
      <c r="J88" t="s">
        <v>145</v>
      </c>
      <c r="L88" t="s">
        <v>135</v>
      </c>
      <c r="M88" t="s">
        <v>135</v>
      </c>
      <c r="N88" s="1">
        <v>43678</v>
      </c>
      <c r="O88" s="1">
        <v>43678</v>
      </c>
      <c r="P88" s="1">
        <v>44682</v>
      </c>
      <c r="Q88" s="1">
        <v>44682</v>
      </c>
      <c r="R88">
        <v>9</v>
      </c>
      <c r="T8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88" t="str">
        <f>IF(tblRoster[[#This Row],[급수]]="4급(임기제)","4급",tblRoster[[#This Row],[급수]])</f>
        <v>8급</v>
      </c>
      <c r="V8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8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8" t="str">
        <f>IF(OR(tblRoster[[#This Row],[교직원상세구분]]="사회복무요원",tblRoster[[#This Row],[교직원상세구분]]="인턴(수습)"),"제외","포함")</f>
        <v>포함</v>
      </c>
      <c r="Y88">
        <f>1</f>
        <v>1</v>
      </c>
      <c r="Z88">
        <f>IF(tblRoster[[#This Row],[재직상태구분]]="휴직",1,0)</f>
        <v>0</v>
      </c>
      <c r="AA8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88">
        <f ca="1">IF(tblRoster[[#This Row],[본교발령시작일자]]="","",DATEDIF(tblRoster[[#This Row],[본교발령시작일자]],TODAY(),"Y"))</f>
        <v>7</v>
      </c>
      <c r="AC88">
        <f ca="1">IF(tblRoster[[#This Row],[최초발령시작일자]]="","",DATEDIF(tblRoster[[#This Row],[최초발령시작일자]],TODAY(),"Y"))</f>
        <v>7</v>
      </c>
      <c r="AD8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88">
        <f ca="1">IF(tblRoster[[#This Row],[직급발령시작일자]]="","",ROUND(YEARFRAC(tblRoster[[#This Row],[직급발령시작일자]],TODAY()),1))</f>
        <v>4.4000000000000004</v>
      </c>
      <c r="AF8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88">
        <f ca="1">IF(OR(tblRoster[[#This Row],[공무원구분]]&lt;&gt;"공무원",tblRoster[[#This Row],[나이]]=""),"",YEAR(TODAY())+(60-tblRoster[[#This Row],[나이]]))</f>
        <v>2053</v>
      </c>
      <c r="AH88" t="str">
        <f>IF(tblRoster[[#This Row],[직위]]="","일반","보직자")</f>
        <v>일반</v>
      </c>
      <c r="AI8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8" t="str">
        <f ca="1">IF(tblRoster[[#This Row],[복직예정일]]="","",TEXT(tblRoster[[#This Row],[복직예정일]],"yyyy-mm"))</f>
        <v/>
      </c>
      <c r="AM88" t="str">
        <f ca="1">IF(tblRoster[[#This Row],[복직예정일]]="","",tblRoster[[#This Row],[복직예정일]]-TODAY())</f>
        <v/>
      </c>
      <c r="AN88" t="str">
        <f ca="1">IF(tblRoster[[#This Row],[휴직잔여일수]]="","",IF(tblRoster[[#This Row],[휴직잔여일수]]&lt;=180,"6개월내","6개월이후"))</f>
        <v/>
      </c>
      <c r="AO8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89" spans="1:41" x14ac:dyDescent="0.3">
      <c r="A89">
        <v>900087</v>
      </c>
      <c r="B89" t="s">
        <v>288</v>
      </c>
      <c r="C89" t="s">
        <v>8</v>
      </c>
      <c r="D89">
        <v>48</v>
      </c>
      <c r="E89" t="s">
        <v>150</v>
      </c>
      <c r="F89" t="s">
        <v>137</v>
      </c>
      <c r="G89" t="s">
        <v>197</v>
      </c>
      <c r="H89" t="s">
        <v>193</v>
      </c>
      <c r="I89" t="s">
        <v>144</v>
      </c>
      <c r="J89" t="s">
        <v>145</v>
      </c>
      <c r="L89" t="s">
        <v>134</v>
      </c>
      <c r="M89" t="s">
        <v>135</v>
      </c>
      <c r="N89" s="1">
        <v>38078</v>
      </c>
      <c r="O89" s="1">
        <v>38078</v>
      </c>
      <c r="P89" s="1">
        <v>43374</v>
      </c>
      <c r="Q89" s="1">
        <v>43374</v>
      </c>
      <c r="R89">
        <v>25</v>
      </c>
      <c r="T8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89" t="str">
        <f>IF(tblRoster[[#This Row],[급수]]="4급(임기제)","4급",tblRoster[[#This Row],[급수]])</f>
        <v>4급</v>
      </c>
      <c r="V8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8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89" t="str">
        <f>IF(OR(tblRoster[[#This Row],[교직원상세구분]]="사회복무요원",tblRoster[[#This Row],[교직원상세구분]]="인턴(수습)"),"제외","포함")</f>
        <v>포함</v>
      </c>
      <c r="Y89">
        <f>1</f>
        <v>1</v>
      </c>
      <c r="Z89">
        <f>IF(tblRoster[[#This Row],[재직상태구분]]="휴직",1,0)</f>
        <v>0</v>
      </c>
      <c r="AA8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89">
        <f ca="1">IF(tblRoster[[#This Row],[본교발령시작일자]]="","",DATEDIF(tblRoster[[#This Row],[본교발령시작일자]],TODAY(),"Y"))</f>
        <v>22</v>
      </c>
      <c r="AC89">
        <f ca="1">IF(tblRoster[[#This Row],[최초발령시작일자]]="","",DATEDIF(tblRoster[[#This Row],[최초발령시작일자]],TODAY(),"Y"))</f>
        <v>22</v>
      </c>
      <c r="AD8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89">
        <f ca="1">IF(tblRoster[[#This Row],[직급발령시작일자]]="","",ROUND(YEARFRAC(tblRoster[[#This Row],[직급발령시작일자]],TODAY()),1))</f>
        <v>7.9</v>
      </c>
      <c r="AF8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89">
        <f ca="1">IF(OR(tblRoster[[#This Row],[공무원구분]]&lt;&gt;"공무원",tblRoster[[#This Row],[나이]]=""),"",YEAR(TODAY())+(60-tblRoster[[#This Row],[나이]]))</f>
        <v>2038</v>
      </c>
      <c r="AH89" t="str">
        <f>IF(tblRoster[[#This Row],[직위]]="","일반","보직자")</f>
        <v>일반</v>
      </c>
      <c r="AI8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8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8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89" t="str">
        <f ca="1">IF(tblRoster[[#This Row],[복직예정일]]="","",TEXT(tblRoster[[#This Row],[복직예정일]],"yyyy-mm"))</f>
        <v/>
      </c>
      <c r="AM89" t="str">
        <f ca="1">IF(tblRoster[[#This Row],[복직예정일]]="","",tblRoster[[#This Row],[복직예정일]]-TODAY())</f>
        <v/>
      </c>
      <c r="AN89" t="str">
        <f ca="1">IF(tblRoster[[#This Row],[휴직잔여일수]]="","",IF(tblRoster[[#This Row],[휴직잔여일수]]&lt;=180,"6개월내","6개월이후"))</f>
        <v/>
      </c>
      <c r="AO8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0" spans="1:41" x14ac:dyDescent="0.3">
      <c r="A90">
        <v>900088</v>
      </c>
      <c r="B90" t="s">
        <v>289</v>
      </c>
      <c r="C90" t="s">
        <v>8</v>
      </c>
      <c r="D90">
        <v>41</v>
      </c>
      <c r="E90" t="s">
        <v>150</v>
      </c>
      <c r="F90" t="s">
        <v>179</v>
      </c>
      <c r="G90" t="s">
        <v>169</v>
      </c>
      <c r="H90" t="s">
        <v>163</v>
      </c>
      <c r="I90" t="s">
        <v>144</v>
      </c>
      <c r="J90" t="s">
        <v>145</v>
      </c>
      <c r="L90" t="s">
        <v>134</v>
      </c>
      <c r="M90" t="s">
        <v>135</v>
      </c>
      <c r="N90" s="1">
        <v>41791</v>
      </c>
      <c r="O90" s="1">
        <v>41791</v>
      </c>
      <c r="P90" s="1">
        <v>44013</v>
      </c>
      <c r="Q90" s="1">
        <v>44013</v>
      </c>
      <c r="T9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90" t="str">
        <f>IF(tblRoster[[#This Row],[급수]]="4급(임기제)","4급",tblRoster[[#This Row],[급수]])</f>
        <v>6급</v>
      </c>
      <c r="V9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9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90" t="str">
        <f>IF(OR(tblRoster[[#This Row],[교직원상세구분]]="사회복무요원",tblRoster[[#This Row],[교직원상세구분]]="인턴(수습)"),"제외","포함")</f>
        <v>포함</v>
      </c>
      <c r="Y90">
        <f>1</f>
        <v>1</v>
      </c>
      <c r="Z90">
        <f>IF(tblRoster[[#This Row],[재직상태구분]]="휴직",1,0)</f>
        <v>0</v>
      </c>
      <c r="AA9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90">
        <f ca="1">IF(tblRoster[[#This Row],[본교발령시작일자]]="","",DATEDIF(tblRoster[[#This Row],[본교발령시작일자]],TODAY(),"Y"))</f>
        <v>12</v>
      </c>
      <c r="AC90">
        <f ca="1">IF(tblRoster[[#This Row],[최초발령시작일자]]="","",DATEDIF(tblRoster[[#This Row],[최초발령시작일자]],TODAY(),"Y"))</f>
        <v>12</v>
      </c>
      <c r="AD9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90">
        <f ca="1">IF(tblRoster[[#This Row],[직급발령시작일자]]="","",ROUND(YEARFRAC(tblRoster[[#This Row],[직급발령시작일자]],TODAY()),1))</f>
        <v>6.2</v>
      </c>
      <c r="AF9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90">
        <f ca="1">IF(OR(tblRoster[[#This Row],[공무원구분]]&lt;&gt;"공무원",tblRoster[[#This Row],[나이]]=""),"",YEAR(TODAY())+(60-tblRoster[[#This Row],[나이]]))</f>
        <v>2045</v>
      </c>
      <c r="AH90" t="str">
        <f>IF(tblRoster[[#This Row],[직위]]="","일반","보직자")</f>
        <v>일반</v>
      </c>
      <c r="AI9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0" t="str">
        <f ca="1">IF(tblRoster[[#This Row],[복직예정일]]="","",TEXT(tblRoster[[#This Row],[복직예정일]],"yyyy-mm"))</f>
        <v/>
      </c>
      <c r="AM90" t="str">
        <f ca="1">IF(tblRoster[[#This Row],[복직예정일]]="","",tblRoster[[#This Row],[복직예정일]]-TODAY())</f>
        <v/>
      </c>
      <c r="AN90" t="str">
        <f ca="1">IF(tblRoster[[#This Row],[휴직잔여일수]]="","",IF(tblRoster[[#This Row],[휴직잔여일수]]&lt;=180,"6개월내","6개월이후"))</f>
        <v/>
      </c>
      <c r="AO9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1" spans="1:41" x14ac:dyDescent="0.3">
      <c r="A91">
        <v>900089</v>
      </c>
      <c r="B91" t="s">
        <v>28</v>
      </c>
      <c r="C91" t="s">
        <v>8</v>
      </c>
      <c r="D91">
        <v>40</v>
      </c>
      <c r="E91" t="s">
        <v>128</v>
      </c>
      <c r="F91" t="s">
        <v>147</v>
      </c>
      <c r="G91" t="s">
        <v>155</v>
      </c>
      <c r="H91" t="s">
        <v>131</v>
      </c>
      <c r="I91" t="s">
        <v>132</v>
      </c>
      <c r="J91" t="s">
        <v>133</v>
      </c>
      <c r="L91" t="s">
        <v>134</v>
      </c>
      <c r="M91" t="s">
        <v>135</v>
      </c>
      <c r="N91" s="1">
        <v>43983</v>
      </c>
      <c r="O91" s="1">
        <v>43983</v>
      </c>
      <c r="P91" s="1">
        <v>43983</v>
      </c>
      <c r="Q91" s="1">
        <v>43983</v>
      </c>
      <c r="R91">
        <v>7</v>
      </c>
      <c r="S91" t="s">
        <v>290</v>
      </c>
      <c r="T9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91" t="str">
        <f>IF(tblRoster[[#This Row],[급수]]="4급(임기제)","4급",tblRoster[[#This Row],[급수]])</f>
        <v>대학회계계약직</v>
      </c>
      <c r="V9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9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91" t="str">
        <f>IF(OR(tblRoster[[#This Row],[교직원상세구분]]="사회복무요원",tblRoster[[#This Row],[교직원상세구분]]="인턴(수습)"),"제외","포함")</f>
        <v>포함</v>
      </c>
      <c r="Y91">
        <f>1</f>
        <v>1</v>
      </c>
      <c r="Z91">
        <f>IF(tblRoster[[#This Row],[재직상태구분]]="휴직",1,0)</f>
        <v>0</v>
      </c>
      <c r="AA9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91">
        <f ca="1">IF(tblRoster[[#This Row],[본교발령시작일자]]="","",DATEDIF(tblRoster[[#This Row],[본교발령시작일자]],TODAY(),"Y"))</f>
        <v>6</v>
      </c>
      <c r="AC91">
        <f ca="1">IF(tblRoster[[#This Row],[최초발령시작일자]]="","",DATEDIF(tblRoster[[#This Row],[최초발령시작일자]],TODAY(),"Y"))</f>
        <v>6</v>
      </c>
      <c r="AD9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91">
        <f ca="1">IF(tblRoster[[#This Row],[직급발령시작일자]]="","",ROUND(YEARFRAC(tblRoster[[#This Row],[직급발령시작일자]],TODAY()),1))</f>
        <v>6.3</v>
      </c>
      <c r="AF9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91" t="str">
        <f ca="1">IF(OR(tblRoster[[#This Row],[공무원구분]]&lt;&gt;"공무원",tblRoster[[#This Row],[나이]]=""),"",YEAR(TODAY())+(60-tblRoster[[#This Row],[나이]]))</f>
        <v/>
      </c>
      <c r="AH91" t="str">
        <f>IF(tblRoster[[#This Row],[직위]]="","일반","보직자")</f>
        <v>일반</v>
      </c>
      <c r="AI9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1" t="str">
        <f ca="1">IF(tblRoster[[#This Row],[복직예정일]]="","",TEXT(tblRoster[[#This Row],[복직예정일]],"yyyy-mm"))</f>
        <v/>
      </c>
      <c r="AM91" t="str">
        <f ca="1">IF(tblRoster[[#This Row],[복직예정일]]="","",tblRoster[[#This Row],[복직예정일]]-TODAY())</f>
        <v/>
      </c>
      <c r="AN91" t="str">
        <f ca="1">IF(tblRoster[[#This Row],[휴직잔여일수]]="","",IF(tblRoster[[#This Row],[휴직잔여일수]]&lt;=180,"6개월내","6개월이후"))</f>
        <v/>
      </c>
      <c r="AO9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2" spans="1:41" x14ac:dyDescent="0.3">
      <c r="A92">
        <v>900090</v>
      </c>
      <c r="B92" t="s">
        <v>291</v>
      </c>
      <c r="C92" t="s">
        <v>8</v>
      </c>
      <c r="D92">
        <v>31</v>
      </c>
      <c r="E92" t="s">
        <v>150</v>
      </c>
      <c r="F92" t="s">
        <v>168</v>
      </c>
      <c r="G92" t="s">
        <v>159</v>
      </c>
      <c r="H92" t="s">
        <v>148</v>
      </c>
      <c r="I92" t="s">
        <v>132</v>
      </c>
      <c r="J92" t="s">
        <v>133</v>
      </c>
      <c r="L92" t="s">
        <v>135</v>
      </c>
      <c r="M92" t="s">
        <v>135</v>
      </c>
      <c r="N92" s="1">
        <v>45413</v>
      </c>
      <c r="O92" s="1">
        <v>46266</v>
      </c>
      <c r="P92" s="1">
        <v>46266</v>
      </c>
      <c r="Q92" s="1">
        <v>46266</v>
      </c>
      <c r="R92">
        <v>5</v>
      </c>
      <c r="T9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92" t="str">
        <f>IF(tblRoster[[#This Row],[급수]]="4급(임기제)","4급",tblRoster[[#This Row],[급수]])</f>
        <v>대학회계계약직</v>
      </c>
      <c r="V9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9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92" t="str">
        <f>IF(OR(tblRoster[[#This Row],[교직원상세구분]]="사회복무요원",tblRoster[[#This Row],[교직원상세구분]]="인턴(수습)"),"제외","포함")</f>
        <v>포함</v>
      </c>
      <c r="Y92">
        <f>1</f>
        <v>1</v>
      </c>
      <c r="Z92">
        <f>IF(tblRoster[[#This Row],[재직상태구분]]="휴직",1,0)</f>
        <v>0</v>
      </c>
      <c r="AA9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92">
        <f ca="1">IF(tblRoster[[#This Row],[본교발령시작일자]]="","",DATEDIF(tblRoster[[#This Row],[본교발령시작일자]],TODAY(),"Y"))</f>
        <v>0</v>
      </c>
      <c r="AC92">
        <f ca="1">IF(tblRoster[[#This Row],[최초발령시작일자]]="","",DATEDIF(tblRoster[[#This Row],[최초발령시작일자]],TODAY(),"Y"))</f>
        <v>2</v>
      </c>
      <c r="AD9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92">
        <f ca="1">IF(tblRoster[[#This Row],[직급발령시작일자]]="","",ROUND(YEARFRAC(tblRoster[[#This Row],[직급발령시작일자]],TODAY()),1))</f>
        <v>0</v>
      </c>
      <c r="AF9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2" t="str">
        <f ca="1">IF(OR(tblRoster[[#This Row],[공무원구분]]&lt;&gt;"공무원",tblRoster[[#This Row],[나이]]=""),"",YEAR(TODAY())+(60-tblRoster[[#This Row],[나이]]))</f>
        <v/>
      </c>
      <c r="AH92" t="str">
        <f>IF(tblRoster[[#This Row],[직위]]="","일반","보직자")</f>
        <v>일반</v>
      </c>
      <c r="AI9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2" t="str">
        <f ca="1">IF(tblRoster[[#This Row],[복직예정일]]="","",TEXT(tblRoster[[#This Row],[복직예정일]],"yyyy-mm"))</f>
        <v/>
      </c>
      <c r="AM92" t="str">
        <f ca="1">IF(tblRoster[[#This Row],[복직예정일]]="","",tblRoster[[#This Row],[복직예정일]]-TODAY())</f>
        <v/>
      </c>
      <c r="AN92" t="str">
        <f ca="1">IF(tblRoster[[#This Row],[휴직잔여일수]]="","",IF(tblRoster[[#This Row],[휴직잔여일수]]&lt;=180,"6개월내","6개월이후"))</f>
        <v/>
      </c>
      <c r="AO9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3" spans="1:41" x14ac:dyDescent="0.3">
      <c r="A93">
        <v>900091</v>
      </c>
      <c r="B93" t="s">
        <v>292</v>
      </c>
      <c r="C93" t="s">
        <v>8</v>
      </c>
      <c r="D93">
        <v>28</v>
      </c>
      <c r="E93" t="s">
        <v>128</v>
      </c>
      <c r="F93" t="s">
        <v>171</v>
      </c>
      <c r="G93" t="s">
        <v>182</v>
      </c>
      <c r="H93" t="s">
        <v>139</v>
      </c>
      <c r="I93" t="s">
        <v>132</v>
      </c>
      <c r="J93" t="s">
        <v>133</v>
      </c>
      <c r="L93" t="s">
        <v>134</v>
      </c>
      <c r="M93" t="s">
        <v>135</v>
      </c>
      <c r="N93" s="1">
        <v>44682</v>
      </c>
      <c r="O93" s="1">
        <v>45717</v>
      </c>
      <c r="P93" s="1">
        <v>45717</v>
      </c>
      <c r="Q93" s="1">
        <v>45717</v>
      </c>
      <c r="R93">
        <v>6</v>
      </c>
      <c r="T9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93" t="str">
        <f>IF(tblRoster[[#This Row],[급수]]="4급(임기제)","4급",tblRoster[[#This Row],[급수]])</f>
        <v>대학회계계약직</v>
      </c>
      <c r="V9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9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93" t="str">
        <f>IF(OR(tblRoster[[#This Row],[교직원상세구분]]="사회복무요원",tblRoster[[#This Row],[교직원상세구분]]="인턴(수습)"),"제외","포함")</f>
        <v>포함</v>
      </c>
      <c r="Y93">
        <f>1</f>
        <v>1</v>
      </c>
      <c r="Z93">
        <f>IF(tblRoster[[#This Row],[재직상태구분]]="휴직",1,0)</f>
        <v>0</v>
      </c>
      <c r="AA9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93">
        <f ca="1">IF(tblRoster[[#This Row],[본교발령시작일자]]="","",DATEDIF(tblRoster[[#This Row],[본교발령시작일자]],TODAY(),"Y"))</f>
        <v>1</v>
      </c>
      <c r="AC93">
        <f ca="1">IF(tblRoster[[#This Row],[최초발령시작일자]]="","",DATEDIF(tblRoster[[#This Row],[최초발령시작일자]],TODAY(),"Y"))</f>
        <v>4</v>
      </c>
      <c r="AD9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93">
        <f ca="1">IF(tblRoster[[#This Row],[직급발령시작일자]]="","",ROUND(YEARFRAC(tblRoster[[#This Row],[직급발령시작일자]],TODAY()),1))</f>
        <v>1.5</v>
      </c>
      <c r="AF9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3" t="str">
        <f ca="1">IF(OR(tblRoster[[#This Row],[공무원구분]]&lt;&gt;"공무원",tblRoster[[#This Row],[나이]]=""),"",YEAR(TODAY())+(60-tblRoster[[#This Row],[나이]]))</f>
        <v/>
      </c>
      <c r="AH93" t="str">
        <f>IF(tblRoster[[#This Row],[직위]]="","일반","보직자")</f>
        <v>일반</v>
      </c>
      <c r="AI9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3" t="str">
        <f ca="1">IF(tblRoster[[#This Row],[복직예정일]]="","",TEXT(tblRoster[[#This Row],[복직예정일]],"yyyy-mm"))</f>
        <v/>
      </c>
      <c r="AM93" t="str">
        <f ca="1">IF(tblRoster[[#This Row],[복직예정일]]="","",tblRoster[[#This Row],[복직예정일]]-TODAY())</f>
        <v/>
      </c>
      <c r="AN93" t="str">
        <f ca="1">IF(tblRoster[[#This Row],[휴직잔여일수]]="","",IF(tblRoster[[#This Row],[휴직잔여일수]]&lt;=180,"6개월내","6개월이후"))</f>
        <v/>
      </c>
      <c r="AO9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4" spans="1:41" x14ac:dyDescent="0.3">
      <c r="A94">
        <v>900092</v>
      </c>
      <c r="B94" t="s">
        <v>293</v>
      </c>
      <c r="C94" t="s">
        <v>8</v>
      </c>
      <c r="D94">
        <v>33</v>
      </c>
      <c r="E94" t="s">
        <v>128</v>
      </c>
      <c r="F94" t="s">
        <v>179</v>
      </c>
      <c r="G94" t="s">
        <v>185</v>
      </c>
      <c r="H94" t="s">
        <v>175</v>
      </c>
      <c r="I94" t="s">
        <v>144</v>
      </c>
      <c r="J94" t="s">
        <v>145</v>
      </c>
      <c r="L94" t="s">
        <v>135</v>
      </c>
      <c r="M94" t="s">
        <v>135</v>
      </c>
      <c r="N94" s="1">
        <v>42064</v>
      </c>
      <c r="O94" s="1">
        <v>42064</v>
      </c>
      <c r="P94" s="1">
        <v>44652</v>
      </c>
      <c r="Q94" s="1">
        <v>44652</v>
      </c>
      <c r="R94">
        <v>12</v>
      </c>
      <c r="T9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94" t="str">
        <f>IF(tblRoster[[#This Row],[급수]]="4급(임기제)","4급",tblRoster[[#This Row],[급수]])</f>
        <v>9급</v>
      </c>
      <c r="V9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9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94" t="str">
        <f>IF(OR(tblRoster[[#This Row],[교직원상세구분]]="사회복무요원",tblRoster[[#This Row],[교직원상세구분]]="인턴(수습)"),"제외","포함")</f>
        <v>포함</v>
      </c>
      <c r="Y94">
        <f>1</f>
        <v>1</v>
      </c>
      <c r="Z94">
        <f>IF(tblRoster[[#This Row],[재직상태구분]]="휴직",1,0)</f>
        <v>0</v>
      </c>
      <c r="AA9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94">
        <f ca="1">IF(tblRoster[[#This Row],[본교발령시작일자]]="","",DATEDIF(tblRoster[[#This Row],[본교발령시작일자]],TODAY(),"Y"))</f>
        <v>11</v>
      </c>
      <c r="AC94">
        <f ca="1">IF(tblRoster[[#This Row],[최초발령시작일자]]="","",DATEDIF(tblRoster[[#This Row],[최초발령시작일자]],TODAY(),"Y"))</f>
        <v>11</v>
      </c>
      <c r="AD9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94">
        <f ca="1">IF(tblRoster[[#This Row],[직급발령시작일자]]="","",ROUND(YEARFRAC(tblRoster[[#This Row],[직급발령시작일자]],TODAY()),1))</f>
        <v>4.4000000000000004</v>
      </c>
      <c r="AF9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4">
        <f ca="1">IF(OR(tblRoster[[#This Row],[공무원구분]]&lt;&gt;"공무원",tblRoster[[#This Row],[나이]]=""),"",YEAR(TODAY())+(60-tblRoster[[#This Row],[나이]]))</f>
        <v>2053</v>
      </c>
      <c r="AH94" t="str">
        <f>IF(tblRoster[[#This Row],[직위]]="","일반","보직자")</f>
        <v>일반</v>
      </c>
      <c r="AI9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4" t="str">
        <f ca="1">IF(tblRoster[[#This Row],[복직예정일]]="","",TEXT(tblRoster[[#This Row],[복직예정일]],"yyyy-mm"))</f>
        <v/>
      </c>
      <c r="AM94" t="str">
        <f ca="1">IF(tblRoster[[#This Row],[복직예정일]]="","",tblRoster[[#This Row],[복직예정일]]-TODAY())</f>
        <v/>
      </c>
      <c r="AN94" t="str">
        <f ca="1">IF(tblRoster[[#This Row],[휴직잔여일수]]="","",IF(tblRoster[[#This Row],[휴직잔여일수]]&lt;=180,"6개월내","6개월이후"))</f>
        <v/>
      </c>
      <c r="AO9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5" spans="1:41" x14ac:dyDescent="0.3">
      <c r="A95">
        <v>900093</v>
      </c>
      <c r="B95" t="s">
        <v>294</v>
      </c>
      <c r="C95" t="s">
        <v>8</v>
      </c>
      <c r="D95">
        <v>23</v>
      </c>
      <c r="E95" t="s">
        <v>150</v>
      </c>
      <c r="F95" t="s">
        <v>137</v>
      </c>
      <c r="G95" t="s">
        <v>138</v>
      </c>
      <c r="H95" t="s">
        <v>212</v>
      </c>
      <c r="I95" t="s">
        <v>213</v>
      </c>
      <c r="J95" t="s">
        <v>133</v>
      </c>
      <c r="L95" t="s">
        <v>134</v>
      </c>
      <c r="M95" t="s">
        <v>135</v>
      </c>
      <c r="N95" s="1">
        <v>46143</v>
      </c>
      <c r="O95" s="1">
        <v>46143</v>
      </c>
      <c r="P95" s="1">
        <v>46143</v>
      </c>
      <c r="Q95" s="1">
        <v>46143</v>
      </c>
      <c r="T9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95" t="str">
        <f>IF(tblRoster[[#This Row],[급수]]="4급(임기제)","4급",tblRoster[[#This Row],[급수]])</f>
        <v>인턴</v>
      </c>
      <c r="V9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9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95" t="str">
        <f>IF(OR(tblRoster[[#This Row],[교직원상세구분]]="사회복무요원",tblRoster[[#This Row],[교직원상세구분]]="인턴(수습)"),"제외","포함")</f>
        <v>제외</v>
      </c>
      <c r="Y95">
        <f>1</f>
        <v>1</v>
      </c>
      <c r="Z95">
        <f>IF(tblRoster[[#This Row],[재직상태구분]]="휴직",1,0)</f>
        <v>0</v>
      </c>
      <c r="AA9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95">
        <f ca="1">IF(tblRoster[[#This Row],[본교발령시작일자]]="","",DATEDIF(tblRoster[[#This Row],[본교발령시작일자]],TODAY(),"Y"))</f>
        <v>0</v>
      </c>
      <c r="AC95">
        <f ca="1">IF(tblRoster[[#This Row],[최초발령시작일자]]="","",DATEDIF(tblRoster[[#This Row],[최초발령시작일자]],TODAY(),"Y"))</f>
        <v>0</v>
      </c>
      <c r="AD9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95">
        <f ca="1">IF(tblRoster[[#This Row],[직급발령시작일자]]="","",ROUND(YEARFRAC(tblRoster[[#This Row],[직급발령시작일자]],TODAY()),1))</f>
        <v>0.4</v>
      </c>
      <c r="AF9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5" t="str">
        <f ca="1">IF(OR(tblRoster[[#This Row],[공무원구분]]&lt;&gt;"공무원",tblRoster[[#This Row],[나이]]=""),"",YEAR(TODAY())+(60-tblRoster[[#This Row],[나이]]))</f>
        <v/>
      </c>
      <c r="AH95" t="str">
        <f>IF(tblRoster[[#This Row],[직위]]="","일반","보직자")</f>
        <v>일반</v>
      </c>
      <c r="AI9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5" t="str">
        <f ca="1">IF(tblRoster[[#This Row],[복직예정일]]="","",TEXT(tblRoster[[#This Row],[복직예정일]],"yyyy-mm"))</f>
        <v/>
      </c>
      <c r="AM95" t="str">
        <f ca="1">IF(tblRoster[[#This Row],[복직예정일]]="","",tblRoster[[#This Row],[복직예정일]]-TODAY())</f>
        <v/>
      </c>
      <c r="AN95" t="str">
        <f ca="1">IF(tblRoster[[#This Row],[휴직잔여일수]]="","",IF(tblRoster[[#This Row],[휴직잔여일수]]&lt;=180,"6개월내","6개월이후"))</f>
        <v/>
      </c>
      <c r="AO9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6" spans="1:41" x14ac:dyDescent="0.3">
      <c r="A96">
        <v>900094</v>
      </c>
      <c r="B96" t="s">
        <v>295</v>
      </c>
      <c r="C96" t="s">
        <v>8</v>
      </c>
      <c r="D96">
        <v>44</v>
      </c>
      <c r="E96" t="s">
        <v>128</v>
      </c>
      <c r="F96" t="s">
        <v>158</v>
      </c>
      <c r="G96" t="s">
        <v>173</v>
      </c>
      <c r="H96" t="s">
        <v>296</v>
      </c>
      <c r="I96" t="s">
        <v>132</v>
      </c>
      <c r="J96" t="s">
        <v>133</v>
      </c>
      <c r="L96" t="s">
        <v>134</v>
      </c>
      <c r="M96" t="s">
        <v>135</v>
      </c>
      <c r="N96" s="1">
        <v>44348</v>
      </c>
      <c r="O96" s="1">
        <v>44348</v>
      </c>
      <c r="P96" s="1">
        <v>44348</v>
      </c>
      <c r="Q96" s="1">
        <v>44348</v>
      </c>
      <c r="R96">
        <v>7</v>
      </c>
      <c r="T9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96" t="str">
        <f>IF(tblRoster[[#This Row],[급수]]="4급(임기제)","4급",tblRoster[[#This Row],[급수]])</f>
        <v>대학회계계약직</v>
      </c>
      <c r="V9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9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96" t="str">
        <f>IF(OR(tblRoster[[#This Row],[교직원상세구분]]="사회복무요원",tblRoster[[#This Row],[교직원상세구분]]="인턴(수습)"),"제외","포함")</f>
        <v>포함</v>
      </c>
      <c r="Y96">
        <f>1</f>
        <v>1</v>
      </c>
      <c r="Z96">
        <f>IF(tblRoster[[#This Row],[재직상태구분]]="휴직",1,0)</f>
        <v>0</v>
      </c>
      <c r="AA9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96">
        <f ca="1">IF(tblRoster[[#This Row],[본교발령시작일자]]="","",DATEDIF(tblRoster[[#This Row],[본교발령시작일자]],TODAY(),"Y"))</f>
        <v>5</v>
      </c>
      <c r="AC96">
        <f ca="1">IF(tblRoster[[#This Row],[최초발령시작일자]]="","",DATEDIF(tblRoster[[#This Row],[최초발령시작일자]],TODAY(),"Y"))</f>
        <v>5</v>
      </c>
      <c r="AD9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96">
        <f ca="1">IF(tblRoster[[#This Row],[직급발령시작일자]]="","",ROUND(YEARFRAC(tblRoster[[#This Row],[직급발령시작일자]],TODAY()),1))</f>
        <v>5.3</v>
      </c>
      <c r="AF9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96" t="str">
        <f ca="1">IF(OR(tblRoster[[#This Row],[공무원구분]]&lt;&gt;"공무원",tblRoster[[#This Row],[나이]]=""),"",YEAR(TODAY())+(60-tblRoster[[#This Row],[나이]]))</f>
        <v/>
      </c>
      <c r="AH96" t="str">
        <f>IF(tblRoster[[#This Row],[직위]]="","일반","보직자")</f>
        <v>일반</v>
      </c>
      <c r="AI9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6" t="str">
        <f ca="1">IF(tblRoster[[#This Row],[복직예정일]]="","",TEXT(tblRoster[[#This Row],[복직예정일]],"yyyy-mm"))</f>
        <v/>
      </c>
      <c r="AM96" t="str">
        <f ca="1">IF(tblRoster[[#This Row],[복직예정일]]="","",tblRoster[[#This Row],[복직예정일]]-TODAY())</f>
        <v/>
      </c>
      <c r="AN96" t="str">
        <f ca="1">IF(tblRoster[[#This Row],[휴직잔여일수]]="","",IF(tblRoster[[#This Row],[휴직잔여일수]]&lt;=180,"6개월내","6개월이후"))</f>
        <v/>
      </c>
      <c r="AO9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7" spans="1:41" x14ac:dyDescent="0.3">
      <c r="A97">
        <v>900095</v>
      </c>
      <c r="B97" t="s">
        <v>297</v>
      </c>
      <c r="C97" t="s">
        <v>8</v>
      </c>
      <c r="D97">
        <v>31</v>
      </c>
      <c r="E97" t="s">
        <v>150</v>
      </c>
      <c r="F97" t="s">
        <v>129</v>
      </c>
      <c r="G97" t="s">
        <v>173</v>
      </c>
      <c r="H97" t="s">
        <v>198</v>
      </c>
      <c r="I97" t="s">
        <v>144</v>
      </c>
      <c r="J97" t="s">
        <v>145</v>
      </c>
      <c r="L97" t="s">
        <v>135</v>
      </c>
      <c r="M97" t="s">
        <v>135</v>
      </c>
      <c r="N97" s="1">
        <v>45474</v>
      </c>
      <c r="O97" s="1">
        <v>46204</v>
      </c>
      <c r="P97" s="1">
        <v>46204</v>
      </c>
      <c r="Q97" s="1">
        <v>46204</v>
      </c>
      <c r="R97">
        <v>4</v>
      </c>
      <c r="T9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97" t="str">
        <f>IF(tblRoster[[#This Row],[급수]]="4급(임기제)","4급",tblRoster[[#This Row],[급수]])</f>
        <v>7급</v>
      </c>
      <c r="V9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9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97" t="str">
        <f>IF(OR(tblRoster[[#This Row],[교직원상세구분]]="사회복무요원",tblRoster[[#This Row],[교직원상세구분]]="인턴(수습)"),"제외","포함")</f>
        <v>포함</v>
      </c>
      <c r="Y97">
        <f>1</f>
        <v>1</v>
      </c>
      <c r="Z97">
        <f>IF(tblRoster[[#This Row],[재직상태구분]]="휴직",1,0)</f>
        <v>0</v>
      </c>
      <c r="AA9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97">
        <f ca="1">IF(tblRoster[[#This Row],[본교발령시작일자]]="","",DATEDIF(tblRoster[[#This Row],[본교발령시작일자]],TODAY(),"Y"))</f>
        <v>0</v>
      </c>
      <c r="AC97">
        <f ca="1">IF(tblRoster[[#This Row],[최초발령시작일자]]="","",DATEDIF(tblRoster[[#This Row],[최초발령시작일자]],TODAY(),"Y"))</f>
        <v>2</v>
      </c>
      <c r="AD9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97">
        <f ca="1">IF(tblRoster[[#This Row],[직급발령시작일자]]="","",ROUND(YEARFRAC(tblRoster[[#This Row],[직급발령시작일자]],TODAY()),1))</f>
        <v>0.2</v>
      </c>
      <c r="AF9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7">
        <f ca="1">IF(OR(tblRoster[[#This Row],[공무원구분]]&lt;&gt;"공무원",tblRoster[[#This Row],[나이]]=""),"",YEAR(TODAY())+(60-tblRoster[[#This Row],[나이]]))</f>
        <v>2055</v>
      </c>
      <c r="AH97" t="str">
        <f>IF(tblRoster[[#This Row],[직위]]="","일반","보직자")</f>
        <v>일반</v>
      </c>
      <c r="AI9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7" t="str">
        <f ca="1">IF(tblRoster[[#This Row],[복직예정일]]="","",TEXT(tblRoster[[#This Row],[복직예정일]],"yyyy-mm"))</f>
        <v/>
      </c>
      <c r="AM97" t="str">
        <f ca="1">IF(tblRoster[[#This Row],[복직예정일]]="","",tblRoster[[#This Row],[복직예정일]]-TODAY())</f>
        <v/>
      </c>
      <c r="AN97" t="str">
        <f ca="1">IF(tblRoster[[#This Row],[휴직잔여일수]]="","",IF(tblRoster[[#This Row],[휴직잔여일수]]&lt;=180,"6개월내","6개월이후"))</f>
        <v/>
      </c>
      <c r="AO9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8" spans="1:41" x14ac:dyDescent="0.3">
      <c r="A98">
        <v>900096</v>
      </c>
      <c r="B98" t="s">
        <v>298</v>
      </c>
      <c r="C98" t="s">
        <v>8</v>
      </c>
      <c r="D98">
        <v>46</v>
      </c>
      <c r="E98" t="s">
        <v>150</v>
      </c>
      <c r="F98" t="s">
        <v>158</v>
      </c>
      <c r="G98" t="s">
        <v>207</v>
      </c>
      <c r="H98" t="s">
        <v>163</v>
      </c>
      <c r="I98" t="s">
        <v>144</v>
      </c>
      <c r="J98" t="s">
        <v>145</v>
      </c>
      <c r="L98" t="s">
        <v>134</v>
      </c>
      <c r="M98" t="s">
        <v>135</v>
      </c>
      <c r="N98" s="1">
        <v>45505</v>
      </c>
      <c r="O98" s="1">
        <v>45901</v>
      </c>
      <c r="P98" s="1">
        <v>45901</v>
      </c>
      <c r="Q98" s="1">
        <v>45901</v>
      </c>
      <c r="R98">
        <v>4</v>
      </c>
      <c r="T9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98" t="str">
        <f>IF(tblRoster[[#This Row],[급수]]="4급(임기제)","4급",tblRoster[[#This Row],[급수]])</f>
        <v>6급</v>
      </c>
      <c r="V9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9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98" t="str">
        <f>IF(OR(tblRoster[[#This Row],[교직원상세구분]]="사회복무요원",tblRoster[[#This Row],[교직원상세구분]]="인턴(수습)"),"제외","포함")</f>
        <v>포함</v>
      </c>
      <c r="Y98">
        <f>1</f>
        <v>1</v>
      </c>
      <c r="Z98">
        <f>IF(tblRoster[[#This Row],[재직상태구분]]="휴직",1,0)</f>
        <v>0</v>
      </c>
      <c r="AA9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98">
        <f ca="1">IF(tblRoster[[#This Row],[본교발령시작일자]]="","",DATEDIF(tblRoster[[#This Row],[본교발령시작일자]],TODAY(),"Y"))</f>
        <v>1</v>
      </c>
      <c r="AC98">
        <f ca="1">IF(tblRoster[[#This Row],[최초발령시작일자]]="","",DATEDIF(tblRoster[[#This Row],[최초발령시작일자]],TODAY(),"Y"))</f>
        <v>2</v>
      </c>
      <c r="AD9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98">
        <f ca="1">IF(tblRoster[[#This Row],[직급발령시작일자]]="","",ROUND(YEARFRAC(tblRoster[[#This Row],[직급발령시작일자]],TODAY()),1))</f>
        <v>1</v>
      </c>
      <c r="AF9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8">
        <f ca="1">IF(OR(tblRoster[[#This Row],[공무원구분]]&lt;&gt;"공무원",tblRoster[[#This Row],[나이]]=""),"",YEAR(TODAY())+(60-tblRoster[[#This Row],[나이]]))</f>
        <v>2040</v>
      </c>
      <c r="AH98" t="str">
        <f>IF(tblRoster[[#This Row],[직위]]="","일반","보직자")</f>
        <v>일반</v>
      </c>
      <c r="AI9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8" t="str">
        <f ca="1">IF(tblRoster[[#This Row],[복직예정일]]="","",TEXT(tblRoster[[#This Row],[복직예정일]],"yyyy-mm"))</f>
        <v/>
      </c>
      <c r="AM98" t="str">
        <f ca="1">IF(tblRoster[[#This Row],[복직예정일]]="","",tblRoster[[#This Row],[복직예정일]]-TODAY())</f>
        <v/>
      </c>
      <c r="AN98" t="str">
        <f ca="1">IF(tblRoster[[#This Row],[휴직잔여일수]]="","",IF(tblRoster[[#This Row],[휴직잔여일수]]&lt;=180,"6개월내","6개월이후"))</f>
        <v/>
      </c>
      <c r="AO9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99" spans="1:41" x14ac:dyDescent="0.3">
      <c r="A99">
        <v>900097</v>
      </c>
      <c r="B99" t="s">
        <v>299</v>
      </c>
      <c r="C99" t="s">
        <v>8</v>
      </c>
      <c r="D99">
        <v>43</v>
      </c>
      <c r="E99" t="s">
        <v>150</v>
      </c>
      <c r="F99" t="s">
        <v>179</v>
      </c>
      <c r="G99" t="s">
        <v>185</v>
      </c>
      <c r="H99" t="s">
        <v>163</v>
      </c>
      <c r="I99" t="s">
        <v>144</v>
      </c>
      <c r="J99" t="s">
        <v>145</v>
      </c>
      <c r="L99" t="s">
        <v>135</v>
      </c>
      <c r="M99" t="s">
        <v>135</v>
      </c>
      <c r="N99" s="1">
        <v>42856</v>
      </c>
      <c r="O99" s="1">
        <v>42856</v>
      </c>
      <c r="P99" s="1">
        <v>46054</v>
      </c>
      <c r="Q99" s="1">
        <v>46054</v>
      </c>
      <c r="R99">
        <v>12</v>
      </c>
      <c r="T9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99" t="str">
        <f>IF(tblRoster[[#This Row],[급수]]="4급(임기제)","4급",tblRoster[[#This Row],[급수]])</f>
        <v>6급</v>
      </c>
      <c r="V9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9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99" t="str">
        <f>IF(OR(tblRoster[[#This Row],[교직원상세구분]]="사회복무요원",tblRoster[[#This Row],[교직원상세구분]]="인턴(수습)"),"제외","포함")</f>
        <v>포함</v>
      </c>
      <c r="Y99">
        <f>1</f>
        <v>1</v>
      </c>
      <c r="Z99">
        <f>IF(tblRoster[[#This Row],[재직상태구분]]="휴직",1,0)</f>
        <v>0</v>
      </c>
      <c r="AA9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99">
        <f ca="1">IF(tblRoster[[#This Row],[본교발령시작일자]]="","",DATEDIF(tblRoster[[#This Row],[본교발령시작일자]],TODAY(),"Y"))</f>
        <v>9</v>
      </c>
      <c r="AC99">
        <f ca="1">IF(tblRoster[[#This Row],[최초발령시작일자]]="","",DATEDIF(tblRoster[[#This Row],[최초발령시작일자]],TODAY(),"Y"))</f>
        <v>9</v>
      </c>
      <c r="AD9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99">
        <f ca="1">IF(tblRoster[[#This Row],[직급발령시작일자]]="","",ROUND(YEARFRAC(tblRoster[[#This Row],[직급발령시작일자]],TODAY()),1))</f>
        <v>0.6</v>
      </c>
      <c r="AF9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99">
        <f ca="1">IF(OR(tblRoster[[#This Row],[공무원구분]]&lt;&gt;"공무원",tblRoster[[#This Row],[나이]]=""),"",YEAR(TODAY())+(60-tblRoster[[#This Row],[나이]]))</f>
        <v>2043</v>
      </c>
      <c r="AH99" t="str">
        <f>IF(tblRoster[[#This Row],[직위]]="","일반","보직자")</f>
        <v>일반</v>
      </c>
      <c r="AI9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9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9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99" t="str">
        <f ca="1">IF(tblRoster[[#This Row],[복직예정일]]="","",TEXT(tblRoster[[#This Row],[복직예정일]],"yyyy-mm"))</f>
        <v/>
      </c>
      <c r="AM99" t="str">
        <f ca="1">IF(tblRoster[[#This Row],[복직예정일]]="","",tblRoster[[#This Row],[복직예정일]]-TODAY())</f>
        <v/>
      </c>
      <c r="AN99" t="str">
        <f ca="1">IF(tblRoster[[#This Row],[휴직잔여일수]]="","",IF(tblRoster[[#This Row],[휴직잔여일수]]&lt;=180,"6개월내","6개월이후"))</f>
        <v/>
      </c>
      <c r="AO9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0" spans="1:41" x14ac:dyDescent="0.3">
      <c r="A100">
        <v>900098</v>
      </c>
      <c r="B100" t="s">
        <v>300</v>
      </c>
      <c r="C100" t="s">
        <v>8</v>
      </c>
      <c r="D100">
        <v>34</v>
      </c>
      <c r="E100" t="s">
        <v>128</v>
      </c>
      <c r="F100" t="s">
        <v>137</v>
      </c>
      <c r="G100" t="s">
        <v>138</v>
      </c>
      <c r="H100" t="s">
        <v>301</v>
      </c>
      <c r="I100" t="s">
        <v>132</v>
      </c>
      <c r="J100" t="s">
        <v>133</v>
      </c>
      <c r="L100" t="s">
        <v>134</v>
      </c>
      <c r="M100" t="s">
        <v>135</v>
      </c>
      <c r="N100" s="1">
        <v>43709</v>
      </c>
      <c r="O100" s="1">
        <v>43709</v>
      </c>
      <c r="P100" s="1">
        <v>43709</v>
      </c>
      <c r="Q100" s="1">
        <v>43709</v>
      </c>
      <c r="R100">
        <v>10</v>
      </c>
      <c r="T10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00" t="str">
        <f>IF(tblRoster[[#This Row],[급수]]="4급(임기제)","4급",tblRoster[[#This Row],[급수]])</f>
        <v>대학회계계약직</v>
      </c>
      <c r="V10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0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00" t="str">
        <f>IF(OR(tblRoster[[#This Row],[교직원상세구분]]="사회복무요원",tblRoster[[#This Row],[교직원상세구분]]="인턴(수습)"),"제외","포함")</f>
        <v>포함</v>
      </c>
      <c r="Y100">
        <f>1</f>
        <v>1</v>
      </c>
      <c r="Z100">
        <f>IF(tblRoster[[#This Row],[재직상태구분]]="휴직",1,0)</f>
        <v>0</v>
      </c>
      <c r="AA10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00">
        <f ca="1">IF(tblRoster[[#This Row],[본교발령시작일자]]="","",DATEDIF(tblRoster[[#This Row],[본교발령시작일자]],TODAY(),"Y"))</f>
        <v>7</v>
      </c>
      <c r="AC100">
        <f ca="1">IF(tblRoster[[#This Row],[최초발령시작일자]]="","",DATEDIF(tblRoster[[#This Row],[최초발령시작일자]],TODAY(),"Y"))</f>
        <v>7</v>
      </c>
      <c r="AD10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00">
        <f ca="1">IF(tblRoster[[#This Row],[직급발령시작일자]]="","",ROUND(YEARFRAC(tblRoster[[#This Row],[직급발령시작일자]],TODAY()),1))</f>
        <v>7</v>
      </c>
      <c r="AF10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00" t="str">
        <f ca="1">IF(OR(tblRoster[[#This Row],[공무원구분]]&lt;&gt;"공무원",tblRoster[[#This Row],[나이]]=""),"",YEAR(TODAY())+(60-tblRoster[[#This Row],[나이]]))</f>
        <v/>
      </c>
      <c r="AH100" t="str">
        <f>IF(tblRoster[[#This Row],[직위]]="","일반","보직자")</f>
        <v>일반</v>
      </c>
      <c r="AI10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0" t="str">
        <f ca="1">IF(tblRoster[[#This Row],[복직예정일]]="","",TEXT(tblRoster[[#This Row],[복직예정일]],"yyyy-mm"))</f>
        <v/>
      </c>
      <c r="AM100" t="str">
        <f ca="1">IF(tblRoster[[#This Row],[복직예정일]]="","",tblRoster[[#This Row],[복직예정일]]-TODAY())</f>
        <v/>
      </c>
      <c r="AN100" t="str">
        <f ca="1">IF(tblRoster[[#This Row],[휴직잔여일수]]="","",IF(tblRoster[[#This Row],[휴직잔여일수]]&lt;=180,"6개월내","6개월이후"))</f>
        <v/>
      </c>
      <c r="AO10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1" spans="1:41" x14ac:dyDescent="0.3">
      <c r="A101">
        <v>900099</v>
      </c>
      <c r="B101" t="s">
        <v>302</v>
      </c>
      <c r="C101" t="s">
        <v>8</v>
      </c>
      <c r="D101">
        <v>29</v>
      </c>
      <c r="E101" t="s">
        <v>150</v>
      </c>
      <c r="F101" t="s">
        <v>266</v>
      </c>
      <c r="G101" t="s">
        <v>169</v>
      </c>
      <c r="H101" t="s">
        <v>212</v>
      </c>
      <c r="I101" t="s">
        <v>213</v>
      </c>
      <c r="J101" t="s">
        <v>133</v>
      </c>
      <c r="L101" t="s">
        <v>134</v>
      </c>
      <c r="M101" t="s">
        <v>135</v>
      </c>
      <c r="N101" s="1">
        <v>43466</v>
      </c>
      <c r="O101" s="1">
        <v>43466</v>
      </c>
      <c r="P101" s="1">
        <v>45627</v>
      </c>
      <c r="Q101" s="1">
        <v>45627</v>
      </c>
      <c r="T10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101" t="str">
        <f>IF(tblRoster[[#This Row],[급수]]="4급(임기제)","4급",tblRoster[[#This Row],[급수]])</f>
        <v>인턴</v>
      </c>
      <c r="V10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10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101" t="str">
        <f>IF(OR(tblRoster[[#This Row],[교직원상세구분]]="사회복무요원",tblRoster[[#This Row],[교직원상세구분]]="인턴(수습)"),"제외","포함")</f>
        <v>제외</v>
      </c>
      <c r="Y101">
        <f>1</f>
        <v>1</v>
      </c>
      <c r="Z101">
        <f>IF(tblRoster[[#This Row],[재직상태구분]]="휴직",1,0)</f>
        <v>0</v>
      </c>
      <c r="AA10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01">
        <f ca="1">IF(tblRoster[[#This Row],[본교발령시작일자]]="","",DATEDIF(tblRoster[[#This Row],[본교발령시작일자]],TODAY(),"Y"))</f>
        <v>7</v>
      </c>
      <c r="AC101">
        <f ca="1">IF(tblRoster[[#This Row],[최초발령시작일자]]="","",DATEDIF(tblRoster[[#This Row],[최초발령시작일자]],TODAY(),"Y"))</f>
        <v>7</v>
      </c>
      <c r="AD10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01">
        <f ca="1">IF(tblRoster[[#This Row],[직급발령시작일자]]="","",ROUND(YEARFRAC(tblRoster[[#This Row],[직급발령시작일자]],TODAY()),1))</f>
        <v>1.8</v>
      </c>
      <c r="AF10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01" t="str">
        <f ca="1">IF(OR(tblRoster[[#This Row],[공무원구분]]&lt;&gt;"공무원",tblRoster[[#This Row],[나이]]=""),"",YEAR(TODAY())+(60-tblRoster[[#This Row],[나이]]))</f>
        <v/>
      </c>
      <c r="AH101" t="str">
        <f>IF(tblRoster[[#This Row],[직위]]="","일반","보직자")</f>
        <v>일반</v>
      </c>
      <c r="AI10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1" t="str">
        <f ca="1">IF(tblRoster[[#This Row],[복직예정일]]="","",TEXT(tblRoster[[#This Row],[복직예정일]],"yyyy-mm"))</f>
        <v/>
      </c>
      <c r="AM101" t="str">
        <f ca="1">IF(tblRoster[[#This Row],[복직예정일]]="","",tblRoster[[#This Row],[복직예정일]]-TODAY())</f>
        <v/>
      </c>
      <c r="AN101" t="str">
        <f ca="1">IF(tblRoster[[#This Row],[휴직잔여일수]]="","",IF(tblRoster[[#This Row],[휴직잔여일수]]&lt;=180,"6개월내","6개월이후"))</f>
        <v/>
      </c>
      <c r="AO10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2" spans="1:41" x14ac:dyDescent="0.3">
      <c r="A102">
        <v>900100</v>
      </c>
      <c r="B102" t="s">
        <v>303</v>
      </c>
      <c r="C102" t="s">
        <v>8</v>
      </c>
      <c r="D102">
        <v>50</v>
      </c>
      <c r="E102" t="s">
        <v>150</v>
      </c>
      <c r="F102" t="s">
        <v>184</v>
      </c>
      <c r="G102" t="s">
        <v>211</v>
      </c>
      <c r="H102" t="s">
        <v>180</v>
      </c>
      <c r="I102" t="s">
        <v>144</v>
      </c>
      <c r="J102" t="s">
        <v>145</v>
      </c>
      <c r="L102" t="s">
        <v>135</v>
      </c>
      <c r="M102" t="s">
        <v>135</v>
      </c>
      <c r="N102" s="1">
        <v>40664</v>
      </c>
      <c r="O102" s="1">
        <v>40664</v>
      </c>
      <c r="P102" s="1">
        <v>44531</v>
      </c>
      <c r="Q102" s="1">
        <v>44531</v>
      </c>
      <c r="R102">
        <v>16</v>
      </c>
      <c r="T10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02" t="str">
        <f>IF(tblRoster[[#This Row],[급수]]="4급(임기제)","4급",tblRoster[[#This Row],[급수]])</f>
        <v>7급</v>
      </c>
      <c r="V10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0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02" t="str">
        <f>IF(OR(tblRoster[[#This Row],[교직원상세구분]]="사회복무요원",tblRoster[[#This Row],[교직원상세구분]]="인턴(수습)"),"제외","포함")</f>
        <v>포함</v>
      </c>
      <c r="Y102">
        <f>1</f>
        <v>1</v>
      </c>
      <c r="Z102">
        <f>IF(tblRoster[[#This Row],[재직상태구분]]="휴직",1,0)</f>
        <v>0</v>
      </c>
      <c r="AA10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02">
        <f ca="1">IF(tblRoster[[#This Row],[본교발령시작일자]]="","",DATEDIF(tblRoster[[#This Row],[본교발령시작일자]],TODAY(),"Y"))</f>
        <v>15</v>
      </c>
      <c r="AC102">
        <f ca="1">IF(tblRoster[[#This Row],[최초발령시작일자]]="","",DATEDIF(tblRoster[[#This Row],[최초발령시작일자]],TODAY(),"Y"))</f>
        <v>15</v>
      </c>
      <c r="AD10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02">
        <f ca="1">IF(tblRoster[[#This Row],[직급발령시작일자]]="","",ROUND(YEARFRAC(tblRoster[[#This Row],[직급발령시작일자]],TODAY()),1))</f>
        <v>4.8</v>
      </c>
      <c r="AF10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02">
        <f ca="1">IF(OR(tblRoster[[#This Row],[공무원구분]]&lt;&gt;"공무원",tblRoster[[#This Row],[나이]]=""),"",YEAR(TODAY())+(60-tblRoster[[#This Row],[나이]]))</f>
        <v>2036</v>
      </c>
      <c r="AH102" t="str">
        <f>IF(tblRoster[[#This Row],[직위]]="","일반","보직자")</f>
        <v>일반</v>
      </c>
      <c r="AI10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2" t="str">
        <f ca="1">IF(tblRoster[[#This Row],[복직예정일]]="","",TEXT(tblRoster[[#This Row],[복직예정일]],"yyyy-mm"))</f>
        <v/>
      </c>
      <c r="AM102" t="str">
        <f ca="1">IF(tblRoster[[#This Row],[복직예정일]]="","",tblRoster[[#This Row],[복직예정일]]-TODAY())</f>
        <v/>
      </c>
      <c r="AN102" t="str">
        <f ca="1">IF(tblRoster[[#This Row],[휴직잔여일수]]="","",IF(tblRoster[[#This Row],[휴직잔여일수]]&lt;=180,"6개월내","6개월이후"))</f>
        <v/>
      </c>
      <c r="AO10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3" spans="1:41" x14ac:dyDescent="0.3">
      <c r="A103">
        <v>900101</v>
      </c>
      <c r="B103" t="s">
        <v>304</v>
      </c>
      <c r="C103" t="s">
        <v>8</v>
      </c>
      <c r="D103">
        <v>52</v>
      </c>
      <c r="E103" t="s">
        <v>128</v>
      </c>
      <c r="F103" t="s">
        <v>141</v>
      </c>
      <c r="G103" t="s">
        <v>182</v>
      </c>
      <c r="H103" t="s">
        <v>148</v>
      </c>
      <c r="I103" t="s">
        <v>132</v>
      </c>
      <c r="J103" t="s">
        <v>133</v>
      </c>
      <c r="L103" t="s">
        <v>135</v>
      </c>
      <c r="M103" t="s">
        <v>135</v>
      </c>
      <c r="N103" s="1">
        <v>40179</v>
      </c>
      <c r="O103" s="1">
        <v>40179</v>
      </c>
      <c r="P103" s="1">
        <v>46204</v>
      </c>
      <c r="Q103" s="1">
        <v>46204</v>
      </c>
      <c r="R103">
        <v>18</v>
      </c>
      <c r="T10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03" t="str">
        <f>IF(tblRoster[[#This Row],[급수]]="4급(임기제)","4급",tblRoster[[#This Row],[급수]])</f>
        <v>대학회계계약직</v>
      </c>
      <c r="V10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0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03" t="str">
        <f>IF(OR(tblRoster[[#This Row],[교직원상세구분]]="사회복무요원",tblRoster[[#This Row],[교직원상세구분]]="인턴(수습)"),"제외","포함")</f>
        <v>포함</v>
      </c>
      <c r="Y103">
        <f>1</f>
        <v>1</v>
      </c>
      <c r="Z103">
        <f>IF(tblRoster[[#This Row],[재직상태구분]]="휴직",1,0)</f>
        <v>0</v>
      </c>
      <c r="AA10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03">
        <f ca="1">IF(tblRoster[[#This Row],[본교발령시작일자]]="","",DATEDIF(tblRoster[[#This Row],[본교발령시작일자]],TODAY(),"Y"))</f>
        <v>16</v>
      </c>
      <c r="AC103">
        <f ca="1">IF(tblRoster[[#This Row],[최초발령시작일자]]="","",DATEDIF(tblRoster[[#This Row],[최초발령시작일자]],TODAY(),"Y"))</f>
        <v>16</v>
      </c>
      <c r="AD10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03">
        <f ca="1">IF(tblRoster[[#This Row],[직급발령시작일자]]="","",ROUND(YEARFRAC(tblRoster[[#This Row],[직급발령시작일자]],TODAY()),1))</f>
        <v>0.2</v>
      </c>
      <c r="AF10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03" t="str">
        <f ca="1">IF(OR(tblRoster[[#This Row],[공무원구분]]&lt;&gt;"공무원",tblRoster[[#This Row],[나이]]=""),"",YEAR(TODAY())+(60-tblRoster[[#This Row],[나이]]))</f>
        <v/>
      </c>
      <c r="AH103" t="str">
        <f>IF(tblRoster[[#This Row],[직위]]="","일반","보직자")</f>
        <v>일반</v>
      </c>
      <c r="AI10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3" t="str">
        <f ca="1">IF(tblRoster[[#This Row],[복직예정일]]="","",TEXT(tblRoster[[#This Row],[복직예정일]],"yyyy-mm"))</f>
        <v/>
      </c>
      <c r="AM103" t="str">
        <f ca="1">IF(tblRoster[[#This Row],[복직예정일]]="","",tblRoster[[#This Row],[복직예정일]]-TODAY())</f>
        <v/>
      </c>
      <c r="AN103" t="str">
        <f ca="1">IF(tblRoster[[#This Row],[휴직잔여일수]]="","",IF(tblRoster[[#This Row],[휴직잔여일수]]&lt;=180,"6개월내","6개월이후"))</f>
        <v/>
      </c>
      <c r="AO10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4" spans="1:41" x14ac:dyDescent="0.3">
      <c r="A104">
        <v>900102</v>
      </c>
      <c r="B104" t="s">
        <v>305</v>
      </c>
      <c r="C104" t="s">
        <v>8</v>
      </c>
      <c r="D104">
        <v>44</v>
      </c>
      <c r="E104" t="s">
        <v>128</v>
      </c>
      <c r="F104" t="s">
        <v>168</v>
      </c>
      <c r="G104" t="s">
        <v>197</v>
      </c>
      <c r="H104" t="s">
        <v>260</v>
      </c>
      <c r="I104" t="s">
        <v>239</v>
      </c>
      <c r="J104" t="s">
        <v>133</v>
      </c>
      <c r="L104" t="s">
        <v>134</v>
      </c>
      <c r="M104" t="s">
        <v>135</v>
      </c>
      <c r="N104" s="1">
        <v>44409</v>
      </c>
      <c r="O104" s="1">
        <v>44409</v>
      </c>
      <c r="P104" s="1">
        <v>46204</v>
      </c>
      <c r="Q104" s="1">
        <v>46204</v>
      </c>
      <c r="R104">
        <v>7</v>
      </c>
      <c r="T10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04" t="str">
        <f>IF(tblRoster[[#This Row],[급수]]="4급(임기제)","4급",tblRoster[[#This Row],[급수]])</f>
        <v>대학회계직</v>
      </c>
      <c r="V10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0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04" t="str">
        <f>IF(OR(tblRoster[[#This Row],[교직원상세구분]]="사회복무요원",tblRoster[[#This Row],[교직원상세구분]]="인턴(수습)"),"제외","포함")</f>
        <v>포함</v>
      </c>
      <c r="Y104">
        <f>1</f>
        <v>1</v>
      </c>
      <c r="Z104">
        <f>IF(tblRoster[[#This Row],[재직상태구분]]="휴직",1,0)</f>
        <v>0</v>
      </c>
      <c r="AA10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04">
        <f ca="1">IF(tblRoster[[#This Row],[본교발령시작일자]]="","",DATEDIF(tblRoster[[#This Row],[본교발령시작일자]],TODAY(),"Y"))</f>
        <v>5</v>
      </c>
      <c r="AC104">
        <f ca="1">IF(tblRoster[[#This Row],[최초발령시작일자]]="","",DATEDIF(tblRoster[[#This Row],[최초발령시작일자]],TODAY(),"Y"))</f>
        <v>5</v>
      </c>
      <c r="AD10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04">
        <f ca="1">IF(tblRoster[[#This Row],[직급발령시작일자]]="","",ROUND(YEARFRAC(tblRoster[[#This Row],[직급발령시작일자]],TODAY()),1))</f>
        <v>0.2</v>
      </c>
      <c r="AF10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04" t="str">
        <f ca="1">IF(OR(tblRoster[[#This Row],[공무원구분]]&lt;&gt;"공무원",tblRoster[[#This Row],[나이]]=""),"",YEAR(TODAY())+(60-tblRoster[[#This Row],[나이]]))</f>
        <v/>
      </c>
      <c r="AH104" t="str">
        <f>IF(tblRoster[[#This Row],[직위]]="","일반","보직자")</f>
        <v>일반</v>
      </c>
      <c r="AI10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4" t="str">
        <f ca="1">IF(tblRoster[[#This Row],[복직예정일]]="","",TEXT(tblRoster[[#This Row],[복직예정일]],"yyyy-mm"))</f>
        <v/>
      </c>
      <c r="AM104" t="str">
        <f ca="1">IF(tblRoster[[#This Row],[복직예정일]]="","",tblRoster[[#This Row],[복직예정일]]-TODAY())</f>
        <v/>
      </c>
      <c r="AN104" t="str">
        <f ca="1">IF(tblRoster[[#This Row],[휴직잔여일수]]="","",IF(tblRoster[[#This Row],[휴직잔여일수]]&lt;=180,"6개월내","6개월이후"))</f>
        <v/>
      </c>
      <c r="AO10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5" spans="1:41" x14ac:dyDescent="0.3">
      <c r="A105">
        <v>900103</v>
      </c>
      <c r="B105" t="s">
        <v>306</v>
      </c>
      <c r="C105" t="s">
        <v>8</v>
      </c>
      <c r="D105">
        <v>24</v>
      </c>
      <c r="E105" t="s">
        <v>150</v>
      </c>
      <c r="F105" t="s">
        <v>129</v>
      </c>
      <c r="G105" t="s">
        <v>211</v>
      </c>
      <c r="H105" t="s">
        <v>252</v>
      </c>
      <c r="I105" t="s">
        <v>132</v>
      </c>
      <c r="J105" t="s">
        <v>133</v>
      </c>
      <c r="L105" t="s">
        <v>134</v>
      </c>
      <c r="M105" t="s">
        <v>135</v>
      </c>
      <c r="N105" s="1">
        <v>45748</v>
      </c>
      <c r="O105" s="1">
        <v>45748</v>
      </c>
      <c r="P105" s="1">
        <v>45748</v>
      </c>
      <c r="Q105" s="1">
        <v>45748</v>
      </c>
      <c r="R105">
        <v>3</v>
      </c>
      <c r="T10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05" t="str">
        <f>IF(tblRoster[[#This Row],[급수]]="4급(임기제)","4급",tblRoster[[#This Row],[급수]])</f>
        <v>대학회계계약직</v>
      </c>
      <c r="V10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0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05" t="str">
        <f>IF(OR(tblRoster[[#This Row],[교직원상세구분]]="사회복무요원",tblRoster[[#This Row],[교직원상세구분]]="인턴(수습)"),"제외","포함")</f>
        <v>포함</v>
      </c>
      <c r="Y105">
        <f>1</f>
        <v>1</v>
      </c>
      <c r="Z105">
        <f>IF(tblRoster[[#This Row],[재직상태구분]]="휴직",1,0)</f>
        <v>0</v>
      </c>
      <c r="AA10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05">
        <f ca="1">IF(tblRoster[[#This Row],[본교발령시작일자]]="","",DATEDIF(tblRoster[[#This Row],[본교발령시작일자]],TODAY(),"Y"))</f>
        <v>1</v>
      </c>
      <c r="AC105">
        <f ca="1">IF(tblRoster[[#This Row],[최초발령시작일자]]="","",DATEDIF(tblRoster[[#This Row],[최초발령시작일자]],TODAY(),"Y"))</f>
        <v>1</v>
      </c>
      <c r="AD10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05">
        <f ca="1">IF(tblRoster[[#This Row],[직급발령시작일자]]="","",ROUND(YEARFRAC(tblRoster[[#This Row],[직급발령시작일자]],TODAY()),1))</f>
        <v>1.4</v>
      </c>
      <c r="AF10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05" t="str">
        <f ca="1">IF(OR(tblRoster[[#This Row],[공무원구분]]&lt;&gt;"공무원",tblRoster[[#This Row],[나이]]=""),"",YEAR(TODAY())+(60-tblRoster[[#This Row],[나이]]))</f>
        <v/>
      </c>
      <c r="AH105" t="str">
        <f>IF(tblRoster[[#This Row],[직위]]="","일반","보직자")</f>
        <v>일반</v>
      </c>
      <c r="AI10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5" t="str">
        <f ca="1">IF(tblRoster[[#This Row],[복직예정일]]="","",TEXT(tblRoster[[#This Row],[복직예정일]],"yyyy-mm"))</f>
        <v/>
      </c>
      <c r="AM105" t="str">
        <f ca="1">IF(tblRoster[[#This Row],[복직예정일]]="","",tblRoster[[#This Row],[복직예정일]]-TODAY())</f>
        <v/>
      </c>
      <c r="AN105" t="str">
        <f ca="1">IF(tblRoster[[#This Row],[휴직잔여일수]]="","",IF(tblRoster[[#This Row],[휴직잔여일수]]&lt;=180,"6개월내","6개월이후"))</f>
        <v/>
      </c>
      <c r="AO10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6" spans="1:41" x14ac:dyDescent="0.3">
      <c r="A106">
        <v>900104</v>
      </c>
      <c r="B106" t="s">
        <v>307</v>
      </c>
      <c r="C106" t="s">
        <v>8</v>
      </c>
      <c r="D106">
        <v>52</v>
      </c>
      <c r="E106" t="s">
        <v>150</v>
      </c>
      <c r="F106" t="s">
        <v>154</v>
      </c>
      <c r="G106" t="s">
        <v>182</v>
      </c>
      <c r="H106" t="s">
        <v>200</v>
      </c>
      <c r="I106" t="s">
        <v>144</v>
      </c>
      <c r="J106" t="s">
        <v>145</v>
      </c>
      <c r="K106" t="s">
        <v>308</v>
      </c>
      <c r="L106" t="s">
        <v>135</v>
      </c>
      <c r="M106" t="s">
        <v>135</v>
      </c>
      <c r="N106" s="1">
        <v>40513</v>
      </c>
      <c r="O106" s="1">
        <v>40513</v>
      </c>
      <c r="P106" s="1">
        <v>44013</v>
      </c>
      <c r="Q106" s="1">
        <v>44013</v>
      </c>
      <c r="R106">
        <v>19</v>
      </c>
      <c r="T10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106" t="str">
        <f>IF(tblRoster[[#This Row],[급수]]="4급(임기제)","4급",tblRoster[[#This Row],[급수]])</f>
        <v>5급</v>
      </c>
      <c r="V10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10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06" t="str">
        <f>IF(OR(tblRoster[[#This Row],[교직원상세구분]]="사회복무요원",tblRoster[[#This Row],[교직원상세구분]]="인턴(수습)"),"제외","포함")</f>
        <v>포함</v>
      </c>
      <c r="Y106">
        <f>1</f>
        <v>1</v>
      </c>
      <c r="Z106">
        <f>IF(tblRoster[[#This Row],[재직상태구분]]="휴직",1,0)</f>
        <v>0</v>
      </c>
      <c r="AA10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06">
        <f ca="1">IF(tblRoster[[#This Row],[본교발령시작일자]]="","",DATEDIF(tblRoster[[#This Row],[본교발령시작일자]],TODAY(),"Y"))</f>
        <v>15</v>
      </c>
      <c r="AC106">
        <f ca="1">IF(tblRoster[[#This Row],[최초발령시작일자]]="","",DATEDIF(tblRoster[[#This Row],[최초발령시작일자]],TODAY(),"Y"))</f>
        <v>15</v>
      </c>
      <c r="AD10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06">
        <f ca="1">IF(tblRoster[[#This Row],[직급발령시작일자]]="","",ROUND(YEARFRAC(tblRoster[[#This Row],[직급발령시작일자]],TODAY()),1))</f>
        <v>6.2</v>
      </c>
      <c r="AF10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06">
        <f ca="1">IF(OR(tblRoster[[#This Row],[공무원구분]]&lt;&gt;"공무원",tblRoster[[#This Row],[나이]]=""),"",YEAR(TODAY())+(60-tblRoster[[#This Row],[나이]]))</f>
        <v>2034</v>
      </c>
      <c r="AH106" t="str">
        <f>IF(tblRoster[[#This Row],[직위]]="","일반","보직자")</f>
        <v>보직자</v>
      </c>
      <c r="AI10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6" t="str">
        <f ca="1">IF(tblRoster[[#This Row],[복직예정일]]="","",TEXT(tblRoster[[#This Row],[복직예정일]],"yyyy-mm"))</f>
        <v/>
      </c>
      <c r="AM106" t="str">
        <f ca="1">IF(tblRoster[[#This Row],[복직예정일]]="","",tblRoster[[#This Row],[복직예정일]]-TODAY())</f>
        <v/>
      </c>
      <c r="AN106" t="str">
        <f ca="1">IF(tblRoster[[#This Row],[휴직잔여일수]]="","",IF(tblRoster[[#This Row],[휴직잔여일수]]&lt;=180,"6개월내","6개월이후"))</f>
        <v/>
      </c>
      <c r="AO10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7" spans="1:41" x14ac:dyDescent="0.3">
      <c r="A107">
        <v>900105</v>
      </c>
      <c r="B107" t="s">
        <v>309</v>
      </c>
      <c r="C107" t="s">
        <v>8</v>
      </c>
      <c r="D107">
        <v>46</v>
      </c>
      <c r="E107" t="s">
        <v>150</v>
      </c>
      <c r="F107" t="s">
        <v>179</v>
      </c>
      <c r="G107" t="s">
        <v>159</v>
      </c>
      <c r="H107" t="s">
        <v>131</v>
      </c>
      <c r="I107" t="s">
        <v>132</v>
      </c>
      <c r="J107" t="s">
        <v>133</v>
      </c>
      <c r="L107" t="s">
        <v>134</v>
      </c>
      <c r="M107" t="s">
        <v>135</v>
      </c>
      <c r="N107" s="1">
        <v>44105</v>
      </c>
      <c r="O107" s="1">
        <v>46327</v>
      </c>
      <c r="P107" s="1">
        <v>46327</v>
      </c>
      <c r="Q107" s="1">
        <v>46327</v>
      </c>
      <c r="R107">
        <v>6</v>
      </c>
      <c r="T10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07" t="str">
        <f>IF(tblRoster[[#This Row],[급수]]="4급(임기제)","4급",tblRoster[[#This Row],[급수]])</f>
        <v>대학회계계약직</v>
      </c>
      <c r="V10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0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07" t="str">
        <f>IF(OR(tblRoster[[#This Row],[교직원상세구분]]="사회복무요원",tblRoster[[#This Row],[교직원상세구분]]="인턴(수습)"),"제외","포함")</f>
        <v>포함</v>
      </c>
      <c r="Y107">
        <f>1</f>
        <v>1</v>
      </c>
      <c r="Z107">
        <f>IF(tblRoster[[#This Row],[재직상태구분]]="휴직",1,0)</f>
        <v>0</v>
      </c>
      <c r="AA10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07" t="e">
        <f ca="1">IF(tblRoster[[#This Row],[본교발령시작일자]]="","",DATEDIF(tblRoster[[#This Row],[본교발령시작일자]],TODAY(),"Y"))</f>
        <v>#NUM!</v>
      </c>
      <c r="AC107">
        <f ca="1">IF(tblRoster[[#This Row],[최초발령시작일자]]="","",DATEDIF(tblRoster[[#This Row],[최초발령시작일자]],TODAY(),"Y"))</f>
        <v>5</v>
      </c>
      <c r="AD10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07">
        <f ca="1">IF(tblRoster[[#This Row],[직급발령시작일자]]="","",ROUND(YEARFRAC(tblRoster[[#This Row],[직급발령시작일자]],TODAY()),1))</f>
        <v>0.2</v>
      </c>
      <c r="AF10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07" t="str">
        <f ca="1">IF(OR(tblRoster[[#This Row],[공무원구분]]&lt;&gt;"공무원",tblRoster[[#This Row],[나이]]=""),"",YEAR(TODAY())+(60-tblRoster[[#This Row],[나이]]))</f>
        <v/>
      </c>
      <c r="AH107" t="str">
        <f>IF(tblRoster[[#This Row],[직위]]="","일반","보직자")</f>
        <v>일반</v>
      </c>
      <c r="AI10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7" t="str">
        <f ca="1">IF(tblRoster[[#This Row],[복직예정일]]="","",TEXT(tblRoster[[#This Row],[복직예정일]],"yyyy-mm"))</f>
        <v/>
      </c>
      <c r="AM107" t="str">
        <f ca="1">IF(tblRoster[[#This Row],[복직예정일]]="","",tblRoster[[#This Row],[복직예정일]]-TODAY())</f>
        <v/>
      </c>
      <c r="AN107" t="str">
        <f ca="1">IF(tblRoster[[#This Row],[휴직잔여일수]]="","",IF(tblRoster[[#This Row],[휴직잔여일수]]&lt;=180,"6개월내","6개월이후"))</f>
        <v/>
      </c>
      <c r="AO10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8" spans="1:41" x14ac:dyDescent="0.3">
      <c r="A108">
        <v>900106</v>
      </c>
      <c r="B108" t="s">
        <v>310</v>
      </c>
      <c r="C108" t="s">
        <v>8</v>
      </c>
      <c r="D108">
        <v>42</v>
      </c>
      <c r="E108" t="s">
        <v>128</v>
      </c>
      <c r="F108" t="s">
        <v>158</v>
      </c>
      <c r="G108" t="s">
        <v>159</v>
      </c>
      <c r="H108" t="s">
        <v>148</v>
      </c>
      <c r="I108" t="s">
        <v>132</v>
      </c>
      <c r="J108" t="s">
        <v>133</v>
      </c>
      <c r="L108" t="s">
        <v>134</v>
      </c>
      <c r="M108" t="s">
        <v>135</v>
      </c>
      <c r="N108" s="1">
        <v>43525</v>
      </c>
      <c r="O108" s="1">
        <v>43525</v>
      </c>
      <c r="P108" s="1">
        <v>44317</v>
      </c>
      <c r="Q108" s="1">
        <v>44317</v>
      </c>
      <c r="R108">
        <v>10</v>
      </c>
      <c r="T10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08" t="str">
        <f>IF(tblRoster[[#This Row],[급수]]="4급(임기제)","4급",tblRoster[[#This Row],[급수]])</f>
        <v>대학회계계약직</v>
      </c>
      <c r="V10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0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08" t="str">
        <f>IF(OR(tblRoster[[#This Row],[교직원상세구분]]="사회복무요원",tblRoster[[#This Row],[교직원상세구분]]="인턴(수습)"),"제외","포함")</f>
        <v>포함</v>
      </c>
      <c r="Y108">
        <f>1</f>
        <v>1</v>
      </c>
      <c r="Z108">
        <f>IF(tblRoster[[#This Row],[재직상태구분]]="휴직",1,0)</f>
        <v>0</v>
      </c>
      <c r="AA10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08">
        <f ca="1">IF(tblRoster[[#This Row],[본교발령시작일자]]="","",DATEDIF(tblRoster[[#This Row],[본교발령시작일자]],TODAY(),"Y"))</f>
        <v>7</v>
      </c>
      <c r="AC108">
        <f ca="1">IF(tblRoster[[#This Row],[최초발령시작일자]]="","",DATEDIF(tblRoster[[#This Row],[최초발령시작일자]],TODAY(),"Y"))</f>
        <v>7</v>
      </c>
      <c r="AD10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08">
        <f ca="1">IF(tblRoster[[#This Row],[직급발령시작일자]]="","",ROUND(YEARFRAC(tblRoster[[#This Row],[직급발령시작일자]],TODAY()),1))</f>
        <v>5.4</v>
      </c>
      <c r="AF10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08" t="str">
        <f ca="1">IF(OR(tblRoster[[#This Row],[공무원구분]]&lt;&gt;"공무원",tblRoster[[#This Row],[나이]]=""),"",YEAR(TODAY())+(60-tblRoster[[#This Row],[나이]]))</f>
        <v/>
      </c>
      <c r="AH108" t="str">
        <f>IF(tblRoster[[#This Row],[직위]]="","일반","보직자")</f>
        <v>일반</v>
      </c>
      <c r="AI10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8" t="str">
        <f ca="1">IF(tblRoster[[#This Row],[복직예정일]]="","",TEXT(tblRoster[[#This Row],[복직예정일]],"yyyy-mm"))</f>
        <v/>
      </c>
      <c r="AM108" t="str">
        <f ca="1">IF(tblRoster[[#This Row],[복직예정일]]="","",tblRoster[[#This Row],[복직예정일]]-TODAY())</f>
        <v/>
      </c>
      <c r="AN108" t="str">
        <f ca="1">IF(tblRoster[[#This Row],[휴직잔여일수]]="","",IF(tblRoster[[#This Row],[휴직잔여일수]]&lt;=180,"6개월내","6개월이후"))</f>
        <v/>
      </c>
      <c r="AO10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09" spans="1:41" x14ac:dyDescent="0.3">
      <c r="A109">
        <v>900107</v>
      </c>
      <c r="B109" t="s">
        <v>311</v>
      </c>
      <c r="C109" t="s">
        <v>8</v>
      </c>
      <c r="D109">
        <v>29</v>
      </c>
      <c r="E109" t="s">
        <v>150</v>
      </c>
      <c r="F109" t="s">
        <v>137</v>
      </c>
      <c r="G109" t="s">
        <v>142</v>
      </c>
      <c r="H109" t="s">
        <v>238</v>
      </c>
      <c r="I109" t="s">
        <v>239</v>
      </c>
      <c r="J109" t="s">
        <v>133</v>
      </c>
      <c r="L109" t="s">
        <v>134</v>
      </c>
      <c r="M109" t="s">
        <v>135</v>
      </c>
      <c r="N109" s="1">
        <v>43497</v>
      </c>
      <c r="O109" s="1">
        <v>43497</v>
      </c>
      <c r="P109" s="1">
        <v>43497</v>
      </c>
      <c r="Q109" s="1">
        <v>43497</v>
      </c>
      <c r="R109">
        <v>8</v>
      </c>
      <c r="T10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09" t="str">
        <f>IF(tblRoster[[#This Row],[급수]]="4급(임기제)","4급",tblRoster[[#This Row],[급수]])</f>
        <v>대학회계직</v>
      </c>
      <c r="V10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0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09" t="str">
        <f>IF(OR(tblRoster[[#This Row],[교직원상세구분]]="사회복무요원",tblRoster[[#This Row],[교직원상세구분]]="인턴(수습)"),"제외","포함")</f>
        <v>포함</v>
      </c>
      <c r="Y109">
        <f>1</f>
        <v>1</v>
      </c>
      <c r="Z109">
        <f>IF(tblRoster[[#This Row],[재직상태구분]]="휴직",1,0)</f>
        <v>0</v>
      </c>
      <c r="AA10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09">
        <f ca="1">IF(tblRoster[[#This Row],[본교발령시작일자]]="","",DATEDIF(tblRoster[[#This Row],[본교발령시작일자]],TODAY(),"Y"))</f>
        <v>7</v>
      </c>
      <c r="AC109">
        <f ca="1">IF(tblRoster[[#This Row],[최초발령시작일자]]="","",DATEDIF(tblRoster[[#This Row],[최초발령시작일자]],TODAY(),"Y"))</f>
        <v>7</v>
      </c>
      <c r="AD10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09">
        <f ca="1">IF(tblRoster[[#This Row],[직급발령시작일자]]="","",ROUND(YEARFRAC(tblRoster[[#This Row],[직급발령시작일자]],TODAY()),1))</f>
        <v>7.6</v>
      </c>
      <c r="AF10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09" t="str">
        <f ca="1">IF(OR(tblRoster[[#This Row],[공무원구분]]&lt;&gt;"공무원",tblRoster[[#This Row],[나이]]=""),"",YEAR(TODAY())+(60-tblRoster[[#This Row],[나이]]))</f>
        <v/>
      </c>
      <c r="AH109" t="str">
        <f>IF(tblRoster[[#This Row],[직위]]="","일반","보직자")</f>
        <v>일반</v>
      </c>
      <c r="AI10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0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0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09" t="str">
        <f ca="1">IF(tblRoster[[#This Row],[복직예정일]]="","",TEXT(tblRoster[[#This Row],[복직예정일]],"yyyy-mm"))</f>
        <v/>
      </c>
      <c r="AM109" t="str">
        <f ca="1">IF(tblRoster[[#This Row],[복직예정일]]="","",tblRoster[[#This Row],[복직예정일]]-TODAY())</f>
        <v/>
      </c>
      <c r="AN109" t="str">
        <f ca="1">IF(tblRoster[[#This Row],[휴직잔여일수]]="","",IF(tblRoster[[#This Row],[휴직잔여일수]]&lt;=180,"6개월내","6개월이후"))</f>
        <v/>
      </c>
      <c r="AO10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0" spans="1:41" x14ac:dyDescent="0.3">
      <c r="A110">
        <v>900108</v>
      </c>
      <c r="B110" t="s">
        <v>312</v>
      </c>
      <c r="C110" t="s">
        <v>8</v>
      </c>
      <c r="D110">
        <v>45</v>
      </c>
      <c r="E110" t="s">
        <v>128</v>
      </c>
      <c r="F110" t="s">
        <v>189</v>
      </c>
      <c r="G110" t="s">
        <v>155</v>
      </c>
      <c r="H110" t="s">
        <v>148</v>
      </c>
      <c r="I110" t="s">
        <v>132</v>
      </c>
      <c r="J110" t="s">
        <v>133</v>
      </c>
      <c r="L110" t="s">
        <v>135</v>
      </c>
      <c r="M110" t="s">
        <v>135</v>
      </c>
      <c r="N110" s="1">
        <v>38047</v>
      </c>
      <c r="O110" s="1">
        <v>38047</v>
      </c>
      <c r="P110" s="1">
        <v>45962</v>
      </c>
      <c r="Q110" s="1">
        <v>45962</v>
      </c>
      <c r="R110">
        <v>22</v>
      </c>
      <c r="T11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10" t="str">
        <f>IF(tblRoster[[#This Row],[급수]]="4급(임기제)","4급",tblRoster[[#This Row],[급수]])</f>
        <v>대학회계계약직</v>
      </c>
      <c r="V11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1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10" t="str">
        <f>IF(OR(tblRoster[[#This Row],[교직원상세구분]]="사회복무요원",tblRoster[[#This Row],[교직원상세구분]]="인턴(수습)"),"제외","포함")</f>
        <v>포함</v>
      </c>
      <c r="Y110">
        <f>1</f>
        <v>1</v>
      </c>
      <c r="Z110">
        <f>IF(tblRoster[[#This Row],[재직상태구분]]="휴직",1,0)</f>
        <v>0</v>
      </c>
      <c r="AA11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0">
        <f ca="1">IF(tblRoster[[#This Row],[본교발령시작일자]]="","",DATEDIF(tblRoster[[#This Row],[본교발령시작일자]],TODAY(),"Y"))</f>
        <v>22</v>
      </c>
      <c r="AC110">
        <f ca="1">IF(tblRoster[[#This Row],[최초발령시작일자]]="","",DATEDIF(tblRoster[[#This Row],[최초발령시작일자]],TODAY(),"Y"))</f>
        <v>22</v>
      </c>
      <c r="AD11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10">
        <f ca="1">IF(tblRoster[[#This Row],[직급발령시작일자]]="","",ROUND(YEARFRAC(tblRoster[[#This Row],[직급발령시작일자]],TODAY()),1))</f>
        <v>0.9</v>
      </c>
      <c r="AF11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0" t="str">
        <f ca="1">IF(OR(tblRoster[[#This Row],[공무원구분]]&lt;&gt;"공무원",tblRoster[[#This Row],[나이]]=""),"",YEAR(TODAY())+(60-tblRoster[[#This Row],[나이]]))</f>
        <v/>
      </c>
      <c r="AH110" t="str">
        <f>IF(tblRoster[[#This Row],[직위]]="","일반","보직자")</f>
        <v>일반</v>
      </c>
      <c r="AI11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0" t="str">
        <f ca="1">IF(tblRoster[[#This Row],[복직예정일]]="","",TEXT(tblRoster[[#This Row],[복직예정일]],"yyyy-mm"))</f>
        <v/>
      </c>
      <c r="AM110" t="str">
        <f ca="1">IF(tblRoster[[#This Row],[복직예정일]]="","",tblRoster[[#This Row],[복직예정일]]-TODAY())</f>
        <v/>
      </c>
      <c r="AN110" t="str">
        <f ca="1">IF(tblRoster[[#This Row],[휴직잔여일수]]="","",IF(tblRoster[[#This Row],[휴직잔여일수]]&lt;=180,"6개월내","6개월이후"))</f>
        <v/>
      </c>
      <c r="AO11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1" spans="1:41" x14ac:dyDescent="0.3">
      <c r="A111">
        <v>900109</v>
      </c>
      <c r="B111" t="s">
        <v>313</v>
      </c>
      <c r="C111" t="s">
        <v>8</v>
      </c>
      <c r="D111">
        <v>52</v>
      </c>
      <c r="E111" t="s">
        <v>128</v>
      </c>
      <c r="F111" t="s">
        <v>129</v>
      </c>
      <c r="G111" t="s">
        <v>151</v>
      </c>
      <c r="H111" t="s">
        <v>148</v>
      </c>
      <c r="I111" t="s">
        <v>132</v>
      </c>
      <c r="J111" t="s">
        <v>133</v>
      </c>
      <c r="L111" t="s">
        <v>135</v>
      </c>
      <c r="M111" t="s">
        <v>135</v>
      </c>
      <c r="N111" s="1">
        <v>39142</v>
      </c>
      <c r="O111" s="1">
        <v>39142</v>
      </c>
      <c r="P111" s="1">
        <v>40909</v>
      </c>
      <c r="Q111" s="1">
        <v>40909</v>
      </c>
      <c r="R111">
        <v>22</v>
      </c>
      <c r="T11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11" t="str">
        <f>IF(tblRoster[[#This Row],[급수]]="4급(임기제)","4급",tblRoster[[#This Row],[급수]])</f>
        <v>대학회계계약직</v>
      </c>
      <c r="V11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1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11" t="str">
        <f>IF(OR(tblRoster[[#This Row],[교직원상세구분]]="사회복무요원",tblRoster[[#This Row],[교직원상세구분]]="인턴(수습)"),"제외","포함")</f>
        <v>포함</v>
      </c>
      <c r="Y111">
        <f>1</f>
        <v>1</v>
      </c>
      <c r="Z111">
        <f>IF(tblRoster[[#This Row],[재직상태구분]]="휴직",1,0)</f>
        <v>0</v>
      </c>
      <c r="AA11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11">
        <f ca="1">IF(tblRoster[[#This Row],[본교발령시작일자]]="","",DATEDIF(tblRoster[[#This Row],[본교발령시작일자]],TODAY(),"Y"))</f>
        <v>19</v>
      </c>
      <c r="AC111">
        <f ca="1">IF(tblRoster[[#This Row],[최초발령시작일자]]="","",DATEDIF(tblRoster[[#This Row],[최초발령시작일자]],TODAY(),"Y"))</f>
        <v>19</v>
      </c>
      <c r="AD11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11">
        <f ca="1">IF(tblRoster[[#This Row],[직급발령시작일자]]="","",ROUND(YEARFRAC(tblRoster[[#This Row],[직급발령시작일자]],TODAY()),1))</f>
        <v>14.7</v>
      </c>
      <c r="AF11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11" t="str">
        <f ca="1">IF(OR(tblRoster[[#This Row],[공무원구분]]&lt;&gt;"공무원",tblRoster[[#This Row],[나이]]=""),"",YEAR(TODAY())+(60-tblRoster[[#This Row],[나이]]))</f>
        <v/>
      </c>
      <c r="AH111" t="str">
        <f>IF(tblRoster[[#This Row],[직위]]="","일반","보직자")</f>
        <v>일반</v>
      </c>
      <c r="AI11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1" t="str">
        <f ca="1">IF(tblRoster[[#This Row],[복직예정일]]="","",TEXT(tblRoster[[#This Row],[복직예정일]],"yyyy-mm"))</f>
        <v/>
      </c>
      <c r="AM111" t="str">
        <f ca="1">IF(tblRoster[[#This Row],[복직예정일]]="","",tblRoster[[#This Row],[복직예정일]]-TODAY())</f>
        <v/>
      </c>
      <c r="AN111" t="str">
        <f ca="1">IF(tblRoster[[#This Row],[휴직잔여일수]]="","",IF(tblRoster[[#This Row],[휴직잔여일수]]&lt;=180,"6개월내","6개월이후"))</f>
        <v/>
      </c>
      <c r="AO11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2" spans="1:41" x14ac:dyDescent="0.3">
      <c r="A112">
        <v>900110</v>
      </c>
      <c r="B112" t="s">
        <v>314</v>
      </c>
      <c r="C112" t="s">
        <v>8</v>
      </c>
      <c r="D112">
        <v>48</v>
      </c>
      <c r="E112" t="s">
        <v>150</v>
      </c>
      <c r="F112" t="s">
        <v>246</v>
      </c>
      <c r="G112" t="s">
        <v>207</v>
      </c>
      <c r="H112" t="s">
        <v>148</v>
      </c>
      <c r="I112" t="s">
        <v>132</v>
      </c>
      <c r="J112" t="s">
        <v>133</v>
      </c>
      <c r="L112" t="s">
        <v>134</v>
      </c>
      <c r="M112" t="s">
        <v>135</v>
      </c>
      <c r="N112" s="1">
        <v>38749</v>
      </c>
      <c r="O112" s="1">
        <v>38749</v>
      </c>
      <c r="P112" s="1">
        <v>41365</v>
      </c>
      <c r="Q112" s="1">
        <v>41365</v>
      </c>
      <c r="R112">
        <v>21</v>
      </c>
      <c r="T11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12" t="str">
        <f>IF(tblRoster[[#This Row],[급수]]="4급(임기제)","4급",tblRoster[[#This Row],[급수]])</f>
        <v>대학회계계약직</v>
      </c>
      <c r="V11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1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12" t="str">
        <f>IF(OR(tblRoster[[#This Row],[교직원상세구분]]="사회복무요원",tblRoster[[#This Row],[교직원상세구분]]="인턴(수습)"),"제외","포함")</f>
        <v>포함</v>
      </c>
      <c r="Y112">
        <f>1</f>
        <v>1</v>
      </c>
      <c r="Z112">
        <f>IF(tblRoster[[#This Row],[재직상태구분]]="휴직",1,0)</f>
        <v>0</v>
      </c>
      <c r="AA11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2">
        <f ca="1">IF(tblRoster[[#This Row],[본교발령시작일자]]="","",DATEDIF(tblRoster[[#This Row],[본교발령시작일자]],TODAY(),"Y"))</f>
        <v>20</v>
      </c>
      <c r="AC112">
        <f ca="1">IF(tblRoster[[#This Row],[최초발령시작일자]]="","",DATEDIF(tblRoster[[#This Row],[최초발령시작일자]],TODAY(),"Y"))</f>
        <v>20</v>
      </c>
      <c r="AD11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12">
        <f ca="1">IF(tblRoster[[#This Row],[직급발령시작일자]]="","",ROUND(YEARFRAC(tblRoster[[#This Row],[직급발령시작일자]],TODAY()),1))</f>
        <v>13.4</v>
      </c>
      <c r="AF11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12" t="str">
        <f ca="1">IF(OR(tblRoster[[#This Row],[공무원구분]]&lt;&gt;"공무원",tblRoster[[#This Row],[나이]]=""),"",YEAR(TODAY())+(60-tblRoster[[#This Row],[나이]]))</f>
        <v/>
      </c>
      <c r="AH112" t="str">
        <f>IF(tblRoster[[#This Row],[직위]]="","일반","보직자")</f>
        <v>일반</v>
      </c>
      <c r="AI11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2" t="str">
        <f ca="1">IF(tblRoster[[#This Row],[복직예정일]]="","",TEXT(tblRoster[[#This Row],[복직예정일]],"yyyy-mm"))</f>
        <v/>
      </c>
      <c r="AM112" t="str">
        <f ca="1">IF(tblRoster[[#This Row],[복직예정일]]="","",tblRoster[[#This Row],[복직예정일]]-TODAY())</f>
        <v/>
      </c>
      <c r="AN112" t="str">
        <f ca="1">IF(tblRoster[[#This Row],[휴직잔여일수]]="","",IF(tblRoster[[#This Row],[휴직잔여일수]]&lt;=180,"6개월내","6개월이후"))</f>
        <v/>
      </c>
      <c r="AO11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3" spans="1:41" x14ac:dyDescent="0.3">
      <c r="A113">
        <v>900111</v>
      </c>
      <c r="B113" t="s">
        <v>29</v>
      </c>
      <c r="C113" t="s">
        <v>8</v>
      </c>
      <c r="D113">
        <v>47</v>
      </c>
      <c r="E113" t="s">
        <v>150</v>
      </c>
      <c r="F113" t="s">
        <v>246</v>
      </c>
      <c r="G113" t="s">
        <v>211</v>
      </c>
      <c r="H113" t="s">
        <v>191</v>
      </c>
      <c r="I113" t="s">
        <v>144</v>
      </c>
      <c r="J113" t="s">
        <v>145</v>
      </c>
      <c r="K113" t="s">
        <v>315</v>
      </c>
      <c r="L113" t="s">
        <v>134</v>
      </c>
      <c r="M113" t="s">
        <v>135</v>
      </c>
      <c r="N113" s="1">
        <v>44986</v>
      </c>
      <c r="O113" s="1">
        <v>44986</v>
      </c>
      <c r="P113" s="1">
        <v>44986</v>
      </c>
      <c r="Q113" s="1">
        <v>44986</v>
      </c>
      <c r="R113">
        <v>4</v>
      </c>
      <c r="S113" t="s">
        <v>316</v>
      </c>
      <c r="T11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113" t="str">
        <f>IF(tblRoster[[#This Row],[급수]]="4급(임기제)","4급",tblRoster[[#This Row],[급수]])</f>
        <v>5급</v>
      </c>
      <c r="V11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11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3" t="str">
        <f>IF(OR(tblRoster[[#This Row],[교직원상세구분]]="사회복무요원",tblRoster[[#This Row],[교직원상세구분]]="인턴(수습)"),"제외","포함")</f>
        <v>포함</v>
      </c>
      <c r="Y113">
        <f>1</f>
        <v>1</v>
      </c>
      <c r="Z113">
        <f>IF(tblRoster[[#This Row],[재직상태구분]]="휴직",1,0)</f>
        <v>0</v>
      </c>
      <c r="AA11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3">
        <f ca="1">IF(tblRoster[[#This Row],[본교발령시작일자]]="","",DATEDIF(tblRoster[[#This Row],[본교발령시작일자]],TODAY(),"Y"))</f>
        <v>3</v>
      </c>
      <c r="AC113">
        <f ca="1">IF(tblRoster[[#This Row],[최초발령시작일자]]="","",DATEDIF(tblRoster[[#This Row],[최초발령시작일자]],TODAY(),"Y"))</f>
        <v>3</v>
      </c>
      <c r="AD11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13">
        <f ca="1">IF(tblRoster[[#This Row],[직급발령시작일자]]="","",ROUND(YEARFRAC(tblRoster[[#This Row],[직급발령시작일자]],TODAY()),1))</f>
        <v>3.5</v>
      </c>
      <c r="AF11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3">
        <f ca="1">IF(OR(tblRoster[[#This Row],[공무원구분]]&lt;&gt;"공무원",tblRoster[[#This Row],[나이]]=""),"",YEAR(TODAY())+(60-tblRoster[[#This Row],[나이]]))</f>
        <v>2039</v>
      </c>
      <c r="AH113" t="str">
        <f>IF(tblRoster[[#This Row],[직위]]="","일반","보직자")</f>
        <v>보직자</v>
      </c>
      <c r="AI11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3" t="str">
        <f ca="1">IF(tblRoster[[#This Row],[복직예정일]]="","",TEXT(tblRoster[[#This Row],[복직예정일]],"yyyy-mm"))</f>
        <v/>
      </c>
      <c r="AM113" t="str">
        <f ca="1">IF(tblRoster[[#This Row],[복직예정일]]="","",tblRoster[[#This Row],[복직예정일]]-TODAY())</f>
        <v/>
      </c>
      <c r="AN113" t="str">
        <f ca="1">IF(tblRoster[[#This Row],[휴직잔여일수]]="","",IF(tblRoster[[#This Row],[휴직잔여일수]]&lt;=180,"6개월내","6개월이후"))</f>
        <v/>
      </c>
      <c r="AO11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4" spans="1:41" x14ac:dyDescent="0.3">
      <c r="A114">
        <v>900112</v>
      </c>
      <c r="B114" t="s">
        <v>317</v>
      </c>
      <c r="C114" t="s">
        <v>8</v>
      </c>
      <c r="D114">
        <v>40</v>
      </c>
      <c r="E114" t="s">
        <v>150</v>
      </c>
      <c r="F114" t="s">
        <v>137</v>
      </c>
      <c r="G114" t="s">
        <v>182</v>
      </c>
      <c r="H114" t="s">
        <v>180</v>
      </c>
      <c r="I114" t="s">
        <v>144</v>
      </c>
      <c r="J114" t="s">
        <v>145</v>
      </c>
      <c r="L114" t="s">
        <v>134</v>
      </c>
      <c r="M114" t="s">
        <v>135</v>
      </c>
      <c r="N114" s="1">
        <v>41306</v>
      </c>
      <c r="O114" s="1">
        <v>41306</v>
      </c>
      <c r="P114" s="1">
        <v>45200</v>
      </c>
      <c r="Q114" s="1">
        <v>45200</v>
      </c>
      <c r="R114">
        <v>14</v>
      </c>
      <c r="T11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14" t="str">
        <f>IF(tblRoster[[#This Row],[급수]]="4급(임기제)","4급",tblRoster[[#This Row],[급수]])</f>
        <v>7급</v>
      </c>
      <c r="V11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1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4" t="str">
        <f>IF(OR(tblRoster[[#This Row],[교직원상세구분]]="사회복무요원",tblRoster[[#This Row],[교직원상세구분]]="인턴(수습)"),"제외","포함")</f>
        <v>포함</v>
      </c>
      <c r="Y114">
        <f>1</f>
        <v>1</v>
      </c>
      <c r="Z114">
        <f>IF(tblRoster[[#This Row],[재직상태구분]]="휴직",1,0)</f>
        <v>0</v>
      </c>
      <c r="AA11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4">
        <f ca="1">IF(tblRoster[[#This Row],[본교발령시작일자]]="","",DATEDIF(tblRoster[[#This Row],[본교발령시작일자]],TODAY(),"Y"))</f>
        <v>13</v>
      </c>
      <c r="AC114">
        <f ca="1">IF(tblRoster[[#This Row],[최초발령시작일자]]="","",DATEDIF(tblRoster[[#This Row],[최초발령시작일자]],TODAY(),"Y"))</f>
        <v>13</v>
      </c>
      <c r="AD11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14">
        <f ca="1">IF(tblRoster[[#This Row],[직급발령시작일자]]="","",ROUND(YEARFRAC(tblRoster[[#This Row],[직급발령시작일자]],TODAY()),1))</f>
        <v>2.9</v>
      </c>
      <c r="AF11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4">
        <f ca="1">IF(OR(tblRoster[[#This Row],[공무원구분]]&lt;&gt;"공무원",tblRoster[[#This Row],[나이]]=""),"",YEAR(TODAY())+(60-tblRoster[[#This Row],[나이]]))</f>
        <v>2046</v>
      </c>
      <c r="AH114" t="str">
        <f>IF(tblRoster[[#This Row],[직위]]="","일반","보직자")</f>
        <v>일반</v>
      </c>
      <c r="AI11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4" t="str">
        <f ca="1">IF(tblRoster[[#This Row],[복직예정일]]="","",TEXT(tblRoster[[#This Row],[복직예정일]],"yyyy-mm"))</f>
        <v/>
      </c>
      <c r="AM114" t="str">
        <f ca="1">IF(tblRoster[[#This Row],[복직예정일]]="","",tblRoster[[#This Row],[복직예정일]]-TODAY())</f>
        <v/>
      </c>
      <c r="AN114" t="str">
        <f ca="1">IF(tblRoster[[#This Row],[휴직잔여일수]]="","",IF(tblRoster[[#This Row],[휴직잔여일수]]&lt;=180,"6개월내","6개월이후"))</f>
        <v/>
      </c>
      <c r="AO11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5" spans="1:41" x14ac:dyDescent="0.3">
      <c r="A115">
        <v>900113</v>
      </c>
      <c r="B115" t="s">
        <v>318</v>
      </c>
      <c r="C115" t="s">
        <v>8</v>
      </c>
      <c r="D115">
        <v>53</v>
      </c>
      <c r="E115" t="s">
        <v>150</v>
      </c>
      <c r="F115" t="s">
        <v>189</v>
      </c>
      <c r="G115" t="s">
        <v>151</v>
      </c>
      <c r="H115" t="s">
        <v>198</v>
      </c>
      <c r="I115" t="s">
        <v>144</v>
      </c>
      <c r="J115" t="s">
        <v>145</v>
      </c>
      <c r="L115" t="s">
        <v>134</v>
      </c>
      <c r="M115" t="s">
        <v>135</v>
      </c>
      <c r="N115" s="1">
        <v>35674</v>
      </c>
      <c r="O115" s="1">
        <v>35674</v>
      </c>
      <c r="P115" s="1">
        <v>43862</v>
      </c>
      <c r="Q115" s="1">
        <v>43862</v>
      </c>
      <c r="R115">
        <v>31</v>
      </c>
      <c r="T11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15" t="str">
        <f>IF(tblRoster[[#This Row],[급수]]="4급(임기제)","4급",tblRoster[[#This Row],[급수]])</f>
        <v>7급</v>
      </c>
      <c r="V11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1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5" t="str">
        <f>IF(OR(tblRoster[[#This Row],[교직원상세구분]]="사회복무요원",tblRoster[[#This Row],[교직원상세구분]]="인턴(수습)"),"제외","포함")</f>
        <v>포함</v>
      </c>
      <c r="Y115">
        <f>1</f>
        <v>1</v>
      </c>
      <c r="Z115">
        <f>IF(tblRoster[[#This Row],[재직상태구분]]="휴직",1,0)</f>
        <v>0</v>
      </c>
      <c r="AA11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15">
        <f ca="1">IF(tblRoster[[#This Row],[본교발령시작일자]]="","",DATEDIF(tblRoster[[#This Row],[본교발령시작일자]],TODAY(),"Y"))</f>
        <v>29</v>
      </c>
      <c r="AC115">
        <f ca="1">IF(tblRoster[[#This Row],[최초발령시작일자]]="","",DATEDIF(tblRoster[[#This Row],[최초발령시작일자]],TODAY(),"Y"))</f>
        <v>29</v>
      </c>
      <c r="AD11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115">
        <f ca="1">IF(tblRoster[[#This Row],[직급발령시작일자]]="","",ROUND(YEARFRAC(tblRoster[[#This Row],[직급발령시작일자]],TODAY()),1))</f>
        <v>6.6</v>
      </c>
      <c r="AF11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15">
        <f ca="1">IF(OR(tblRoster[[#This Row],[공무원구분]]&lt;&gt;"공무원",tblRoster[[#This Row],[나이]]=""),"",YEAR(TODAY())+(60-tblRoster[[#This Row],[나이]]))</f>
        <v>2033</v>
      </c>
      <c r="AH115" t="str">
        <f>IF(tblRoster[[#This Row],[직위]]="","일반","보직자")</f>
        <v>일반</v>
      </c>
      <c r="AI11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5" t="str">
        <f ca="1">IF(tblRoster[[#This Row],[복직예정일]]="","",TEXT(tblRoster[[#This Row],[복직예정일]],"yyyy-mm"))</f>
        <v/>
      </c>
      <c r="AM115" t="str">
        <f ca="1">IF(tblRoster[[#This Row],[복직예정일]]="","",tblRoster[[#This Row],[복직예정일]]-TODAY())</f>
        <v/>
      </c>
      <c r="AN115" t="str">
        <f ca="1">IF(tblRoster[[#This Row],[휴직잔여일수]]="","",IF(tblRoster[[#This Row],[휴직잔여일수]]&lt;=180,"6개월내","6개월이후"))</f>
        <v/>
      </c>
      <c r="AO11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6" spans="1:41" x14ac:dyDescent="0.3">
      <c r="A116">
        <v>900114</v>
      </c>
      <c r="B116" t="s">
        <v>319</v>
      </c>
      <c r="C116" t="s">
        <v>8</v>
      </c>
      <c r="D116">
        <v>46</v>
      </c>
      <c r="E116" t="s">
        <v>128</v>
      </c>
      <c r="F116" t="s">
        <v>216</v>
      </c>
      <c r="G116" t="s">
        <v>182</v>
      </c>
      <c r="H116" t="s">
        <v>165</v>
      </c>
      <c r="I116" t="s">
        <v>144</v>
      </c>
      <c r="J116" t="s">
        <v>145</v>
      </c>
      <c r="L116" t="s">
        <v>135</v>
      </c>
      <c r="M116" t="s">
        <v>135</v>
      </c>
      <c r="N116" s="1">
        <v>38384</v>
      </c>
      <c r="O116" s="1">
        <v>38384</v>
      </c>
      <c r="P116" s="1">
        <v>46023</v>
      </c>
      <c r="Q116" s="1">
        <v>46023</v>
      </c>
      <c r="R116">
        <v>21</v>
      </c>
      <c r="T11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16" t="str">
        <f>IF(tblRoster[[#This Row],[급수]]="4급(임기제)","4급",tblRoster[[#This Row],[급수]])</f>
        <v>6급</v>
      </c>
      <c r="V11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1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6" t="str">
        <f>IF(OR(tblRoster[[#This Row],[교직원상세구분]]="사회복무요원",tblRoster[[#This Row],[교직원상세구분]]="인턴(수습)"),"제외","포함")</f>
        <v>포함</v>
      </c>
      <c r="Y116">
        <f>1</f>
        <v>1</v>
      </c>
      <c r="Z116">
        <f>IF(tblRoster[[#This Row],[재직상태구분]]="휴직",1,0)</f>
        <v>0</v>
      </c>
      <c r="AA11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6">
        <f ca="1">IF(tblRoster[[#This Row],[본교발령시작일자]]="","",DATEDIF(tblRoster[[#This Row],[본교발령시작일자]],TODAY(),"Y"))</f>
        <v>21</v>
      </c>
      <c r="AC116">
        <f ca="1">IF(tblRoster[[#This Row],[최초발령시작일자]]="","",DATEDIF(tblRoster[[#This Row],[최초발령시작일자]],TODAY(),"Y"))</f>
        <v>21</v>
      </c>
      <c r="AD11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16">
        <f ca="1">IF(tblRoster[[#This Row],[직급발령시작일자]]="","",ROUND(YEARFRAC(tblRoster[[#This Row],[직급발령시작일자]],TODAY()),1))</f>
        <v>0.7</v>
      </c>
      <c r="AF11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6">
        <f ca="1">IF(OR(tblRoster[[#This Row],[공무원구분]]&lt;&gt;"공무원",tblRoster[[#This Row],[나이]]=""),"",YEAR(TODAY())+(60-tblRoster[[#This Row],[나이]]))</f>
        <v>2040</v>
      </c>
      <c r="AH116" t="str">
        <f>IF(tblRoster[[#This Row],[직위]]="","일반","보직자")</f>
        <v>일반</v>
      </c>
      <c r="AI11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6" t="str">
        <f ca="1">IF(tblRoster[[#This Row],[복직예정일]]="","",TEXT(tblRoster[[#This Row],[복직예정일]],"yyyy-mm"))</f>
        <v/>
      </c>
      <c r="AM116" t="str">
        <f ca="1">IF(tblRoster[[#This Row],[복직예정일]]="","",tblRoster[[#This Row],[복직예정일]]-TODAY())</f>
        <v/>
      </c>
      <c r="AN116" t="str">
        <f ca="1">IF(tblRoster[[#This Row],[휴직잔여일수]]="","",IF(tblRoster[[#This Row],[휴직잔여일수]]&lt;=180,"6개월내","6개월이후"))</f>
        <v/>
      </c>
      <c r="AO11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7" spans="1:41" x14ac:dyDescent="0.3">
      <c r="A117">
        <v>900115</v>
      </c>
      <c r="B117" t="s">
        <v>320</v>
      </c>
      <c r="C117" t="s">
        <v>8</v>
      </c>
      <c r="D117">
        <v>44</v>
      </c>
      <c r="E117" t="s">
        <v>128</v>
      </c>
      <c r="F117" t="s">
        <v>246</v>
      </c>
      <c r="G117" t="s">
        <v>155</v>
      </c>
      <c r="H117" t="s">
        <v>175</v>
      </c>
      <c r="I117" t="s">
        <v>144</v>
      </c>
      <c r="J117" t="s">
        <v>145</v>
      </c>
      <c r="L117" t="s">
        <v>134</v>
      </c>
      <c r="M117" t="s">
        <v>135</v>
      </c>
      <c r="N117" s="1">
        <v>38596</v>
      </c>
      <c r="O117" s="1">
        <v>38596</v>
      </c>
      <c r="P117" s="1">
        <v>45474</v>
      </c>
      <c r="Q117" s="1">
        <v>45474</v>
      </c>
      <c r="R117">
        <v>23</v>
      </c>
      <c r="T11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117" t="str">
        <f>IF(tblRoster[[#This Row],[급수]]="4급(임기제)","4급",tblRoster[[#This Row],[급수]])</f>
        <v>9급</v>
      </c>
      <c r="V11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11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7" t="str">
        <f>IF(OR(tblRoster[[#This Row],[교직원상세구분]]="사회복무요원",tblRoster[[#This Row],[교직원상세구분]]="인턴(수습)"),"제외","포함")</f>
        <v>포함</v>
      </c>
      <c r="Y117">
        <f>1</f>
        <v>1</v>
      </c>
      <c r="Z117">
        <f>IF(tblRoster[[#This Row],[재직상태구분]]="휴직",1,0)</f>
        <v>0</v>
      </c>
      <c r="AA11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7">
        <f ca="1">IF(tblRoster[[#This Row],[본교발령시작일자]]="","",DATEDIF(tblRoster[[#This Row],[본교발령시작일자]],TODAY(),"Y"))</f>
        <v>21</v>
      </c>
      <c r="AC117">
        <f ca="1">IF(tblRoster[[#This Row],[최초발령시작일자]]="","",DATEDIF(tblRoster[[#This Row],[최초발령시작일자]],TODAY(),"Y"))</f>
        <v>21</v>
      </c>
      <c r="AD11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17">
        <f ca="1">IF(tblRoster[[#This Row],[직급발령시작일자]]="","",ROUND(YEARFRAC(tblRoster[[#This Row],[직급발령시작일자]],TODAY()),1))</f>
        <v>2.2000000000000002</v>
      </c>
      <c r="AF11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7">
        <f ca="1">IF(OR(tblRoster[[#This Row],[공무원구분]]&lt;&gt;"공무원",tblRoster[[#This Row],[나이]]=""),"",YEAR(TODAY())+(60-tblRoster[[#This Row],[나이]]))</f>
        <v>2042</v>
      </c>
      <c r="AH117" t="str">
        <f>IF(tblRoster[[#This Row],[직위]]="","일반","보직자")</f>
        <v>일반</v>
      </c>
      <c r="AI11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7" t="str">
        <f ca="1">IF(tblRoster[[#This Row],[복직예정일]]="","",TEXT(tblRoster[[#This Row],[복직예정일]],"yyyy-mm"))</f>
        <v/>
      </c>
      <c r="AM117" t="str">
        <f ca="1">IF(tblRoster[[#This Row],[복직예정일]]="","",tblRoster[[#This Row],[복직예정일]]-TODAY())</f>
        <v/>
      </c>
      <c r="AN117" t="str">
        <f ca="1">IF(tblRoster[[#This Row],[휴직잔여일수]]="","",IF(tblRoster[[#This Row],[휴직잔여일수]]&lt;=180,"6개월내","6개월이후"))</f>
        <v/>
      </c>
      <c r="AO11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8" spans="1:41" x14ac:dyDescent="0.3">
      <c r="A118">
        <v>900116</v>
      </c>
      <c r="B118" t="s">
        <v>321</v>
      </c>
      <c r="C118" t="s">
        <v>8</v>
      </c>
      <c r="D118">
        <v>41</v>
      </c>
      <c r="E118" t="s">
        <v>150</v>
      </c>
      <c r="F118" t="s">
        <v>147</v>
      </c>
      <c r="G118" t="s">
        <v>185</v>
      </c>
      <c r="H118" t="s">
        <v>180</v>
      </c>
      <c r="I118" t="s">
        <v>144</v>
      </c>
      <c r="J118" t="s">
        <v>145</v>
      </c>
      <c r="L118" t="s">
        <v>134</v>
      </c>
      <c r="M118" t="s">
        <v>135</v>
      </c>
      <c r="N118" s="1">
        <v>42095</v>
      </c>
      <c r="O118" s="1">
        <v>42095</v>
      </c>
      <c r="P118" s="1">
        <v>43009</v>
      </c>
      <c r="Q118" s="1">
        <v>43009</v>
      </c>
      <c r="R118">
        <v>14</v>
      </c>
      <c r="T11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18" t="str">
        <f>IF(tblRoster[[#This Row],[급수]]="4급(임기제)","4급",tblRoster[[#This Row],[급수]])</f>
        <v>7급</v>
      </c>
      <c r="V11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1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8" t="str">
        <f>IF(OR(tblRoster[[#This Row],[교직원상세구분]]="사회복무요원",tblRoster[[#This Row],[교직원상세구분]]="인턴(수습)"),"제외","포함")</f>
        <v>포함</v>
      </c>
      <c r="Y118">
        <f>1</f>
        <v>1</v>
      </c>
      <c r="Z118">
        <f>IF(tblRoster[[#This Row],[재직상태구분]]="휴직",1,0)</f>
        <v>0</v>
      </c>
      <c r="AA11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18">
        <f ca="1">IF(tblRoster[[#This Row],[본교발령시작일자]]="","",DATEDIF(tblRoster[[#This Row],[본교발령시작일자]],TODAY(),"Y"))</f>
        <v>11</v>
      </c>
      <c r="AC118">
        <f ca="1">IF(tblRoster[[#This Row],[최초발령시작일자]]="","",DATEDIF(tblRoster[[#This Row],[최초발령시작일자]],TODAY(),"Y"))</f>
        <v>11</v>
      </c>
      <c r="AD11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18">
        <f ca="1">IF(tblRoster[[#This Row],[직급발령시작일자]]="","",ROUND(YEARFRAC(tblRoster[[#This Row],[직급발령시작일자]],TODAY()),1))</f>
        <v>8.9</v>
      </c>
      <c r="AF11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18">
        <f ca="1">IF(OR(tblRoster[[#This Row],[공무원구분]]&lt;&gt;"공무원",tblRoster[[#This Row],[나이]]=""),"",YEAR(TODAY())+(60-tblRoster[[#This Row],[나이]]))</f>
        <v>2045</v>
      </c>
      <c r="AH118" t="str">
        <f>IF(tblRoster[[#This Row],[직위]]="","일반","보직자")</f>
        <v>일반</v>
      </c>
      <c r="AI11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8" t="str">
        <f ca="1">IF(tblRoster[[#This Row],[복직예정일]]="","",TEXT(tblRoster[[#This Row],[복직예정일]],"yyyy-mm"))</f>
        <v/>
      </c>
      <c r="AM118" t="str">
        <f ca="1">IF(tblRoster[[#This Row],[복직예정일]]="","",tblRoster[[#This Row],[복직예정일]]-TODAY())</f>
        <v/>
      </c>
      <c r="AN118" t="str">
        <f ca="1">IF(tblRoster[[#This Row],[휴직잔여일수]]="","",IF(tblRoster[[#This Row],[휴직잔여일수]]&lt;=180,"6개월내","6개월이후"))</f>
        <v/>
      </c>
      <c r="AO11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19" spans="1:41" x14ac:dyDescent="0.3">
      <c r="A119">
        <v>900117</v>
      </c>
      <c r="B119" t="s">
        <v>322</v>
      </c>
      <c r="C119" t="s">
        <v>8</v>
      </c>
      <c r="D119">
        <v>38</v>
      </c>
      <c r="E119" t="s">
        <v>150</v>
      </c>
      <c r="F119" t="s">
        <v>137</v>
      </c>
      <c r="G119" t="s">
        <v>182</v>
      </c>
      <c r="H119" t="s">
        <v>165</v>
      </c>
      <c r="I119" t="s">
        <v>144</v>
      </c>
      <c r="J119" t="s">
        <v>145</v>
      </c>
      <c r="L119" t="s">
        <v>134</v>
      </c>
      <c r="M119" t="s">
        <v>135</v>
      </c>
      <c r="N119" s="1">
        <v>42125</v>
      </c>
      <c r="O119" s="1">
        <v>45870</v>
      </c>
      <c r="P119" s="1">
        <v>45870</v>
      </c>
      <c r="Q119" s="1">
        <v>45870</v>
      </c>
      <c r="R119">
        <v>14</v>
      </c>
      <c r="T11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19" t="str">
        <f>IF(tblRoster[[#This Row],[급수]]="4급(임기제)","4급",tblRoster[[#This Row],[급수]])</f>
        <v>6급</v>
      </c>
      <c r="V11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1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19" t="str">
        <f>IF(OR(tblRoster[[#This Row],[교직원상세구분]]="사회복무요원",tblRoster[[#This Row],[교직원상세구분]]="인턴(수습)"),"제외","포함")</f>
        <v>포함</v>
      </c>
      <c r="Y119">
        <f>1</f>
        <v>1</v>
      </c>
      <c r="Z119">
        <f>IF(tblRoster[[#This Row],[재직상태구분]]="휴직",1,0)</f>
        <v>0</v>
      </c>
      <c r="AA11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19">
        <f ca="1">IF(tblRoster[[#This Row],[본교발령시작일자]]="","",DATEDIF(tblRoster[[#This Row],[본교발령시작일자]],TODAY(),"Y"))</f>
        <v>1</v>
      </c>
      <c r="AC119">
        <f ca="1">IF(tblRoster[[#This Row],[최초발령시작일자]]="","",DATEDIF(tblRoster[[#This Row],[최초발령시작일자]],TODAY(),"Y"))</f>
        <v>11</v>
      </c>
      <c r="AD11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19">
        <f ca="1">IF(tblRoster[[#This Row],[직급발령시작일자]]="","",ROUND(YEARFRAC(tblRoster[[#This Row],[직급발령시작일자]],TODAY()),1))</f>
        <v>1.1000000000000001</v>
      </c>
      <c r="AF11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19">
        <f ca="1">IF(OR(tblRoster[[#This Row],[공무원구분]]&lt;&gt;"공무원",tblRoster[[#This Row],[나이]]=""),"",YEAR(TODAY())+(60-tblRoster[[#This Row],[나이]]))</f>
        <v>2048</v>
      </c>
      <c r="AH119" t="str">
        <f>IF(tblRoster[[#This Row],[직위]]="","일반","보직자")</f>
        <v>일반</v>
      </c>
      <c r="AI11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1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1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19" t="str">
        <f ca="1">IF(tblRoster[[#This Row],[복직예정일]]="","",TEXT(tblRoster[[#This Row],[복직예정일]],"yyyy-mm"))</f>
        <v/>
      </c>
      <c r="AM119" t="str">
        <f ca="1">IF(tblRoster[[#This Row],[복직예정일]]="","",tblRoster[[#This Row],[복직예정일]]-TODAY())</f>
        <v/>
      </c>
      <c r="AN119" t="str">
        <f ca="1">IF(tblRoster[[#This Row],[휴직잔여일수]]="","",IF(tblRoster[[#This Row],[휴직잔여일수]]&lt;=180,"6개월내","6개월이후"))</f>
        <v/>
      </c>
      <c r="AO11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0" spans="1:41" x14ac:dyDescent="0.3">
      <c r="A120">
        <v>900118</v>
      </c>
      <c r="B120" t="s">
        <v>323</v>
      </c>
      <c r="C120" t="s">
        <v>8</v>
      </c>
      <c r="D120">
        <v>49</v>
      </c>
      <c r="E120" t="s">
        <v>128</v>
      </c>
      <c r="F120" t="s">
        <v>129</v>
      </c>
      <c r="G120" t="s">
        <v>222</v>
      </c>
      <c r="H120" t="s">
        <v>131</v>
      </c>
      <c r="I120" t="s">
        <v>132</v>
      </c>
      <c r="J120" t="s">
        <v>133</v>
      </c>
      <c r="L120" t="s">
        <v>134</v>
      </c>
      <c r="M120" t="s">
        <v>135</v>
      </c>
      <c r="N120" s="1">
        <v>41275</v>
      </c>
      <c r="O120" s="1">
        <v>44378</v>
      </c>
      <c r="P120" s="1">
        <v>44378</v>
      </c>
      <c r="Q120" s="1">
        <v>44378</v>
      </c>
      <c r="R120">
        <v>13</v>
      </c>
      <c r="T12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20" t="str">
        <f>IF(tblRoster[[#This Row],[급수]]="4급(임기제)","4급",tblRoster[[#This Row],[급수]])</f>
        <v>대학회계계약직</v>
      </c>
      <c r="V12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2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20" t="str">
        <f>IF(OR(tblRoster[[#This Row],[교직원상세구분]]="사회복무요원",tblRoster[[#This Row],[교직원상세구분]]="인턴(수습)"),"제외","포함")</f>
        <v>포함</v>
      </c>
      <c r="Y120">
        <f>1</f>
        <v>1</v>
      </c>
      <c r="Z120">
        <f>IF(tblRoster[[#This Row],[재직상태구분]]="휴직",1,0)</f>
        <v>0</v>
      </c>
      <c r="AA12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0">
        <f ca="1">IF(tblRoster[[#This Row],[본교발령시작일자]]="","",DATEDIF(tblRoster[[#This Row],[본교발령시작일자]],TODAY(),"Y"))</f>
        <v>5</v>
      </c>
      <c r="AC120">
        <f ca="1">IF(tblRoster[[#This Row],[최초발령시작일자]]="","",DATEDIF(tblRoster[[#This Row],[최초발령시작일자]],TODAY(),"Y"))</f>
        <v>13</v>
      </c>
      <c r="AD12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20">
        <f ca="1">IF(tblRoster[[#This Row],[직급발령시작일자]]="","",ROUND(YEARFRAC(tblRoster[[#This Row],[직급발령시작일자]],TODAY()),1))</f>
        <v>5.2</v>
      </c>
      <c r="AF12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0" t="str">
        <f ca="1">IF(OR(tblRoster[[#This Row],[공무원구분]]&lt;&gt;"공무원",tblRoster[[#This Row],[나이]]=""),"",YEAR(TODAY())+(60-tblRoster[[#This Row],[나이]]))</f>
        <v/>
      </c>
      <c r="AH120" t="str">
        <f>IF(tblRoster[[#This Row],[직위]]="","일반","보직자")</f>
        <v>일반</v>
      </c>
      <c r="AI12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0" t="str">
        <f ca="1">IF(tblRoster[[#This Row],[복직예정일]]="","",TEXT(tblRoster[[#This Row],[복직예정일]],"yyyy-mm"))</f>
        <v/>
      </c>
      <c r="AM120" t="str">
        <f ca="1">IF(tblRoster[[#This Row],[복직예정일]]="","",tblRoster[[#This Row],[복직예정일]]-TODAY())</f>
        <v/>
      </c>
      <c r="AN120" t="str">
        <f ca="1">IF(tblRoster[[#This Row],[휴직잔여일수]]="","",IF(tblRoster[[#This Row],[휴직잔여일수]]&lt;=180,"6개월내","6개월이후"))</f>
        <v/>
      </c>
      <c r="AO12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1" spans="1:41" x14ac:dyDescent="0.3">
      <c r="A121">
        <v>900119</v>
      </c>
      <c r="B121" t="s">
        <v>324</v>
      </c>
      <c r="C121" t="s">
        <v>8</v>
      </c>
      <c r="D121">
        <v>52</v>
      </c>
      <c r="E121" t="s">
        <v>128</v>
      </c>
      <c r="F121" t="s">
        <v>141</v>
      </c>
      <c r="G121" t="s">
        <v>159</v>
      </c>
      <c r="H121" t="s">
        <v>238</v>
      </c>
      <c r="I121" t="s">
        <v>239</v>
      </c>
      <c r="J121" t="s">
        <v>133</v>
      </c>
      <c r="L121" t="s">
        <v>134</v>
      </c>
      <c r="M121" t="s">
        <v>135</v>
      </c>
      <c r="N121" s="1">
        <v>42675</v>
      </c>
      <c r="O121" s="1">
        <v>42675</v>
      </c>
      <c r="P121" s="1">
        <v>42675</v>
      </c>
      <c r="Q121" s="1">
        <v>42675</v>
      </c>
      <c r="R121">
        <v>13</v>
      </c>
      <c r="T12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21" t="str">
        <f>IF(tblRoster[[#This Row],[급수]]="4급(임기제)","4급",tblRoster[[#This Row],[급수]])</f>
        <v>대학회계직</v>
      </c>
      <c r="V12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2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21" t="str">
        <f>IF(OR(tblRoster[[#This Row],[교직원상세구분]]="사회복무요원",tblRoster[[#This Row],[교직원상세구분]]="인턴(수습)"),"제외","포함")</f>
        <v>포함</v>
      </c>
      <c r="Y121">
        <f>1</f>
        <v>1</v>
      </c>
      <c r="Z121">
        <f>IF(tblRoster[[#This Row],[재직상태구분]]="휴직",1,0)</f>
        <v>0</v>
      </c>
      <c r="AA12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21">
        <f ca="1">IF(tblRoster[[#This Row],[본교발령시작일자]]="","",DATEDIF(tblRoster[[#This Row],[본교발령시작일자]],TODAY(),"Y"))</f>
        <v>9</v>
      </c>
      <c r="AC121">
        <f ca="1">IF(tblRoster[[#This Row],[최초발령시작일자]]="","",DATEDIF(tblRoster[[#This Row],[최초발령시작일자]],TODAY(),"Y"))</f>
        <v>9</v>
      </c>
      <c r="AD12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21">
        <f ca="1">IF(tblRoster[[#This Row],[직급발령시작일자]]="","",ROUND(YEARFRAC(tblRoster[[#This Row],[직급발령시작일자]],TODAY()),1))</f>
        <v>9.9</v>
      </c>
      <c r="AF12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1" t="str">
        <f ca="1">IF(OR(tblRoster[[#This Row],[공무원구분]]&lt;&gt;"공무원",tblRoster[[#This Row],[나이]]=""),"",YEAR(TODAY())+(60-tblRoster[[#This Row],[나이]]))</f>
        <v/>
      </c>
      <c r="AH121" t="str">
        <f>IF(tblRoster[[#This Row],[직위]]="","일반","보직자")</f>
        <v>일반</v>
      </c>
      <c r="AI12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1" t="str">
        <f ca="1">IF(tblRoster[[#This Row],[복직예정일]]="","",TEXT(tblRoster[[#This Row],[복직예정일]],"yyyy-mm"))</f>
        <v/>
      </c>
      <c r="AM121" t="str">
        <f ca="1">IF(tblRoster[[#This Row],[복직예정일]]="","",tblRoster[[#This Row],[복직예정일]]-TODAY())</f>
        <v/>
      </c>
      <c r="AN121" t="str">
        <f ca="1">IF(tblRoster[[#This Row],[휴직잔여일수]]="","",IF(tblRoster[[#This Row],[휴직잔여일수]]&lt;=180,"6개월내","6개월이후"))</f>
        <v/>
      </c>
      <c r="AO12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2" spans="1:41" x14ac:dyDescent="0.3">
      <c r="A122">
        <v>900120</v>
      </c>
      <c r="B122" t="s">
        <v>325</v>
      </c>
      <c r="C122" t="s">
        <v>8</v>
      </c>
      <c r="D122">
        <v>45</v>
      </c>
      <c r="E122" t="s">
        <v>128</v>
      </c>
      <c r="F122" t="s">
        <v>129</v>
      </c>
      <c r="G122" t="s">
        <v>138</v>
      </c>
      <c r="H122" t="s">
        <v>223</v>
      </c>
      <c r="I122" t="s">
        <v>144</v>
      </c>
      <c r="J122" t="s">
        <v>145</v>
      </c>
      <c r="L122" t="s">
        <v>134</v>
      </c>
      <c r="M122" t="s">
        <v>135</v>
      </c>
      <c r="N122" s="1">
        <v>41244</v>
      </c>
      <c r="O122" s="1">
        <v>41244</v>
      </c>
      <c r="P122" s="1">
        <v>43678</v>
      </c>
      <c r="Q122" s="1">
        <v>43678</v>
      </c>
      <c r="R122">
        <v>17</v>
      </c>
      <c r="T12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22" t="str">
        <f>IF(tblRoster[[#This Row],[급수]]="4급(임기제)","4급",tblRoster[[#This Row],[급수]])</f>
        <v>8급</v>
      </c>
      <c r="V12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2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22" t="str">
        <f>IF(OR(tblRoster[[#This Row],[교직원상세구분]]="사회복무요원",tblRoster[[#This Row],[교직원상세구분]]="인턴(수습)"),"제외","포함")</f>
        <v>포함</v>
      </c>
      <c r="Y122">
        <f>1</f>
        <v>1</v>
      </c>
      <c r="Z122">
        <f>IF(tblRoster[[#This Row],[재직상태구분]]="휴직",1,0)</f>
        <v>0</v>
      </c>
      <c r="AA12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2">
        <f ca="1">IF(tblRoster[[#This Row],[본교발령시작일자]]="","",DATEDIF(tblRoster[[#This Row],[본교발령시작일자]],TODAY(),"Y"))</f>
        <v>13</v>
      </c>
      <c r="AC122">
        <f ca="1">IF(tblRoster[[#This Row],[최초발령시작일자]]="","",DATEDIF(tblRoster[[#This Row],[최초발령시작일자]],TODAY(),"Y"))</f>
        <v>13</v>
      </c>
      <c r="AD12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22">
        <f ca="1">IF(tblRoster[[#This Row],[직급발령시작일자]]="","",ROUND(YEARFRAC(tblRoster[[#This Row],[직급발령시작일자]],TODAY()),1))</f>
        <v>7.1</v>
      </c>
      <c r="AF12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2">
        <f ca="1">IF(OR(tblRoster[[#This Row],[공무원구분]]&lt;&gt;"공무원",tblRoster[[#This Row],[나이]]=""),"",YEAR(TODAY())+(60-tblRoster[[#This Row],[나이]]))</f>
        <v>2041</v>
      </c>
      <c r="AH122" t="str">
        <f>IF(tblRoster[[#This Row],[직위]]="","일반","보직자")</f>
        <v>일반</v>
      </c>
      <c r="AI12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2" t="str">
        <f ca="1">IF(tblRoster[[#This Row],[복직예정일]]="","",TEXT(tblRoster[[#This Row],[복직예정일]],"yyyy-mm"))</f>
        <v/>
      </c>
      <c r="AM122" t="str">
        <f ca="1">IF(tblRoster[[#This Row],[복직예정일]]="","",tblRoster[[#This Row],[복직예정일]]-TODAY())</f>
        <v/>
      </c>
      <c r="AN122" t="str">
        <f ca="1">IF(tblRoster[[#This Row],[휴직잔여일수]]="","",IF(tblRoster[[#This Row],[휴직잔여일수]]&lt;=180,"6개월내","6개월이후"))</f>
        <v/>
      </c>
      <c r="AO12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3" spans="1:41" x14ac:dyDescent="0.3">
      <c r="A123">
        <v>900121</v>
      </c>
      <c r="B123" t="s">
        <v>30</v>
      </c>
      <c r="C123" t="s">
        <v>16</v>
      </c>
      <c r="D123">
        <v>41</v>
      </c>
      <c r="E123" t="s">
        <v>128</v>
      </c>
      <c r="F123" t="s">
        <v>236</v>
      </c>
      <c r="G123" t="s">
        <v>185</v>
      </c>
      <c r="H123" t="s">
        <v>260</v>
      </c>
      <c r="I123" t="s">
        <v>239</v>
      </c>
      <c r="J123" t="s">
        <v>133</v>
      </c>
      <c r="L123" t="s">
        <v>134</v>
      </c>
      <c r="M123" t="s">
        <v>135</v>
      </c>
      <c r="N123" s="1">
        <v>44013</v>
      </c>
      <c r="O123" s="1">
        <v>44013</v>
      </c>
      <c r="P123" s="1">
        <v>44013</v>
      </c>
      <c r="Q123" s="1">
        <v>44013</v>
      </c>
      <c r="R123">
        <v>6</v>
      </c>
      <c r="S123" t="s">
        <v>326</v>
      </c>
      <c r="T12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23" t="str">
        <f>IF(tblRoster[[#This Row],[급수]]="4급(임기제)","4급",tblRoster[[#This Row],[급수]])</f>
        <v>대학회계직</v>
      </c>
      <c r="V12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2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23" t="str">
        <f>IF(OR(tblRoster[[#This Row],[교직원상세구분]]="사회복무요원",tblRoster[[#This Row],[교직원상세구분]]="인턴(수습)"),"제외","포함")</f>
        <v>포함</v>
      </c>
      <c r="Y123">
        <f>1</f>
        <v>1</v>
      </c>
      <c r="Z123">
        <f>IF(tblRoster[[#This Row],[재직상태구분]]="휴직",1,0)</f>
        <v>1</v>
      </c>
      <c r="AA12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3">
        <f ca="1">IF(tblRoster[[#This Row],[본교발령시작일자]]="","",DATEDIF(tblRoster[[#This Row],[본교발령시작일자]],TODAY(),"Y"))</f>
        <v>6</v>
      </c>
      <c r="AC123">
        <f ca="1">IF(tblRoster[[#This Row],[최초발령시작일자]]="","",DATEDIF(tblRoster[[#This Row],[최초발령시작일자]],TODAY(),"Y"))</f>
        <v>6</v>
      </c>
      <c r="AD12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23">
        <f ca="1">IF(tblRoster[[#This Row],[직급발령시작일자]]="","",ROUND(YEARFRAC(tblRoster[[#This Row],[직급발령시작일자]],TODAY()),1))</f>
        <v>6.2</v>
      </c>
      <c r="AF12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3" t="str">
        <f ca="1">IF(OR(tblRoster[[#This Row],[공무원구분]]&lt;&gt;"공무원",tblRoster[[#This Row],[나이]]=""),"",YEAR(TODAY())+(60-tblRoster[[#This Row],[나이]]))</f>
        <v/>
      </c>
      <c r="AH123" t="str">
        <f>IF(tblRoster[[#This Row],[직위]]="","일반","보직자")</f>
        <v>일반</v>
      </c>
      <c r="AI123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46028</v>
      </c>
      <c r="AJ12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23" s="1">
        <f ca="1">IF(tblRoster[[#This Row],[현재휴직시작일]]="","",IFERROR(INDEX(tblLeave[종료일],MATCH(tblRoster[[#This Row],[교직원번호]]&amp;"|"&amp;tblRoster[[#This Row],[현재휴직시작일]],tblLeave[매칭키],0)),""))</f>
        <v>46393</v>
      </c>
      <c r="AL123" t="str">
        <f ca="1">IF(tblRoster[[#This Row],[복직예정일]]="","",TEXT(tblRoster[[#This Row],[복직예정일]],"yyyy-mm"))</f>
        <v>2027-01</v>
      </c>
      <c r="AM123">
        <f ca="1">IF(tblRoster[[#This Row],[복직예정일]]="","",tblRoster[[#This Row],[복직예정일]]-TODAY())</f>
        <v>121</v>
      </c>
      <c r="AN123" t="str">
        <f ca="1">IF(tblRoster[[#This Row],[휴직잔여일수]]="","",IF(tblRoster[[#This Row],[휴직잔여일수]]&lt;=180,"6개월내","6개월이후"))</f>
        <v>6개월내</v>
      </c>
      <c r="AO12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4" spans="1:41" x14ac:dyDescent="0.3">
      <c r="A124">
        <v>900122</v>
      </c>
      <c r="B124" t="s">
        <v>327</v>
      </c>
      <c r="C124" t="s">
        <v>8</v>
      </c>
      <c r="D124">
        <v>28</v>
      </c>
      <c r="E124" t="s">
        <v>150</v>
      </c>
      <c r="F124" t="s">
        <v>168</v>
      </c>
      <c r="G124" t="s">
        <v>211</v>
      </c>
      <c r="H124" t="s">
        <v>260</v>
      </c>
      <c r="I124" t="s">
        <v>239</v>
      </c>
      <c r="J124" t="s">
        <v>133</v>
      </c>
      <c r="L124" t="s">
        <v>134</v>
      </c>
      <c r="M124" t="s">
        <v>135</v>
      </c>
      <c r="N124" s="1">
        <v>45231</v>
      </c>
      <c r="O124" s="1">
        <v>45627</v>
      </c>
      <c r="P124" s="1">
        <v>45627</v>
      </c>
      <c r="Q124" s="1">
        <v>45627</v>
      </c>
      <c r="T12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24" t="str">
        <f>IF(tblRoster[[#This Row],[급수]]="4급(임기제)","4급",tblRoster[[#This Row],[급수]])</f>
        <v>대학회계직</v>
      </c>
      <c r="V12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2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24" t="str">
        <f>IF(OR(tblRoster[[#This Row],[교직원상세구분]]="사회복무요원",tblRoster[[#This Row],[교직원상세구분]]="인턴(수습)"),"제외","포함")</f>
        <v>포함</v>
      </c>
      <c r="Y124">
        <f>1</f>
        <v>1</v>
      </c>
      <c r="Z124">
        <f>IF(tblRoster[[#This Row],[재직상태구분]]="휴직",1,0)</f>
        <v>0</v>
      </c>
      <c r="AA12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24">
        <f ca="1">IF(tblRoster[[#This Row],[본교발령시작일자]]="","",DATEDIF(tblRoster[[#This Row],[본교발령시작일자]],TODAY(),"Y"))</f>
        <v>1</v>
      </c>
      <c r="AC124">
        <f ca="1">IF(tblRoster[[#This Row],[최초발령시작일자]]="","",DATEDIF(tblRoster[[#This Row],[최초발령시작일자]],TODAY(),"Y"))</f>
        <v>2</v>
      </c>
      <c r="AD12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24">
        <f ca="1">IF(tblRoster[[#This Row],[직급발령시작일자]]="","",ROUND(YEARFRAC(tblRoster[[#This Row],[직급발령시작일자]],TODAY()),1))</f>
        <v>1.8</v>
      </c>
      <c r="AF12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24" t="str">
        <f ca="1">IF(OR(tblRoster[[#This Row],[공무원구분]]&lt;&gt;"공무원",tblRoster[[#This Row],[나이]]=""),"",YEAR(TODAY())+(60-tblRoster[[#This Row],[나이]]))</f>
        <v/>
      </c>
      <c r="AH124" t="str">
        <f>IF(tblRoster[[#This Row],[직위]]="","일반","보직자")</f>
        <v>일반</v>
      </c>
      <c r="AI12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4" t="str">
        <f ca="1">IF(tblRoster[[#This Row],[복직예정일]]="","",TEXT(tblRoster[[#This Row],[복직예정일]],"yyyy-mm"))</f>
        <v/>
      </c>
      <c r="AM124" t="str">
        <f ca="1">IF(tblRoster[[#This Row],[복직예정일]]="","",tblRoster[[#This Row],[복직예정일]]-TODAY())</f>
        <v/>
      </c>
      <c r="AN124" t="str">
        <f ca="1">IF(tblRoster[[#This Row],[휴직잔여일수]]="","",IF(tblRoster[[#This Row],[휴직잔여일수]]&lt;=180,"6개월내","6개월이후"))</f>
        <v/>
      </c>
      <c r="AO12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5" spans="1:41" x14ac:dyDescent="0.3">
      <c r="A125">
        <v>900123</v>
      </c>
      <c r="B125" t="s">
        <v>328</v>
      </c>
      <c r="C125" t="s">
        <v>8</v>
      </c>
      <c r="D125">
        <v>28</v>
      </c>
      <c r="E125" t="s">
        <v>128</v>
      </c>
      <c r="F125" t="s">
        <v>154</v>
      </c>
      <c r="G125" t="s">
        <v>155</v>
      </c>
      <c r="H125" t="s">
        <v>212</v>
      </c>
      <c r="I125" t="s">
        <v>213</v>
      </c>
      <c r="J125" t="s">
        <v>133</v>
      </c>
      <c r="L125" t="s">
        <v>134</v>
      </c>
      <c r="M125" t="s">
        <v>135</v>
      </c>
      <c r="N125" s="1">
        <v>44896</v>
      </c>
      <c r="O125" s="1">
        <v>44896</v>
      </c>
      <c r="P125" s="1">
        <v>44896</v>
      </c>
      <c r="Q125" s="1">
        <v>44896</v>
      </c>
      <c r="T12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125" t="str">
        <f>IF(tblRoster[[#This Row],[급수]]="4급(임기제)","4급",tblRoster[[#This Row],[급수]])</f>
        <v>인턴</v>
      </c>
      <c r="V12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12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125" t="str">
        <f>IF(OR(tblRoster[[#This Row],[교직원상세구분]]="사회복무요원",tblRoster[[#This Row],[교직원상세구분]]="인턴(수습)"),"제외","포함")</f>
        <v>제외</v>
      </c>
      <c r="Y125">
        <f>1</f>
        <v>1</v>
      </c>
      <c r="Z125">
        <f>IF(tblRoster[[#This Row],[재직상태구분]]="휴직",1,0)</f>
        <v>0</v>
      </c>
      <c r="AA12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25">
        <f ca="1">IF(tblRoster[[#This Row],[본교발령시작일자]]="","",DATEDIF(tblRoster[[#This Row],[본교발령시작일자]],TODAY(),"Y"))</f>
        <v>3</v>
      </c>
      <c r="AC125">
        <f ca="1">IF(tblRoster[[#This Row],[최초발령시작일자]]="","",DATEDIF(tblRoster[[#This Row],[최초발령시작일자]],TODAY(),"Y"))</f>
        <v>3</v>
      </c>
      <c r="AD12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25">
        <f ca="1">IF(tblRoster[[#This Row],[직급발령시작일자]]="","",ROUND(YEARFRAC(tblRoster[[#This Row],[직급발령시작일자]],TODAY()),1))</f>
        <v>3.8</v>
      </c>
      <c r="AF12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25" t="str">
        <f ca="1">IF(OR(tblRoster[[#This Row],[공무원구분]]&lt;&gt;"공무원",tblRoster[[#This Row],[나이]]=""),"",YEAR(TODAY())+(60-tblRoster[[#This Row],[나이]]))</f>
        <v/>
      </c>
      <c r="AH125" t="str">
        <f>IF(tblRoster[[#This Row],[직위]]="","일반","보직자")</f>
        <v>일반</v>
      </c>
      <c r="AI12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5" t="str">
        <f ca="1">IF(tblRoster[[#This Row],[복직예정일]]="","",TEXT(tblRoster[[#This Row],[복직예정일]],"yyyy-mm"))</f>
        <v/>
      </c>
      <c r="AM125" t="str">
        <f ca="1">IF(tblRoster[[#This Row],[복직예정일]]="","",tblRoster[[#This Row],[복직예정일]]-TODAY())</f>
        <v/>
      </c>
      <c r="AN125" t="str">
        <f ca="1">IF(tblRoster[[#This Row],[휴직잔여일수]]="","",IF(tblRoster[[#This Row],[휴직잔여일수]]&lt;=180,"6개월내","6개월이후"))</f>
        <v/>
      </c>
      <c r="AO12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6" spans="1:41" x14ac:dyDescent="0.3">
      <c r="A126">
        <v>900124</v>
      </c>
      <c r="B126" t="s">
        <v>329</v>
      </c>
      <c r="C126" t="s">
        <v>8</v>
      </c>
      <c r="D126">
        <v>45</v>
      </c>
      <c r="E126" t="s">
        <v>128</v>
      </c>
      <c r="F126" t="s">
        <v>158</v>
      </c>
      <c r="G126" t="s">
        <v>182</v>
      </c>
      <c r="H126" t="s">
        <v>275</v>
      </c>
      <c r="I126" t="s">
        <v>144</v>
      </c>
      <c r="J126" t="s">
        <v>145</v>
      </c>
      <c r="L126" t="s">
        <v>134</v>
      </c>
      <c r="M126" t="s">
        <v>135</v>
      </c>
      <c r="N126" s="1">
        <v>42795</v>
      </c>
      <c r="O126" s="1">
        <v>42795</v>
      </c>
      <c r="P126" s="1">
        <v>44013</v>
      </c>
      <c r="Q126" s="1">
        <v>44013</v>
      </c>
      <c r="R126">
        <v>10</v>
      </c>
      <c r="T12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26" t="str">
        <f>IF(tblRoster[[#This Row],[급수]]="4급(임기제)","4급",tblRoster[[#This Row],[급수]])</f>
        <v>7급</v>
      </c>
      <c r="V12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2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26" t="str">
        <f>IF(OR(tblRoster[[#This Row],[교직원상세구분]]="사회복무요원",tblRoster[[#This Row],[교직원상세구분]]="인턴(수습)"),"제외","포함")</f>
        <v>포함</v>
      </c>
      <c r="Y126">
        <f>1</f>
        <v>1</v>
      </c>
      <c r="Z126">
        <f>IF(tblRoster[[#This Row],[재직상태구분]]="휴직",1,0)</f>
        <v>0</v>
      </c>
      <c r="AA12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6">
        <f ca="1">IF(tblRoster[[#This Row],[본교발령시작일자]]="","",DATEDIF(tblRoster[[#This Row],[본교발령시작일자]],TODAY(),"Y"))</f>
        <v>9</v>
      </c>
      <c r="AC126">
        <f ca="1">IF(tblRoster[[#This Row],[최초발령시작일자]]="","",DATEDIF(tblRoster[[#This Row],[최초발령시작일자]],TODAY(),"Y"))</f>
        <v>9</v>
      </c>
      <c r="AD12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26">
        <f ca="1">IF(tblRoster[[#This Row],[직급발령시작일자]]="","",ROUND(YEARFRAC(tblRoster[[#This Row],[직급발령시작일자]],TODAY()),1))</f>
        <v>6.2</v>
      </c>
      <c r="AF12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6">
        <f ca="1">IF(OR(tblRoster[[#This Row],[공무원구분]]&lt;&gt;"공무원",tblRoster[[#This Row],[나이]]=""),"",YEAR(TODAY())+(60-tblRoster[[#This Row],[나이]]))</f>
        <v>2041</v>
      </c>
      <c r="AH126" t="str">
        <f>IF(tblRoster[[#This Row],[직위]]="","일반","보직자")</f>
        <v>일반</v>
      </c>
      <c r="AI12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6" t="str">
        <f ca="1">IF(tblRoster[[#This Row],[복직예정일]]="","",TEXT(tblRoster[[#This Row],[복직예정일]],"yyyy-mm"))</f>
        <v/>
      </c>
      <c r="AM126" t="str">
        <f ca="1">IF(tblRoster[[#This Row],[복직예정일]]="","",tblRoster[[#This Row],[복직예정일]]-TODAY())</f>
        <v/>
      </c>
      <c r="AN126" t="str">
        <f ca="1">IF(tblRoster[[#This Row],[휴직잔여일수]]="","",IF(tblRoster[[#This Row],[휴직잔여일수]]&lt;=180,"6개월내","6개월이후"))</f>
        <v/>
      </c>
      <c r="AO12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7" spans="1:41" x14ac:dyDescent="0.3">
      <c r="A127">
        <v>900125</v>
      </c>
      <c r="B127" t="s">
        <v>330</v>
      </c>
      <c r="C127" t="s">
        <v>8</v>
      </c>
      <c r="D127">
        <v>36</v>
      </c>
      <c r="E127" t="s">
        <v>128</v>
      </c>
      <c r="F127" t="s">
        <v>141</v>
      </c>
      <c r="G127" t="s">
        <v>173</v>
      </c>
      <c r="H127" t="s">
        <v>148</v>
      </c>
      <c r="I127" t="s">
        <v>132</v>
      </c>
      <c r="J127" t="s">
        <v>133</v>
      </c>
      <c r="L127" t="s">
        <v>134</v>
      </c>
      <c r="M127" t="s">
        <v>135</v>
      </c>
      <c r="N127" s="1">
        <v>44256</v>
      </c>
      <c r="O127" s="1">
        <v>45597</v>
      </c>
      <c r="P127" s="1">
        <v>45597</v>
      </c>
      <c r="Q127" s="1">
        <v>45597</v>
      </c>
      <c r="R127">
        <v>8</v>
      </c>
      <c r="T12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27" t="str">
        <f>IF(tblRoster[[#This Row],[급수]]="4급(임기제)","4급",tblRoster[[#This Row],[급수]])</f>
        <v>대학회계계약직</v>
      </c>
      <c r="V12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2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27" t="str">
        <f>IF(OR(tblRoster[[#This Row],[교직원상세구분]]="사회복무요원",tblRoster[[#This Row],[교직원상세구분]]="인턴(수습)"),"제외","포함")</f>
        <v>포함</v>
      </c>
      <c r="Y127">
        <f>1</f>
        <v>1</v>
      </c>
      <c r="Z127">
        <f>IF(tblRoster[[#This Row],[재직상태구분]]="휴직",1,0)</f>
        <v>0</v>
      </c>
      <c r="AA12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27">
        <f ca="1">IF(tblRoster[[#This Row],[본교발령시작일자]]="","",DATEDIF(tblRoster[[#This Row],[본교발령시작일자]],TODAY(),"Y"))</f>
        <v>1</v>
      </c>
      <c r="AC127">
        <f ca="1">IF(tblRoster[[#This Row],[최초발령시작일자]]="","",DATEDIF(tblRoster[[#This Row],[최초발령시작일자]],TODAY(),"Y"))</f>
        <v>5</v>
      </c>
      <c r="AD12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27">
        <f ca="1">IF(tblRoster[[#This Row],[직급발령시작일자]]="","",ROUND(YEARFRAC(tblRoster[[#This Row],[직급발령시작일자]],TODAY()),1))</f>
        <v>1.9</v>
      </c>
      <c r="AF12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27" t="str">
        <f ca="1">IF(OR(tblRoster[[#This Row],[공무원구분]]&lt;&gt;"공무원",tblRoster[[#This Row],[나이]]=""),"",YEAR(TODAY())+(60-tblRoster[[#This Row],[나이]]))</f>
        <v/>
      </c>
      <c r="AH127" t="str">
        <f>IF(tblRoster[[#This Row],[직위]]="","일반","보직자")</f>
        <v>일반</v>
      </c>
      <c r="AI12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7" t="str">
        <f ca="1">IF(tblRoster[[#This Row],[복직예정일]]="","",TEXT(tblRoster[[#This Row],[복직예정일]],"yyyy-mm"))</f>
        <v/>
      </c>
      <c r="AM127" t="str">
        <f ca="1">IF(tblRoster[[#This Row],[복직예정일]]="","",tblRoster[[#This Row],[복직예정일]]-TODAY())</f>
        <v/>
      </c>
      <c r="AN127" t="str">
        <f ca="1">IF(tblRoster[[#This Row],[휴직잔여일수]]="","",IF(tblRoster[[#This Row],[휴직잔여일수]]&lt;=180,"6개월내","6개월이후"))</f>
        <v/>
      </c>
      <c r="AO12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8" spans="1:41" x14ac:dyDescent="0.3">
      <c r="A128">
        <v>900126</v>
      </c>
      <c r="B128" t="s">
        <v>331</v>
      </c>
      <c r="C128" t="s">
        <v>8</v>
      </c>
      <c r="D128">
        <v>48</v>
      </c>
      <c r="E128" t="s">
        <v>150</v>
      </c>
      <c r="F128" t="s">
        <v>216</v>
      </c>
      <c r="G128" t="s">
        <v>173</v>
      </c>
      <c r="H128" t="s">
        <v>163</v>
      </c>
      <c r="I128" t="s">
        <v>144</v>
      </c>
      <c r="J128" t="s">
        <v>145</v>
      </c>
      <c r="L128" t="s">
        <v>134</v>
      </c>
      <c r="M128" t="s">
        <v>135</v>
      </c>
      <c r="N128" s="1">
        <v>37135</v>
      </c>
      <c r="O128" s="1">
        <v>37135</v>
      </c>
      <c r="P128" s="1">
        <v>43070</v>
      </c>
      <c r="Q128" s="1">
        <v>43070</v>
      </c>
      <c r="R128">
        <v>25</v>
      </c>
      <c r="T12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28" t="str">
        <f>IF(tblRoster[[#This Row],[급수]]="4급(임기제)","4급",tblRoster[[#This Row],[급수]])</f>
        <v>6급</v>
      </c>
      <c r="V12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2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28" t="str">
        <f>IF(OR(tblRoster[[#This Row],[교직원상세구분]]="사회복무요원",tblRoster[[#This Row],[교직원상세구분]]="인턴(수습)"),"제외","포함")</f>
        <v>포함</v>
      </c>
      <c r="Y128">
        <f>1</f>
        <v>1</v>
      </c>
      <c r="Z128">
        <f>IF(tblRoster[[#This Row],[재직상태구분]]="휴직",1,0)</f>
        <v>0</v>
      </c>
      <c r="AA12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8">
        <f ca="1">IF(tblRoster[[#This Row],[본교발령시작일자]]="","",DATEDIF(tblRoster[[#This Row],[본교발령시작일자]],TODAY(),"Y"))</f>
        <v>25</v>
      </c>
      <c r="AC128">
        <f ca="1">IF(tblRoster[[#This Row],[최초발령시작일자]]="","",DATEDIF(tblRoster[[#This Row],[최초발령시작일자]],TODAY(),"Y"))</f>
        <v>25</v>
      </c>
      <c r="AD12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28">
        <f ca="1">IF(tblRoster[[#This Row],[직급발령시작일자]]="","",ROUND(YEARFRAC(tblRoster[[#This Row],[직급발령시작일자]],TODAY()),1))</f>
        <v>8.8000000000000007</v>
      </c>
      <c r="AF12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8">
        <f ca="1">IF(OR(tblRoster[[#This Row],[공무원구분]]&lt;&gt;"공무원",tblRoster[[#This Row],[나이]]=""),"",YEAR(TODAY())+(60-tblRoster[[#This Row],[나이]]))</f>
        <v>2038</v>
      </c>
      <c r="AH128" t="str">
        <f>IF(tblRoster[[#This Row],[직위]]="","일반","보직자")</f>
        <v>일반</v>
      </c>
      <c r="AI12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8" t="str">
        <f ca="1">IF(tblRoster[[#This Row],[복직예정일]]="","",TEXT(tblRoster[[#This Row],[복직예정일]],"yyyy-mm"))</f>
        <v/>
      </c>
      <c r="AM128" t="str">
        <f ca="1">IF(tblRoster[[#This Row],[복직예정일]]="","",tblRoster[[#This Row],[복직예정일]]-TODAY())</f>
        <v/>
      </c>
      <c r="AN128" t="str">
        <f ca="1">IF(tblRoster[[#This Row],[휴직잔여일수]]="","",IF(tblRoster[[#This Row],[휴직잔여일수]]&lt;=180,"6개월내","6개월이후"))</f>
        <v/>
      </c>
      <c r="AO12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29" spans="1:41" x14ac:dyDescent="0.3">
      <c r="A129">
        <v>900127</v>
      </c>
      <c r="B129" t="s">
        <v>332</v>
      </c>
      <c r="C129" t="s">
        <v>8</v>
      </c>
      <c r="D129">
        <v>45</v>
      </c>
      <c r="E129" t="s">
        <v>128</v>
      </c>
      <c r="F129" t="s">
        <v>141</v>
      </c>
      <c r="G129" t="s">
        <v>182</v>
      </c>
      <c r="H129" t="s">
        <v>163</v>
      </c>
      <c r="I129" t="s">
        <v>144</v>
      </c>
      <c r="J129" t="s">
        <v>145</v>
      </c>
      <c r="L129" t="s">
        <v>134</v>
      </c>
      <c r="M129" t="s">
        <v>135</v>
      </c>
      <c r="N129" s="1">
        <v>39022</v>
      </c>
      <c r="O129" s="1">
        <v>39022</v>
      </c>
      <c r="P129" s="1">
        <v>43831</v>
      </c>
      <c r="Q129" s="1">
        <v>43831</v>
      </c>
      <c r="R129">
        <v>23</v>
      </c>
      <c r="T12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29" t="str">
        <f>IF(tblRoster[[#This Row],[급수]]="4급(임기제)","4급",tblRoster[[#This Row],[급수]])</f>
        <v>6급</v>
      </c>
      <c r="V12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2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29" t="str">
        <f>IF(OR(tblRoster[[#This Row],[교직원상세구분]]="사회복무요원",tblRoster[[#This Row],[교직원상세구분]]="인턴(수습)"),"제외","포함")</f>
        <v>포함</v>
      </c>
      <c r="Y129">
        <f>1</f>
        <v>1</v>
      </c>
      <c r="Z129">
        <f>IF(tblRoster[[#This Row],[재직상태구분]]="휴직",1,0)</f>
        <v>0</v>
      </c>
      <c r="AA12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29">
        <f ca="1">IF(tblRoster[[#This Row],[본교발령시작일자]]="","",DATEDIF(tblRoster[[#This Row],[본교발령시작일자]],TODAY(),"Y"))</f>
        <v>19</v>
      </c>
      <c r="AC129">
        <f ca="1">IF(tblRoster[[#This Row],[최초발령시작일자]]="","",DATEDIF(tblRoster[[#This Row],[최초발령시작일자]],TODAY(),"Y"))</f>
        <v>19</v>
      </c>
      <c r="AD12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29">
        <f ca="1">IF(tblRoster[[#This Row],[직급발령시작일자]]="","",ROUND(YEARFRAC(tblRoster[[#This Row],[직급발령시작일자]],TODAY()),1))</f>
        <v>6.7</v>
      </c>
      <c r="AF12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29">
        <f ca="1">IF(OR(tblRoster[[#This Row],[공무원구분]]&lt;&gt;"공무원",tblRoster[[#This Row],[나이]]=""),"",YEAR(TODAY())+(60-tblRoster[[#This Row],[나이]]))</f>
        <v>2041</v>
      </c>
      <c r="AH129" t="str">
        <f>IF(tblRoster[[#This Row],[직위]]="","일반","보직자")</f>
        <v>일반</v>
      </c>
      <c r="AI12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2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2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29" t="str">
        <f ca="1">IF(tblRoster[[#This Row],[복직예정일]]="","",TEXT(tblRoster[[#This Row],[복직예정일]],"yyyy-mm"))</f>
        <v/>
      </c>
      <c r="AM129" t="str">
        <f ca="1">IF(tblRoster[[#This Row],[복직예정일]]="","",tblRoster[[#This Row],[복직예정일]]-TODAY())</f>
        <v/>
      </c>
      <c r="AN129" t="str">
        <f ca="1">IF(tblRoster[[#This Row],[휴직잔여일수]]="","",IF(tblRoster[[#This Row],[휴직잔여일수]]&lt;=180,"6개월내","6개월이후"))</f>
        <v/>
      </c>
      <c r="AO12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0" spans="1:41" x14ac:dyDescent="0.3">
      <c r="A130">
        <v>900128</v>
      </c>
      <c r="B130" t="s">
        <v>333</v>
      </c>
      <c r="C130" t="s">
        <v>8</v>
      </c>
      <c r="D130">
        <v>44</v>
      </c>
      <c r="E130" t="s">
        <v>150</v>
      </c>
      <c r="F130" t="s">
        <v>216</v>
      </c>
      <c r="G130" t="s">
        <v>185</v>
      </c>
      <c r="H130" t="s">
        <v>148</v>
      </c>
      <c r="I130" t="s">
        <v>132</v>
      </c>
      <c r="J130" t="s">
        <v>133</v>
      </c>
      <c r="L130" t="s">
        <v>134</v>
      </c>
      <c r="M130" t="s">
        <v>135</v>
      </c>
      <c r="N130" s="1">
        <v>43647</v>
      </c>
      <c r="O130" s="1">
        <v>44287</v>
      </c>
      <c r="P130" s="1">
        <v>44287</v>
      </c>
      <c r="Q130" s="1">
        <v>44287</v>
      </c>
      <c r="R130">
        <v>7</v>
      </c>
      <c r="T13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30" t="str">
        <f>IF(tblRoster[[#This Row],[급수]]="4급(임기제)","4급",tblRoster[[#This Row],[급수]])</f>
        <v>대학회계계약직</v>
      </c>
      <c r="V13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3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30" t="str">
        <f>IF(OR(tblRoster[[#This Row],[교직원상세구분]]="사회복무요원",tblRoster[[#This Row],[교직원상세구분]]="인턴(수습)"),"제외","포함")</f>
        <v>포함</v>
      </c>
      <c r="Y130">
        <f>1</f>
        <v>1</v>
      </c>
      <c r="Z130">
        <f>IF(tblRoster[[#This Row],[재직상태구분]]="휴직",1,0)</f>
        <v>0</v>
      </c>
      <c r="AA13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30">
        <f ca="1">IF(tblRoster[[#This Row],[본교발령시작일자]]="","",DATEDIF(tblRoster[[#This Row],[본교발령시작일자]],TODAY(),"Y"))</f>
        <v>5</v>
      </c>
      <c r="AC130">
        <f ca="1">IF(tblRoster[[#This Row],[최초발령시작일자]]="","",DATEDIF(tblRoster[[#This Row],[최초발령시작일자]],TODAY(),"Y"))</f>
        <v>7</v>
      </c>
      <c r="AD13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30">
        <f ca="1">IF(tblRoster[[#This Row],[직급발령시작일자]]="","",ROUND(YEARFRAC(tblRoster[[#This Row],[직급발령시작일자]],TODAY()),1))</f>
        <v>5.4</v>
      </c>
      <c r="AF13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30" t="str">
        <f ca="1">IF(OR(tblRoster[[#This Row],[공무원구분]]&lt;&gt;"공무원",tblRoster[[#This Row],[나이]]=""),"",YEAR(TODAY())+(60-tblRoster[[#This Row],[나이]]))</f>
        <v/>
      </c>
      <c r="AH130" t="str">
        <f>IF(tblRoster[[#This Row],[직위]]="","일반","보직자")</f>
        <v>일반</v>
      </c>
      <c r="AI13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0" t="str">
        <f ca="1">IF(tblRoster[[#This Row],[복직예정일]]="","",TEXT(tblRoster[[#This Row],[복직예정일]],"yyyy-mm"))</f>
        <v/>
      </c>
      <c r="AM130" t="str">
        <f ca="1">IF(tblRoster[[#This Row],[복직예정일]]="","",tblRoster[[#This Row],[복직예정일]]-TODAY())</f>
        <v/>
      </c>
      <c r="AN130" t="str">
        <f ca="1">IF(tblRoster[[#This Row],[휴직잔여일수]]="","",IF(tblRoster[[#This Row],[휴직잔여일수]]&lt;=180,"6개월내","6개월이후"))</f>
        <v/>
      </c>
      <c r="AO13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1" spans="1:41" x14ac:dyDescent="0.3">
      <c r="A131">
        <v>900129</v>
      </c>
      <c r="B131" t="s">
        <v>334</v>
      </c>
      <c r="C131" t="s">
        <v>8</v>
      </c>
      <c r="D131">
        <v>49</v>
      </c>
      <c r="E131" t="s">
        <v>128</v>
      </c>
      <c r="F131" t="s">
        <v>216</v>
      </c>
      <c r="G131" t="s">
        <v>138</v>
      </c>
      <c r="H131" t="s">
        <v>219</v>
      </c>
      <c r="I131" t="s">
        <v>144</v>
      </c>
      <c r="J131" t="s">
        <v>145</v>
      </c>
      <c r="L131" t="s">
        <v>134</v>
      </c>
      <c r="M131" t="s">
        <v>135</v>
      </c>
      <c r="N131" s="1">
        <v>36526</v>
      </c>
      <c r="O131" s="1">
        <v>36526</v>
      </c>
      <c r="P131" s="1">
        <v>43374</v>
      </c>
      <c r="Q131" s="1">
        <v>43374</v>
      </c>
      <c r="R131">
        <v>26</v>
      </c>
      <c r="T13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31" t="str">
        <f>IF(tblRoster[[#This Row],[급수]]="4급(임기제)","4급",tblRoster[[#This Row],[급수]])</f>
        <v>8급</v>
      </c>
      <c r="V13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3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31" t="str">
        <f>IF(OR(tblRoster[[#This Row],[교직원상세구분]]="사회복무요원",tblRoster[[#This Row],[교직원상세구분]]="인턴(수습)"),"제외","포함")</f>
        <v>포함</v>
      </c>
      <c r="Y131">
        <f>1</f>
        <v>1</v>
      </c>
      <c r="Z131">
        <f>IF(tblRoster[[#This Row],[재직상태구분]]="휴직",1,0)</f>
        <v>0</v>
      </c>
      <c r="AA13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31">
        <f ca="1">IF(tblRoster[[#This Row],[본교발령시작일자]]="","",DATEDIF(tblRoster[[#This Row],[본교발령시작일자]],TODAY(),"Y"))</f>
        <v>26</v>
      </c>
      <c r="AC131">
        <f ca="1">IF(tblRoster[[#This Row],[최초발령시작일자]]="","",DATEDIF(tblRoster[[#This Row],[최초발령시작일자]],TODAY(),"Y"))</f>
        <v>26</v>
      </c>
      <c r="AD13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31">
        <f ca="1">IF(tblRoster[[#This Row],[직급발령시작일자]]="","",ROUND(YEARFRAC(tblRoster[[#This Row],[직급발령시작일자]],TODAY()),1))</f>
        <v>7.9</v>
      </c>
      <c r="AF13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31">
        <f ca="1">IF(OR(tblRoster[[#This Row],[공무원구분]]&lt;&gt;"공무원",tblRoster[[#This Row],[나이]]=""),"",YEAR(TODAY())+(60-tblRoster[[#This Row],[나이]]))</f>
        <v>2037</v>
      </c>
      <c r="AH131" t="str">
        <f>IF(tblRoster[[#This Row],[직위]]="","일반","보직자")</f>
        <v>일반</v>
      </c>
      <c r="AI13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1" t="str">
        <f ca="1">IF(tblRoster[[#This Row],[복직예정일]]="","",TEXT(tblRoster[[#This Row],[복직예정일]],"yyyy-mm"))</f>
        <v/>
      </c>
      <c r="AM131" t="str">
        <f ca="1">IF(tblRoster[[#This Row],[복직예정일]]="","",tblRoster[[#This Row],[복직예정일]]-TODAY())</f>
        <v/>
      </c>
      <c r="AN131" t="str">
        <f ca="1">IF(tblRoster[[#This Row],[휴직잔여일수]]="","",IF(tblRoster[[#This Row],[휴직잔여일수]]&lt;=180,"6개월내","6개월이후"))</f>
        <v/>
      </c>
      <c r="AO13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2" spans="1:41" x14ac:dyDescent="0.3">
      <c r="A132">
        <v>900130</v>
      </c>
      <c r="B132" t="s">
        <v>335</v>
      </c>
      <c r="C132" t="s">
        <v>8</v>
      </c>
      <c r="D132">
        <v>49</v>
      </c>
      <c r="E132" t="s">
        <v>128</v>
      </c>
      <c r="F132" t="s">
        <v>147</v>
      </c>
      <c r="G132" t="s">
        <v>130</v>
      </c>
      <c r="H132" t="s">
        <v>148</v>
      </c>
      <c r="I132" t="s">
        <v>132</v>
      </c>
      <c r="J132" t="s">
        <v>133</v>
      </c>
      <c r="L132" t="s">
        <v>134</v>
      </c>
      <c r="M132" t="s">
        <v>135</v>
      </c>
      <c r="N132" s="1">
        <v>37469</v>
      </c>
      <c r="O132" s="1">
        <v>46296</v>
      </c>
      <c r="P132" s="1">
        <v>46296</v>
      </c>
      <c r="Q132" s="1">
        <v>46296</v>
      </c>
      <c r="R132">
        <v>26</v>
      </c>
      <c r="T13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32" t="str">
        <f>IF(tblRoster[[#This Row],[급수]]="4급(임기제)","4급",tblRoster[[#This Row],[급수]])</f>
        <v>대학회계계약직</v>
      </c>
      <c r="V13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3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32" t="str">
        <f>IF(OR(tblRoster[[#This Row],[교직원상세구분]]="사회복무요원",tblRoster[[#This Row],[교직원상세구분]]="인턴(수습)"),"제외","포함")</f>
        <v>포함</v>
      </c>
      <c r="Y132">
        <f>1</f>
        <v>1</v>
      </c>
      <c r="Z132">
        <f>IF(tblRoster[[#This Row],[재직상태구분]]="휴직",1,0)</f>
        <v>0</v>
      </c>
      <c r="AA13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32" t="e">
        <f ca="1">IF(tblRoster[[#This Row],[본교발령시작일자]]="","",DATEDIF(tblRoster[[#This Row],[본교발령시작일자]],TODAY(),"Y"))</f>
        <v>#NUM!</v>
      </c>
      <c r="AC132">
        <f ca="1">IF(tblRoster[[#This Row],[최초발령시작일자]]="","",DATEDIF(tblRoster[[#This Row],[최초발령시작일자]],TODAY(),"Y"))</f>
        <v>24</v>
      </c>
      <c r="AD13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32">
        <f ca="1">IF(tblRoster[[#This Row],[직급발령시작일자]]="","",ROUND(YEARFRAC(tblRoster[[#This Row],[직급발령시작일자]],TODAY()),1))</f>
        <v>0.1</v>
      </c>
      <c r="AF13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32" t="str">
        <f ca="1">IF(OR(tblRoster[[#This Row],[공무원구분]]&lt;&gt;"공무원",tblRoster[[#This Row],[나이]]=""),"",YEAR(TODAY())+(60-tblRoster[[#This Row],[나이]]))</f>
        <v/>
      </c>
      <c r="AH132" t="str">
        <f>IF(tblRoster[[#This Row],[직위]]="","일반","보직자")</f>
        <v>일반</v>
      </c>
      <c r="AI13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2" t="str">
        <f ca="1">IF(tblRoster[[#This Row],[복직예정일]]="","",TEXT(tblRoster[[#This Row],[복직예정일]],"yyyy-mm"))</f>
        <v/>
      </c>
      <c r="AM132" t="str">
        <f ca="1">IF(tblRoster[[#This Row],[복직예정일]]="","",tblRoster[[#This Row],[복직예정일]]-TODAY())</f>
        <v/>
      </c>
      <c r="AN132" t="str">
        <f ca="1">IF(tblRoster[[#This Row],[휴직잔여일수]]="","",IF(tblRoster[[#This Row],[휴직잔여일수]]&lt;=180,"6개월내","6개월이후"))</f>
        <v/>
      </c>
      <c r="AO13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3" spans="1:41" x14ac:dyDescent="0.3">
      <c r="A133">
        <v>900131</v>
      </c>
      <c r="B133" t="s">
        <v>336</v>
      </c>
      <c r="C133" t="s">
        <v>8</v>
      </c>
      <c r="D133">
        <v>48</v>
      </c>
      <c r="E133" t="s">
        <v>150</v>
      </c>
      <c r="F133" t="s">
        <v>168</v>
      </c>
      <c r="G133" t="s">
        <v>142</v>
      </c>
      <c r="H133" t="s">
        <v>337</v>
      </c>
      <c r="I133" t="s">
        <v>239</v>
      </c>
      <c r="J133" t="s">
        <v>133</v>
      </c>
      <c r="L133" t="s">
        <v>134</v>
      </c>
      <c r="M133" t="s">
        <v>135</v>
      </c>
      <c r="N133" s="1">
        <v>36708</v>
      </c>
      <c r="O133" s="1">
        <v>44470</v>
      </c>
      <c r="P133" s="1">
        <v>44470</v>
      </c>
      <c r="Q133" s="1">
        <v>44470</v>
      </c>
      <c r="R133">
        <v>26</v>
      </c>
      <c r="T13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33" t="str">
        <f>IF(tblRoster[[#This Row],[급수]]="4급(임기제)","4급",tblRoster[[#This Row],[급수]])</f>
        <v>대학회계직</v>
      </c>
      <c r="V13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3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33" t="str">
        <f>IF(OR(tblRoster[[#This Row],[교직원상세구분]]="사회복무요원",tblRoster[[#This Row],[교직원상세구분]]="인턴(수습)"),"제외","포함")</f>
        <v>포함</v>
      </c>
      <c r="Y133">
        <f>1</f>
        <v>1</v>
      </c>
      <c r="Z133">
        <f>IF(tblRoster[[#This Row],[재직상태구분]]="휴직",1,0)</f>
        <v>0</v>
      </c>
      <c r="AA13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33">
        <f ca="1">IF(tblRoster[[#This Row],[본교발령시작일자]]="","",DATEDIF(tblRoster[[#This Row],[본교발령시작일자]],TODAY(),"Y"))</f>
        <v>4</v>
      </c>
      <c r="AC133">
        <f ca="1">IF(tblRoster[[#This Row],[최초발령시작일자]]="","",DATEDIF(tblRoster[[#This Row],[최초발령시작일자]],TODAY(),"Y"))</f>
        <v>26</v>
      </c>
      <c r="AD13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33">
        <f ca="1">IF(tblRoster[[#This Row],[직급발령시작일자]]="","",ROUND(YEARFRAC(tblRoster[[#This Row],[직급발령시작일자]],TODAY()),1))</f>
        <v>4.9000000000000004</v>
      </c>
      <c r="AF13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33" t="str">
        <f ca="1">IF(OR(tblRoster[[#This Row],[공무원구분]]&lt;&gt;"공무원",tblRoster[[#This Row],[나이]]=""),"",YEAR(TODAY())+(60-tblRoster[[#This Row],[나이]]))</f>
        <v/>
      </c>
      <c r="AH133" t="str">
        <f>IF(tblRoster[[#This Row],[직위]]="","일반","보직자")</f>
        <v>일반</v>
      </c>
      <c r="AI13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3" t="str">
        <f ca="1">IF(tblRoster[[#This Row],[복직예정일]]="","",TEXT(tblRoster[[#This Row],[복직예정일]],"yyyy-mm"))</f>
        <v/>
      </c>
      <c r="AM133" t="str">
        <f ca="1">IF(tblRoster[[#This Row],[복직예정일]]="","",tblRoster[[#This Row],[복직예정일]]-TODAY())</f>
        <v/>
      </c>
      <c r="AN133" t="str">
        <f ca="1">IF(tblRoster[[#This Row],[휴직잔여일수]]="","",IF(tblRoster[[#This Row],[휴직잔여일수]]&lt;=180,"6개월내","6개월이후"))</f>
        <v/>
      </c>
      <c r="AO13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4" spans="1:41" x14ac:dyDescent="0.3">
      <c r="A134">
        <v>900132</v>
      </c>
      <c r="B134" t="s">
        <v>31</v>
      </c>
      <c r="C134" t="s">
        <v>16</v>
      </c>
      <c r="D134">
        <v>57</v>
      </c>
      <c r="E134" t="s">
        <v>128</v>
      </c>
      <c r="F134" t="s">
        <v>184</v>
      </c>
      <c r="G134" t="s">
        <v>173</v>
      </c>
      <c r="H134" t="s">
        <v>163</v>
      </c>
      <c r="I134" t="s">
        <v>144</v>
      </c>
      <c r="J134" t="s">
        <v>145</v>
      </c>
      <c r="L134" t="s">
        <v>134</v>
      </c>
      <c r="M134" t="s">
        <v>135</v>
      </c>
      <c r="N134" s="1">
        <v>38626</v>
      </c>
      <c r="O134" s="1">
        <v>38626</v>
      </c>
      <c r="P134" s="1">
        <v>41852</v>
      </c>
      <c r="Q134" s="1">
        <v>41852</v>
      </c>
      <c r="R134">
        <v>24</v>
      </c>
      <c r="S134" t="s">
        <v>338</v>
      </c>
      <c r="T13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34" t="str">
        <f>IF(tblRoster[[#This Row],[급수]]="4급(임기제)","4급",tblRoster[[#This Row],[급수]])</f>
        <v>6급</v>
      </c>
      <c r="V13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3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34" t="str">
        <f>IF(OR(tblRoster[[#This Row],[교직원상세구분]]="사회복무요원",tblRoster[[#This Row],[교직원상세구분]]="인턴(수습)"),"제외","포함")</f>
        <v>포함</v>
      </c>
      <c r="Y134">
        <f>1</f>
        <v>1</v>
      </c>
      <c r="Z134">
        <f>IF(tblRoster[[#This Row],[재직상태구분]]="휴직",1,0)</f>
        <v>1</v>
      </c>
      <c r="AA13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34">
        <f ca="1">IF(tblRoster[[#This Row],[본교발령시작일자]]="","",DATEDIF(tblRoster[[#This Row],[본교발령시작일자]],TODAY(),"Y"))</f>
        <v>20</v>
      </c>
      <c r="AC134">
        <f ca="1">IF(tblRoster[[#This Row],[최초발령시작일자]]="","",DATEDIF(tblRoster[[#This Row],[최초발령시작일자]],TODAY(),"Y"))</f>
        <v>20</v>
      </c>
      <c r="AD13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34">
        <f ca="1">IF(tblRoster[[#This Row],[직급발령시작일자]]="","",ROUND(YEARFRAC(tblRoster[[#This Row],[직급발령시작일자]],TODAY()),1))</f>
        <v>12.1</v>
      </c>
      <c r="AF134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34">
        <f ca="1">IF(OR(tblRoster[[#This Row],[공무원구분]]&lt;&gt;"공무원",tblRoster[[#This Row],[나이]]=""),"",YEAR(TODAY())+(60-tblRoster[[#This Row],[나이]]))</f>
        <v>2029</v>
      </c>
      <c r="AH134" t="str">
        <f>IF(tblRoster[[#This Row],[직위]]="","일반","보직자")</f>
        <v>일반</v>
      </c>
      <c r="AI134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45954</v>
      </c>
      <c r="AJ13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34" s="1">
        <f ca="1">IF(tblRoster[[#This Row],[현재휴직시작일]]="","",IFERROR(INDEX(tblLeave[종료일],MATCH(tblRoster[[#This Row],[교직원번호]]&amp;"|"&amp;tblRoster[[#This Row],[현재휴직시작일]],tblLeave[매칭키],0)),""))</f>
        <v>46319</v>
      </c>
      <c r="AL134" t="str">
        <f ca="1">IF(tblRoster[[#This Row],[복직예정일]]="","",TEXT(tblRoster[[#This Row],[복직예정일]],"yyyy-mm"))</f>
        <v>2026-10</v>
      </c>
      <c r="AM134">
        <f ca="1">IF(tblRoster[[#This Row],[복직예정일]]="","",tblRoster[[#This Row],[복직예정일]]-TODAY())</f>
        <v>47</v>
      </c>
      <c r="AN134" t="str">
        <f ca="1">IF(tblRoster[[#This Row],[휴직잔여일수]]="","",IF(tblRoster[[#This Row],[휴직잔여일수]]&lt;=180,"6개월내","6개월이후"))</f>
        <v>6개월내</v>
      </c>
      <c r="AO13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5" spans="1:41" x14ac:dyDescent="0.3">
      <c r="A135">
        <v>900133</v>
      </c>
      <c r="B135" t="s">
        <v>32</v>
      </c>
      <c r="C135" t="s">
        <v>16</v>
      </c>
      <c r="D135">
        <v>47</v>
      </c>
      <c r="E135" t="s">
        <v>128</v>
      </c>
      <c r="F135" t="s">
        <v>137</v>
      </c>
      <c r="G135" t="s">
        <v>151</v>
      </c>
      <c r="H135" t="s">
        <v>163</v>
      </c>
      <c r="I135" t="s">
        <v>144</v>
      </c>
      <c r="J135" t="s">
        <v>145</v>
      </c>
      <c r="L135" t="s">
        <v>134</v>
      </c>
      <c r="M135" t="s">
        <v>135</v>
      </c>
      <c r="N135" s="1">
        <v>42217</v>
      </c>
      <c r="O135" s="1">
        <v>42217</v>
      </c>
      <c r="P135" s="1">
        <v>43770</v>
      </c>
      <c r="Q135" s="1">
        <v>43770</v>
      </c>
      <c r="R135">
        <v>14</v>
      </c>
      <c r="S135" t="s">
        <v>339</v>
      </c>
      <c r="T13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35" t="str">
        <f>IF(tblRoster[[#This Row],[급수]]="4급(임기제)","4급",tblRoster[[#This Row],[급수]])</f>
        <v>6급</v>
      </c>
      <c r="V13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3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35" t="str">
        <f>IF(OR(tblRoster[[#This Row],[교직원상세구분]]="사회복무요원",tblRoster[[#This Row],[교직원상세구분]]="인턴(수습)"),"제외","포함")</f>
        <v>포함</v>
      </c>
      <c r="Y135">
        <f>1</f>
        <v>1</v>
      </c>
      <c r="Z135">
        <f>IF(tblRoster[[#This Row],[재직상태구분]]="휴직",1,0)</f>
        <v>1</v>
      </c>
      <c r="AA13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35">
        <f ca="1">IF(tblRoster[[#This Row],[본교발령시작일자]]="","",DATEDIF(tblRoster[[#This Row],[본교발령시작일자]],TODAY(),"Y"))</f>
        <v>11</v>
      </c>
      <c r="AC135">
        <f ca="1">IF(tblRoster[[#This Row],[최초발령시작일자]]="","",DATEDIF(tblRoster[[#This Row],[최초발령시작일자]],TODAY(),"Y"))</f>
        <v>11</v>
      </c>
      <c r="AD13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35">
        <f ca="1">IF(tblRoster[[#This Row],[직급발령시작일자]]="","",ROUND(YEARFRAC(tblRoster[[#This Row],[직급발령시작일자]],TODAY()),1))</f>
        <v>6.9</v>
      </c>
      <c r="AF13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35">
        <f ca="1">IF(OR(tblRoster[[#This Row],[공무원구분]]&lt;&gt;"공무원",tblRoster[[#This Row],[나이]]=""),"",YEAR(TODAY())+(60-tblRoster[[#This Row],[나이]]))</f>
        <v>2039</v>
      </c>
      <c r="AH135" t="str">
        <f>IF(tblRoster[[#This Row],[직위]]="","일반","보직자")</f>
        <v>일반</v>
      </c>
      <c r="AI135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46028</v>
      </c>
      <c r="AJ13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35" s="1">
        <f ca="1">IF(tblRoster[[#This Row],[현재휴직시작일]]="","",IFERROR(INDEX(tblLeave[종료일],MATCH(tblRoster[[#This Row],[교직원번호]]&amp;"|"&amp;tblRoster[[#This Row],[현재휴직시작일]],tblLeave[매칭키],0)),""))</f>
        <v>46393</v>
      </c>
      <c r="AL135" t="str">
        <f ca="1">IF(tblRoster[[#This Row],[복직예정일]]="","",TEXT(tblRoster[[#This Row],[복직예정일]],"yyyy-mm"))</f>
        <v>2027-01</v>
      </c>
      <c r="AM135">
        <f ca="1">IF(tblRoster[[#This Row],[복직예정일]]="","",tblRoster[[#This Row],[복직예정일]]-TODAY())</f>
        <v>121</v>
      </c>
      <c r="AN135" t="str">
        <f ca="1">IF(tblRoster[[#This Row],[휴직잔여일수]]="","",IF(tblRoster[[#This Row],[휴직잔여일수]]&lt;=180,"6개월내","6개월이후"))</f>
        <v>6개월내</v>
      </c>
      <c r="AO13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6" spans="1:41" x14ac:dyDescent="0.3">
      <c r="A136">
        <v>900134</v>
      </c>
      <c r="B136" t="s">
        <v>340</v>
      </c>
      <c r="C136" t="s">
        <v>8</v>
      </c>
      <c r="D136">
        <v>30</v>
      </c>
      <c r="E136" t="s">
        <v>128</v>
      </c>
      <c r="F136" t="s">
        <v>162</v>
      </c>
      <c r="G136" t="s">
        <v>197</v>
      </c>
      <c r="H136" t="s">
        <v>275</v>
      </c>
      <c r="I136" t="s">
        <v>144</v>
      </c>
      <c r="J136" t="s">
        <v>145</v>
      </c>
      <c r="L136" t="s">
        <v>134</v>
      </c>
      <c r="M136" t="s">
        <v>135</v>
      </c>
      <c r="N136" s="1">
        <v>45870</v>
      </c>
      <c r="O136" s="1">
        <v>45870</v>
      </c>
      <c r="P136" s="1">
        <v>45992</v>
      </c>
      <c r="Q136" s="1">
        <v>45992</v>
      </c>
      <c r="R136">
        <v>4</v>
      </c>
      <c r="T13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36" t="str">
        <f>IF(tblRoster[[#This Row],[급수]]="4급(임기제)","4급",tblRoster[[#This Row],[급수]])</f>
        <v>7급</v>
      </c>
      <c r="V13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3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36" t="str">
        <f>IF(OR(tblRoster[[#This Row],[교직원상세구분]]="사회복무요원",tblRoster[[#This Row],[교직원상세구분]]="인턴(수습)"),"제외","포함")</f>
        <v>포함</v>
      </c>
      <c r="Y136">
        <f>1</f>
        <v>1</v>
      </c>
      <c r="Z136">
        <f>IF(tblRoster[[#This Row],[재직상태구분]]="휴직",1,0)</f>
        <v>0</v>
      </c>
      <c r="AA13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36">
        <f ca="1">IF(tblRoster[[#This Row],[본교발령시작일자]]="","",DATEDIF(tblRoster[[#This Row],[본교발령시작일자]],TODAY(),"Y"))</f>
        <v>1</v>
      </c>
      <c r="AC136">
        <f ca="1">IF(tblRoster[[#This Row],[최초발령시작일자]]="","",DATEDIF(tblRoster[[#This Row],[최초발령시작일자]],TODAY(),"Y"))</f>
        <v>1</v>
      </c>
      <c r="AD13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36">
        <f ca="1">IF(tblRoster[[#This Row],[직급발령시작일자]]="","",ROUND(YEARFRAC(tblRoster[[#This Row],[직급발령시작일자]],TODAY()),1))</f>
        <v>0.8</v>
      </c>
      <c r="AF13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36">
        <f ca="1">IF(OR(tblRoster[[#This Row],[공무원구분]]&lt;&gt;"공무원",tblRoster[[#This Row],[나이]]=""),"",YEAR(TODAY())+(60-tblRoster[[#This Row],[나이]]))</f>
        <v>2056</v>
      </c>
      <c r="AH136" t="str">
        <f>IF(tblRoster[[#This Row],[직위]]="","일반","보직자")</f>
        <v>일반</v>
      </c>
      <c r="AI13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6" t="str">
        <f ca="1">IF(tblRoster[[#This Row],[복직예정일]]="","",TEXT(tblRoster[[#This Row],[복직예정일]],"yyyy-mm"))</f>
        <v/>
      </c>
      <c r="AM136" t="str">
        <f ca="1">IF(tblRoster[[#This Row],[복직예정일]]="","",tblRoster[[#This Row],[복직예정일]]-TODAY())</f>
        <v/>
      </c>
      <c r="AN136" t="str">
        <f ca="1">IF(tblRoster[[#This Row],[휴직잔여일수]]="","",IF(tblRoster[[#This Row],[휴직잔여일수]]&lt;=180,"6개월내","6개월이후"))</f>
        <v/>
      </c>
      <c r="AO13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7" spans="1:41" x14ac:dyDescent="0.3">
      <c r="A137">
        <v>900135</v>
      </c>
      <c r="B137" t="s">
        <v>329</v>
      </c>
      <c r="C137" t="s">
        <v>8</v>
      </c>
      <c r="D137">
        <v>36</v>
      </c>
      <c r="E137" t="s">
        <v>128</v>
      </c>
      <c r="F137" t="s">
        <v>216</v>
      </c>
      <c r="G137" t="s">
        <v>197</v>
      </c>
      <c r="H137" t="s">
        <v>163</v>
      </c>
      <c r="I137" t="s">
        <v>144</v>
      </c>
      <c r="J137" t="s">
        <v>145</v>
      </c>
      <c r="L137" t="s">
        <v>135</v>
      </c>
      <c r="M137" t="s">
        <v>135</v>
      </c>
      <c r="N137" s="1">
        <v>42186</v>
      </c>
      <c r="O137" s="1">
        <v>42186</v>
      </c>
      <c r="P137" s="1">
        <v>42186</v>
      </c>
      <c r="Q137" s="1">
        <v>42186</v>
      </c>
      <c r="R137">
        <v>11</v>
      </c>
      <c r="T13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37" t="str">
        <f>IF(tblRoster[[#This Row],[급수]]="4급(임기제)","4급",tblRoster[[#This Row],[급수]])</f>
        <v>6급</v>
      </c>
      <c r="V13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3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37" t="str">
        <f>IF(OR(tblRoster[[#This Row],[교직원상세구분]]="사회복무요원",tblRoster[[#This Row],[교직원상세구분]]="인턴(수습)"),"제외","포함")</f>
        <v>포함</v>
      </c>
      <c r="Y137">
        <f>1</f>
        <v>1</v>
      </c>
      <c r="Z137">
        <f>IF(tblRoster[[#This Row],[재직상태구분]]="휴직",1,0)</f>
        <v>0</v>
      </c>
      <c r="AA13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37">
        <f ca="1">IF(tblRoster[[#This Row],[본교발령시작일자]]="","",DATEDIF(tblRoster[[#This Row],[본교발령시작일자]],TODAY(),"Y"))</f>
        <v>11</v>
      </c>
      <c r="AC137">
        <f ca="1">IF(tblRoster[[#This Row],[최초발령시작일자]]="","",DATEDIF(tblRoster[[#This Row],[최초발령시작일자]],TODAY(),"Y"))</f>
        <v>11</v>
      </c>
      <c r="AD13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37">
        <f ca="1">IF(tblRoster[[#This Row],[직급발령시작일자]]="","",ROUND(YEARFRAC(tblRoster[[#This Row],[직급발령시작일자]],TODAY()),1))</f>
        <v>11.2</v>
      </c>
      <c r="AF13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37">
        <f ca="1">IF(OR(tblRoster[[#This Row],[공무원구분]]&lt;&gt;"공무원",tblRoster[[#This Row],[나이]]=""),"",YEAR(TODAY())+(60-tblRoster[[#This Row],[나이]]))</f>
        <v>2050</v>
      </c>
      <c r="AH137" t="str">
        <f>IF(tblRoster[[#This Row],[직위]]="","일반","보직자")</f>
        <v>일반</v>
      </c>
      <c r="AI13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7" t="str">
        <f ca="1">IF(tblRoster[[#This Row],[복직예정일]]="","",TEXT(tblRoster[[#This Row],[복직예정일]],"yyyy-mm"))</f>
        <v/>
      </c>
      <c r="AM137" t="str">
        <f ca="1">IF(tblRoster[[#This Row],[복직예정일]]="","",tblRoster[[#This Row],[복직예정일]]-TODAY())</f>
        <v/>
      </c>
      <c r="AN137" t="str">
        <f ca="1">IF(tblRoster[[#This Row],[휴직잔여일수]]="","",IF(tblRoster[[#This Row],[휴직잔여일수]]&lt;=180,"6개월내","6개월이후"))</f>
        <v/>
      </c>
      <c r="AO13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8" spans="1:41" x14ac:dyDescent="0.3">
      <c r="A138">
        <v>900136</v>
      </c>
      <c r="B138" t="s">
        <v>341</v>
      </c>
      <c r="C138" t="s">
        <v>8</v>
      </c>
      <c r="D138">
        <v>44</v>
      </c>
      <c r="E138" t="s">
        <v>150</v>
      </c>
      <c r="F138" t="s">
        <v>154</v>
      </c>
      <c r="G138" t="s">
        <v>169</v>
      </c>
      <c r="H138" t="s">
        <v>131</v>
      </c>
      <c r="I138" t="s">
        <v>132</v>
      </c>
      <c r="J138" t="s">
        <v>133</v>
      </c>
      <c r="L138" t="s">
        <v>134</v>
      </c>
      <c r="M138" t="s">
        <v>135</v>
      </c>
      <c r="N138" s="1">
        <v>38292</v>
      </c>
      <c r="O138" s="1">
        <v>38292</v>
      </c>
      <c r="P138" s="1">
        <v>43344</v>
      </c>
      <c r="Q138" s="1">
        <v>43344</v>
      </c>
      <c r="R138">
        <v>22</v>
      </c>
      <c r="T13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38" t="str">
        <f>IF(tblRoster[[#This Row],[급수]]="4급(임기제)","4급",tblRoster[[#This Row],[급수]])</f>
        <v>대학회계계약직</v>
      </c>
      <c r="V13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3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38" t="str">
        <f>IF(OR(tblRoster[[#This Row],[교직원상세구분]]="사회복무요원",tblRoster[[#This Row],[교직원상세구분]]="인턴(수습)"),"제외","포함")</f>
        <v>포함</v>
      </c>
      <c r="Y138">
        <f>1</f>
        <v>1</v>
      </c>
      <c r="Z138">
        <f>IF(tblRoster[[#This Row],[재직상태구분]]="휴직",1,0)</f>
        <v>0</v>
      </c>
      <c r="AA13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38">
        <f ca="1">IF(tblRoster[[#This Row],[본교발령시작일자]]="","",DATEDIF(tblRoster[[#This Row],[본교발령시작일자]],TODAY(),"Y"))</f>
        <v>21</v>
      </c>
      <c r="AC138">
        <f ca="1">IF(tblRoster[[#This Row],[최초발령시작일자]]="","",DATEDIF(tblRoster[[#This Row],[최초발령시작일자]],TODAY(),"Y"))</f>
        <v>21</v>
      </c>
      <c r="AD13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38">
        <f ca="1">IF(tblRoster[[#This Row],[직급발령시작일자]]="","",ROUND(YEARFRAC(tblRoster[[#This Row],[직급발령시작일자]],TODAY()),1))</f>
        <v>8</v>
      </c>
      <c r="AF13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38" t="str">
        <f ca="1">IF(OR(tblRoster[[#This Row],[공무원구분]]&lt;&gt;"공무원",tblRoster[[#This Row],[나이]]=""),"",YEAR(TODAY())+(60-tblRoster[[#This Row],[나이]]))</f>
        <v/>
      </c>
      <c r="AH138" t="str">
        <f>IF(tblRoster[[#This Row],[직위]]="","일반","보직자")</f>
        <v>일반</v>
      </c>
      <c r="AI13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3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3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38" t="str">
        <f ca="1">IF(tblRoster[[#This Row],[복직예정일]]="","",TEXT(tblRoster[[#This Row],[복직예정일]],"yyyy-mm"))</f>
        <v/>
      </c>
      <c r="AM138" t="str">
        <f ca="1">IF(tblRoster[[#This Row],[복직예정일]]="","",tblRoster[[#This Row],[복직예정일]]-TODAY())</f>
        <v/>
      </c>
      <c r="AN138" t="str">
        <f ca="1">IF(tblRoster[[#This Row],[휴직잔여일수]]="","",IF(tblRoster[[#This Row],[휴직잔여일수]]&lt;=180,"6개월내","6개월이후"))</f>
        <v/>
      </c>
      <c r="AO13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39" spans="1:41" x14ac:dyDescent="0.3">
      <c r="A139">
        <v>900137</v>
      </c>
      <c r="B139" t="s">
        <v>33</v>
      </c>
      <c r="C139" t="s">
        <v>16</v>
      </c>
      <c r="D139">
        <v>54</v>
      </c>
      <c r="E139" t="s">
        <v>128</v>
      </c>
      <c r="F139" t="s">
        <v>171</v>
      </c>
      <c r="G139" t="s">
        <v>182</v>
      </c>
      <c r="H139" t="s">
        <v>148</v>
      </c>
      <c r="I139" t="s">
        <v>132</v>
      </c>
      <c r="J139" t="s">
        <v>133</v>
      </c>
      <c r="L139" t="s">
        <v>134</v>
      </c>
      <c r="M139" t="s">
        <v>135</v>
      </c>
      <c r="N139" s="1">
        <v>35765</v>
      </c>
      <c r="O139" s="1">
        <v>35765</v>
      </c>
      <c r="P139" s="1">
        <v>44682</v>
      </c>
      <c r="Q139" s="1">
        <v>44682</v>
      </c>
      <c r="R139">
        <v>32</v>
      </c>
      <c r="S139" t="s">
        <v>342</v>
      </c>
      <c r="T13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39" t="str">
        <f>IF(tblRoster[[#This Row],[급수]]="4급(임기제)","4급",tblRoster[[#This Row],[급수]])</f>
        <v>대학회계계약직</v>
      </c>
      <c r="V13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3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39" t="str">
        <f>IF(OR(tblRoster[[#This Row],[교직원상세구분]]="사회복무요원",tblRoster[[#This Row],[교직원상세구분]]="인턴(수습)"),"제외","포함")</f>
        <v>포함</v>
      </c>
      <c r="Y139">
        <f>1</f>
        <v>1</v>
      </c>
      <c r="Z139">
        <f>IF(tblRoster[[#This Row],[재직상태구분]]="휴직",1,0)</f>
        <v>1</v>
      </c>
      <c r="AA13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39">
        <f ca="1">IF(tblRoster[[#This Row],[본교발령시작일자]]="","",DATEDIF(tblRoster[[#This Row],[본교발령시작일자]],TODAY(),"Y"))</f>
        <v>28</v>
      </c>
      <c r="AC139">
        <f ca="1">IF(tblRoster[[#This Row],[최초발령시작일자]]="","",DATEDIF(tblRoster[[#This Row],[최초발령시작일자]],TODAY(),"Y"))</f>
        <v>28</v>
      </c>
      <c r="AD13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139">
        <f ca="1">IF(tblRoster[[#This Row],[직급발령시작일자]]="","",ROUND(YEARFRAC(tblRoster[[#This Row],[직급발령시작일자]],TODAY()),1))</f>
        <v>4.4000000000000004</v>
      </c>
      <c r="AF13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39" t="str">
        <f ca="1">IF(OR(tblRoster[[#This Row],[공무원구분]]&lt;&gt;"공무원",tblRoster[[#This Row],[나이]]=""),"",YEAR(TODAY())+(60-tblRoster[[#This Row],[나이]]))</f>
        <v/>
      </c>
      <c r="AH139" t="str">
        <f>IF(tblRoster[[#This Row],[직위]]="","일반","보직자")</f>
        <v>일반</v>
      </c>
      <c r="AI139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45955</v>
      </c>
      <c r="AJ13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39" s="1">
        <f ca="1">IF(tblRoster[[#This Row],[현재휴직시작일]]="","",IFERROR(INDEX(tblLeave[종료일],MATCH(tblRoster[[#This Row],[교직원번호]]&amp;"|"&amp;tblRoster[[#This Row],[현재휴직시작일]],tblLeave[매칭키],0)),""))</f>
        <v>46752</v>
      </c>
      <c r="AL139" t="str">
        <f ca="1">IF(tblRoster[[#This Row],[복직예정일]]="","",TEXT(tblRoster[[#This Row],[복직예정일]],"yyyy-mm"))</f>
        <v>2027-12</v>
      </c>
      <c r="AM139">
        <f ca="1">IF(tblRoster[[#This Row],[복직예정일]]="","",tblRoster[[#This Row],[복직예정일]]-TODAY())</f>
        <v>480</v>
      </c>
      <c r="AN139" t="str">
        <f ca="1">IF(tblRoster[[#This Row],[휴직잔여일수]]="","",IF(tblRoster[[#This Row],[휴직잔여일수]]&lt;=180,"6개월내","6개월이후"))</f>
        <v>6개월이후</v>
      </c>
      <c r="AO13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0" spans="1:41" x14ac:dyDescent="0.3">
      <c r="A140">
        <v>900138</v>
      </c>
      <c r="B140" t="s">
        <v>343</v>
      </c>
      <c r="C140" t="s">
        <v>8</v>
      </c>
      <c r="D140">
        <v>50</v>
      </c>
      <c r="E140" t="s">
        <v>150</v>
      </c>
      <c r="F140" t="s">
        <v>216</v>
      </c>
      <c r="G140" t="s">
        <v>159</v>
      </c>
      <c r="H140" t="s">
        <v>223</v>
      </c>
      <c r="I140" t="s">
        <v>144</v>
      </c>
      <c r="J140" t="s">
        <v>145</v>
      </c>
      <c r="L140" t="s">
        <v>135</v>
      </c>
      <c r="M140" t="s">
        <v>135</v>
      </c>
      <c r="N140" s="1">
        <v>42278</v>
      </c>
      <c r="O140" s="1">
        <v>42278</v>
      </c>
      <c r="P140" s="1">
        <v>44044</v>
      </c>
      <c r="Q140" s="1">
        <v>44044</v>
      </c>
      <c r="R140">
        <v>12</v>
      </c>
      <c r="T14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40" t="str">
        <f>IF(tblRoster[[#This Row],[급수]]="4급(임기제)","4급",tblRoster[[#This Row],[급수]])</f>
        <v>8급</v>
      </c>
      <c r="V14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4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40" t="str">
        <f>IF(OR(tblRoster[[#This Row],[교직원상세구분]]="사회복무요원",tblRoster[[#This Row],[교직원상세구분]]="인턴(수습)"),"제외","포함")</f>
        <v>포함</v>
      </c>
      <c r="Y140">
        <f>1</f>
        <v>1</v>
      </c>
      <c r="Z140">
        <f>IF(tblRoster[[#This Row],[재직상태구분]]="휴직",1,0)</f>
        <v>0</v>
      </c>
      <c r="AA14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40">
        <f ca="1">IF(tblRoster[[#This Row],[본교발령시작일자]]="","",DATEDIF(tblRoster[[#This Row],[본교발령시작일자]],TODAY(),"Y"))</f>
        <v>10</v>
      </c>
      <c r="AC140">
        <f ca="1">IF(tblRoster[[#This Row],[최초발령시작일자]]="","",DATEDIF(tblRoster[[#This Row],[최초발령시작일자]],TODAY(),"Y"))</f>
        <v>10</v>
      </c>
      <c r="AD14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40">
        <f ca="1">IF(tblRoster[[#This Row],[직급발령시작일자]]="","",ROUND(YEARFRAC(tblRoster[[#This Row],[직급발령시작일자]],TODAY()),1))</f>
        <v>6.1</v>
      </c>
      <c r="AF14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40">
        <f ca="1">IF(OR(tblRoster[[#This Row],[공무원구분]]&lt;&gt;"공무원",tblRoster[[#This Row],[나이]]=""),"",YEAR(TODAY())+(60-tblRoster[[#This Row],[나이]]))</f>
        <v>2036</v>
      </c>
      <c r="AH140" t="str">
        <f>IF(tblRoster[[#This Row],[직위]]="","일반","보직자")</f>
        <v>일반</v>
      </c>
      <c r="AI14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0" t="str">
        <f ca="1">IF(tblRoster[[#This Row],[복직예정일]]="","",TEXT(tblRoster[[#This Row],[복직예정일]],"yyyy-mm"))</f>
        <v/>
      </c>
      <c r="AM140" t="str">
        <f ca="1">IF(tblRoster[[#This Row],[복직예정일]]="","",tblRoster[[#This Row],[복직예정일]]-TODAY())</f>
        <v/>
      </c>
      <c r="AN140" t="str">
        <f ca="1">IF(tblRoster[[#This Row],[휴직잔여일수]]="","",IF(tblRoster[[#This Row],[휴직잔여일수]]&lt;=180,"6개월내","6개월이후"))</f>
        <v/>
      </c>
      <c r="AO14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1" spans="1:41" x14ac:dyDescent="0.3">
      <c r="A141">
        <v>900139</v>
      </c>
      <c r="B141" t="s">
        <v>34</v>
      </c>
      <c r="C141" t="s">
        <v>8</v>
      </c>
      <c r="D141">
        <v>47</v>
      </c>
      <c r="E141" t="s">
        <v>128</v>
      </c>
      <c r="F141" t="s">
        <v>189</v>
      </c>
      <c r="G141" t="s">
        <v>142</v>
      </c>
      <c r="H141" t="s">
        <v>163</v>
      </c>
      <c r="I141" t="s">
        <v>144</v>
      </c>
      <c r="J141" t="s">
        <v>145</v>
      </c>
      <c r="L141" t="s">
        <v>135</v>
      </c>
      <c r="M141" t="s">
        <v>135</v>
      </c>
      <c r="N141" s="1">
        <v>38596</v>
      </c>
      <c r="O141" s="1">
        <v>38596</v>
      </c>
      <c r="P141" s="1">
        <v>45597</v>
      </c>
      <c r="Q141" s="1">
        <v>45597</v>
      </c>
      <c r="R141">
        <v>21</v>
      </c>
      <c r="S141" t="s">
        <v>344</v>
      </c>
      <c r="T14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41" t="str">
        <f>IF(tblRoster[[#This Row],[급수]]="4급(임기제)","4급",tblRoster[[#This Row],[급수]])</f>
        <v>6급</v>
      </c>
      <c r="V14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4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41" t="str">
        <f>IF(OR(tblRoster[[#This Row],[교직원상세구분]]="사회복무요원",tblRoster[[#This Row],[교직원상세구분]]="인턴(수습)"),"제외","포함")</f>
        <v>포함</v>
      </c>
      <c r="Y141">
        <f>1</f>
        <v>1</v>
      </c>
      <c r="Z141">
        <f>IF(tblRoster[[#This Row],[재직상태구분]]="휴직",1,0)</f>
        <v>0</v>
      </c>
      <c r="AA14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41">
        <f ca="1">IF(tblRoster[[#This Row],[본교발령시작일자]]="","",DATEDIF(tblRoster[[#This Row],[본교발령시작일자]],TODAY(),"Y"))</f>
        <v>21</v>
      </c>
      <c r="AC141">
        <f ca="1">IF(tblRoster[[#This Row],[최초발령시작일자]]="","",DATEDIF(tblRoster[[#This Row],[최초발령시작일자]],TODAY(),"Y"))</f>
        <v>21</v>
      </c>
      <c r="AD14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41">
        <f ca="1">IF(tblRoster[[#This Row],[직급발령시작일자]]="","",ROUND(YEARFRAC(tblRoster[[#This Row],[직급발령시작일자]],TODAY()),1))</f>
        <v>1.9</v>
      </c>
      <c r="AF14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1">
        <f ca="1">IF(OR(tblRoster[[#This Row],[공무원구분]]&lt;&gt;"공무원",tblRoster[[#This Row],[나이]]=""),"",YEAR(TODAY())+(60-tblRoster[[#This Row],[나이]]))</f>
        <v>2039</v>
      </c>
      <c r="AH141" t="str">
        <f>IF(tblRoster[[#This Row],[직위]]="","일반","보직자")</f>
        <v>일반</v>
      </c>
      <c r="AI14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1" t="str">
        <f ca="1">IF(tblRoster[[#This Row],[복직예정일]]="","",TEXT(tblRoster[[#This Row],[복직예정일]],"yyyy-mm"))</f>
        <v/>
      </c>
      <c r="AM141" t="str">
        <f ca="1">IF(tblRoster[[#This Row],[복직예정일]]="","",tblRoster[[#This Row],[복직예정일]]-TODAY())</f>
        <v/>
      </c>
      <c r="AN141" t="str">
        <f ca="1">IF(tblRoster[[#This Row],[휴직잔여일수]]="","",IF(tblRoster[[#This Row],[휴직잔여일수]]&lt;=180,"6개월내","6개월이후"))</f>
        <v/>
      </c>
      <c r="AO14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2" spans="1:41" x14ac:dyDescent="0.3">
      <c r="A142">
        <v>900140</v>
      </c>
      <c r="B142" t="s">
        <v>345</v>
      </c>
      <c r="C142" t="s">
        <v>8</v>
      </c>
      <c r="D142">
        <v>44</v>
      </c>
      <c r="E142" t="s">
        <v>150</v>
      </c>
      <c r="F142" t="s">
        <v>184</v>
      </c>
      <c r="G142" t="s">
        <v>151</v>
      </c>
      <c r="H142" t="s">
        <v>238</v>
      </c>
      <c r="I142" t="s">
        <v>239</v>
      </c>
      <c r="J142" t="s">
        <v>133</v>
      </c>
      <c r="L142" t="s">
        <v>134</v>
      </c>
      <c r="M142" t="s">
        <v>135</v>
      </c>
      <c r="N142" s="1">
        <v>39479</v>
      </c>
      <c r="O142" s="1">
        <v>39479</v>
      </c>
      <c r="P142" s="1">
        <v>45413</v>
      </c>
      <c r="Q142" s="1">
        <v>45413</v>
      </c>
      <c r="R142">
        <v>19</v>
      </c>
      <c r="T14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42" t="str">
        <f>IF(tblRoster[[#This Row],[급수]]="4급(임기제)","4급",tblRoster[[#This Row],[급수]])</f>
        <v>대학회계직</v>
      </c>
      <c r="V14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4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42" t="str">
        <f>IF(OR(tblRoster[[#This Row],[교직원상세구분]]="사회복무요원",tblRoster[[#This Row],[교직원상세구분]]="인턴(수습)"),"제외","포함")</f>
        <v>포함</v>
      </c>
      <c r="Y142">
        <f>1</f>
        <v>1</v>
      </c>
      <c r="Z142">
        <f>IF(tblRoster[[#This Row],[재직상태구분]]="휴직",1,0)</f>
        <v>0</v>
      </c>
      <c r="AA14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42">
        <f ca="1">IF(tblRoster[[#This Row],[본교발령시작일자]]="","",DATEDIF(tblRoster[[#This Row],[본교발령시작일자]],TODAY(),"Y"))</f>
        <v>18</v>
      </c>
      <c r="AC142">
        <f ca="1">IF(tblRoster[[#This Row],[최초발령시작일자]]="","",DATEDIF(tblRoster[[#This Row],[최초발령시작일자]],TODAY(),"Y"))</f>
        <v>18</v>
      </c>
      <c r="AD14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42">
        <f ca="1">IF(tblRoster[[#This Row],[직급발령시작일자]]="","",ROUND(YEARFRAC(tblRoster[[#This Row],[직급발령시작일자]],TODAY()),1))</f>
        <v>2.4</v>
      </c>
      <c r="AF14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2" t="str">
        <f ca="1">IF(OR(tblRoster[[#This Row],[공무원구분]]&lt;&gt;"공무원",tblRoster[[#This Row],[나이]]=""),"",YEAR(TODAY())+(60-tblRoster[[#This Row],[나이]]))</f>
        <v/>
      </c>
      <c r="AH142" t="str">
        <f>IF(tblRoster[[#This Row],[직위]]="","일반","보직자")</f>
        <v>일반</v>
      </c>
      <c r="AI14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2" t="str">
        <f ca="1">IF(tblRoster[[#This Row],[복직예정일]]="","",TEXT(tblRoster[[#This Row],[복직예정일]],"yyyy-mm"))</f>
        <v/>
      </c>
      <c r="AM142" t="str">
        <f ca="1">IF(tblRoster[[#This Row],[복직예정일]]="","",tblRoster[[#This Row],[복직예정일]]-TODAY())</f>
        <v/>
      </c>
      <c r="AN142" t="str">
        <f ca="1">IF(tblRoster[[#This Row],[휴직잔여일수]]="","",IF(tblRoster[[#This Row],[휴직잔여일수]]&lt;=180,"6개월내","6개월이후"))</f>
        <v/>
      </c>
      <c r="AO14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3" spans="1:41" x14ac:dyDescent="0.3">
      <c r="A143">
        <v>900141</v>
      </c>
      <c r="B143" t="s">
        <v>346</v>
      </c>
      <c r="C143" t="s">
        <v>8</v>
      </c>
      <c r="D143">
        <v>50</v>
      </c>
      <c r="E143" t="s">
        <v>128</v>
      </c>
      <c r="F143" t="s">
        <v>216</v>
      </c>
      <c r="G143" t="s">
        <v>151</v>
      </c>
      <c r="H143" t="s">
        <v>296</v>
      </c>
      <c r="I143" t="s">
        <v>132</v>
      </c>
      <c r="J143" t="s">
        <v>133</v>
      </c>
      <c r="L143" t="s">
        <v>134</v>
      </c>
      <c r="M143" t="s">
        <v>135</v>
      </c>
      <c r="N143" s="1">
        <v>38626</v>
      </c>
      <c r="O143" s="1">
        <v>38626</v>
      </c>
      <c r="P143" s="1">
        <v>45231</v>
      </c>
      <c r="Q143" s="1">
        <v>45231</v>
      </c>
      <c r="R143">
        <v>22</v>
      </c>
      <c r="T14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43" t="str">
        <f>IF(tblRoster[[#This Row],[급수]]="4급(임기제)","4급",tblRoster[[#This Row],[급수]])</f>
        <v>대학회계계약직</v>
      </c>
      <c r="V14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4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43" t="str">
        <f>IF(OR(tblRoster[[#This Row],[교직원상세구분]]="사회복무요원",tblRoster[[#This Row],[교직원상세구분]]="인턴(수습)"),"제외","포함")</f>
        <v>포함</v>
      </c>
      <c r="Y143">
        <f>1</f>
        <v>1</v>
      </c>
      <c r="Z143">
        <f>IF(tblRoster[[#This Row],[재직상태구분]]="휴직",1,0)</f>
        <v>0</v>
      </c>
      <c r="AA14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43">
        <f ca="1">IF(tblRoster[[#This Row],[본교발령시작일자]]="","",DATEDIF(tblRoster[[#This Row],[본교발령시작일자]],TODAY(),"Y"))</f>
        <v>20</v>
      </c>
      <c r="AC143">
        <f ca="1">IF(tblRoster[[#This Row],[최초발령시작일자]]="","",DATEDIF(tblRoster[[#This Row],[최초발령시작일자]],TODAY(),"Y"))</f>
        <v>20</v>
      </c>
      <c r="AD14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43">
        <f ca="1">IF(tblRoster[[#This Row],[직급발령시작일자]]="","",ROUND(YEARFRAC(tblRoster[[#This Row],[직급발령시작일자]],TODAY()),1))</f>
        <v>2.9</v>
      </c>
      <c r="AF14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3" t="str">
        <f ca="1">IF(OR(tblRoster[[#This Row],[공무원구분]]&lt;&gt;"공무원",tblRoster[[#This Row],[나이]]=""),"",YEAR(TODAY())+(60-tblRoster[[#This Row],[나이]]))</f>
        <v/>
      </c>
      <c r="AH143" t="str">
        <f>IF(tblRoster[[#This Row],[직위]]="","일반","보직자")</f>
        <v>일반</v>
      </c>
      <c r="AI14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3" t="str">
        <f ca="1">IF(tblRoster[[#This Row],[복직예정일]]="","",TEXT(tblRoster[[#This Row],[복직예정일]],"yyyy-mm"))</f>
        <v/>
      </c>
      <c r="AM143" t="str">
        <f ca="1">IF(tblRoster[[#This Row],[복직예정일]]="","",tblRoster[[#This Row],[복직예정일]]-TODAY())</f>
        <v/>
      </c>
      <c r="AN143" t="str">
        <f ca="1">IF(tblRoster[[#This Row],[휴직잔여일수]]="","",IF(tblRoster[[#This Row],[휴직잔여일수]]&lt;=180,"6개월내","6개월이후"))</f>
        <v/>
      </c>
      <c r="AO14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4" spans="1:41" x14ac:dyDescent="0.3">
      <c r="A144">
        <v>900142</v>
      </c>
      <c r="B144" t="s">
        <v>347</v>
      </c>
      <c r="C144" t="s">
        <v>8</v>
      </c>
      <c r="D144">
        <v>38</v>
      </c>
      <c r="E144" t="s">
        <v>128</v>
      </c>
      <c r="F144" t="s">
        <v>179</v>
      </c>
      <c r="G144" t="s">
        <v>211</v>
      </c>
      <c r="H144" t="s">
        <v>233</v>
      </c>
      <c r="I144" t="s">
        <v>144</v>
      </c>
      <c r="J144" t="s">
        <v>145</v>
      </c>
      <c r="L144" t="s">
        <v>135</v>
      </c>
      <c r="M144" t="s">
        <v>135</v>
      </c>
      <c r="N144" s="1">
        <v>45231</v>
      </c>
      <c r="O144" s="1">
        <v>45231</v>
      </c>
      <c r="P144" s="1">
        <v>45231</v>
      </c>
      <c r="Q144" s="1">
        <v>45231</v>
      </c>
      <c r="R144">
        <v>6</v>
      </c>
      <c r="T14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44" t="str">
        <f>IF(tblRoster[[#This Row],[급수]]="4급(임기제)","4급",tblRoster[[#This Row],[급수]])</f>
        <v>8급</v>
      </c>
      <c r="V14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4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44" t="str">
        <f>IF(OR(tblRoster[[#This Row],[교직원상세구분]]="사회복무요원",tblRoster[[#This Row],[교직원상세구분]]="인턴(수습)"),"제외","포함")</f>
        <v>포함</v>
      </c>
      <c r="Y144">
        <f>1</f>
        <v>1</v>
      </c>
      <c r="Z144">
        <f>IF(tblRoster[[#This Row],[재직상태구분]]="휴직",1,0)</f>
        <v>0</v>
      </c>
      <c r="AA14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44">
        <f ca="1">IF(tblRoster[[#This Row],[본교발령시작일자]]="","",DATEDIF(tblRoster[[#This Row],[본교발령시작일자]],TODAY(),"Y"))</f>
        <v>2</v>
      </c>
      <c r="AC144">
        <f ca="1">IF(tblRoster[[#This Row],[최초발령시작일자]]="","",DATEDIF(tblRoster[[#This Row],[최초발령시작일자]],TODAY(),"Y"))</f>
        <v>2</v>
      </c>
      <c r="AD14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44">
        <f ca="1">IF(tblRoster[[#This Row],[직급발령시작일자]]="","",ROUND(YEARFRAC(tblRoster[[#This Row],[직급발령시작일자]],TODAY()),1))</f>
        <v>2.9</v>
      </c>
      <c r="AF14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4">
        <f ca="1">IF(OR(tblRoster[[#This Row],[공무원구분]]&lt;&gt;"공무원",tblRoster[[#This Row],[나이]]=""),"",YEAR(TODAY())+(60-tblRoster[[#This Row],[나이]]))</f>
        <v>2048</v>
      </c>
      <c r="AH144" t="str">
        <f>IF(tblRoster[[#This Row],[직위]]="","일반","보직자")</f>
        <v>일반</v>
      </c>
      <c r="AI14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4" t="str">
        <f ca="1">IF(tblRoster[[#This Row],[복직예정일]]="","",TEXT(tblRoster[[#This Row],[복직예정일]],"yyyy-mm"))</f>
        <v/>
      </c>
      <c r="AM144" t="str">
        <f ca="1">IF(tblRoster[[#This Row],[복직예정일]]="","",tblRoster[[#This Row],[복직예정일]]-TODAY())</f>
        <v/>
      </c>
      <c r="AN144" t="str">
        <f ca="1">IF(tblRoster[[#This Row],[휴직잔여일수]]="","",IF(tblRoster[[#This Row],[휴직잔여일수]]&lt;=180,"6개월내","6개월이후"))</f>
        <v/>
      </c>
      <c r="AO14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5" spans="1:41" x14ac:dyDescent="0.3">
      <c r="A145">
        <v>900143</v>
      </c>
      <c r="B145" t="s">
        <v>348</v>
      </c>
      <c r="C145" t="s">
        <v>8</v>
      </c>
      <c r="D145">
        <v>24</v>
      </c>
      <c r="E145" t="s">
        <v>128</v>
      </c>
      <c r="F145" t="s">
        <v>266</v>
      </c>
      <c r="G145" t="s">
        <v>207</v>
      </c>
      <c r="H145" t="s">
        <v>148</v>
      </c>
      <c r="I145" t="s">
        <v>132</v>
      </c>
      <c r="J145" t="s">
        <v>133</v>
      </c>
      <c r="L145" t="s">
        <v>134</v>
      </c>
      <c r="M145" t="s">
        <v>135</v>
      </c>
      <c r="N145" s="1">
        <v>45809</v>
      </c>
      <c r="O145" s="1">
        <v>45809</v>
      </c>
      <c r="P145" s="1">
        <v>45809</v>
      </c>
      <c r="Q145" s="1">
        <v>45809</v>
      </c>
      <c r="R145">
        <v>2</v>
      </c>
      <c r="T14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45" t="str">
        <f>IF(tblRoster[[#This Row],[급수]]="4급(임기제)","4급",tblRoster[[#This Row],[급수]])</f>
        <v>대학회계계약직</v>
      </c>
      <c r="V14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4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45" t="str">
        <f>IF(OR(tblRoster[[#This Row],[교직원상세구분]]="사회복무요원",tblRoster[[#This Row],[교직원상세구분]]="인턴(수습)"),"제외","포함")</f>
        <v>포함</v>
      </c>
      <c r="Y145">
        <f>1</f>
        <v>1</v>
      </c>
      <c r="Z145">
        <f>IF(tblRoster[[#This Row],[재직상태구분]]="휴직",1,0)</f>
        <v>0</v>
      </c>
      <c r="AA14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45">
        <f ca="1">IF(tblRoster[[#This Row],[본교발령시작일자]]="","",DATEDIF(tblRoster[[#This Row],[본교발령시작일자]],TODAY(),"Y"))</f>
        <v>1</v>
      </c>
      <c r="AC145">
        <f ca="1">IF(tblRoster[[#This Row],[최초발령시작일자]]="","",DATEDIF(tblRoster[[#This Row],[최초발령시작일자]],TODAY(),"Y"))</f>
        <v>1</v>
      </c>
      <c r="AD14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45">
        <f ca="1">IF(tblRoster[[#This Row],[직급발령시작일자]]="","",ROUND(YEARFRAC(tblRoster[[#This Row],[직급발령시작일자]],TODAY()),1))</f>
        <v>1.3</v>
      </c>
      <c r="AF14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5" t="str">
        <f ca="1">IF(OR(tblRoster[[#This Row],[공무원구분]]&lt;&gt;"공무원",tblRoster[[#This Row],[나이]]=""),"",YEAR(TODAY())+(60-tblRoster[[#This Row],[나이]]))</f>
        <v/>
      </c>
      <c r="AH145" t="str">
        <f>IF(tblRoster[[#This Row],[직위]]="","일반","보직자")</f>
        <v>일반</v>
      </c>
      <c r="AI14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5" t="str">
        <f ca="1">IF(tblRoster[[#This Row],[복직예정일]]="","",TEXT(tblRoster[[#This Row],[복직예정일]],"yyyy-mm"))</f>
        <v/>
      </c>
      <c r="AM145" t="str">
        <f ca="1">IF(tblRoster[[#This Row],[복직예정일]]="","",tblRoster[[#This Row],[복직예정일]]-TODAY())</f>
        <v/>
      </c>
      <c r="AN145" t="str">
        <f ca="1">IF(tblRoster[[#This Row],[휴직잔여일수]]="","",IF(tblRoster[[#This Row],[휴직잔여일수]]&lt;=180,"6개월내","6개월이후"))</f>
        <v/>
      </c>
      <c r="AO14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6" spans="1:41" x14ac:dyDescent="0.3">
      <c r="A146">
        <v>900144</v>
      </c>
      <c r="B146" t="s">
        <v>35</v>
      </c>
      <c r="C146" t="s">
        <v>16</v>
      </c>
      <c r="D146">
        <v>45</v>
      </c>
      <c r="E146" t="s">
        <v>150</v>
      </c>
      <c r="F146" t="s">
        <v>266</v>
      </c>
      <c r="G146" t="s">
        <v>211</v>
      </c>
      <c r="H146" t="s">
        <v>180</v>
      </c>
      <c r="I146" t="s">
        <v>144</v>
      </c>
      <c r="J146" t="s">
        <v>145</v>
      </c>
      <c r="L146" t="s">
        <v>135</v>
      </c>
      <c r="M146" t="s">
        <v>135</v>
      </c>
      <c r="N146" s="1">
        <v>40756</v>
      </c>
      <c r="O146" s="1">
        <v>40756</v>
      </c>
      <c r="P146" s="1">
        <v>45292</v>
      </c>
      <c r="Q146" s="1">
        <v>45292</v>
      </c>
      <c r="S146" t="s">
        <v>349</v>
      </c>
      <c r="T14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46" t="str">
        <f>IF(tblRoster[[#This Row],[급수]]="4급(임기제)","4급",tblRoster[[#This Row],[급수]])</f>
        <v>7급</v>
      </c>
      <c r="V14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4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46" t="str">
        <f>IF(OR(tblRoster[[#This Row],[교직원상세구분]]="사회복무요원",tblRoster[[#This Row],[교직원상세구분]]="인턴(수습)"),"제외","포함")</f>
        <v>포함</v>
      </c>
      <c r="Y146">
        <f>1</f>
        <v>1</v>
      </c>
      <c r="Z146">
        <f>IF(tblRoster[[#This Row],[재직상태구분]]="휴직",1,0)</f>
        <v>1</v>
      </c>
      <c r="AA14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46">
        <f ca="1">IF(tblRoster[[#This Row],[본교발령시작일자]]="","",DATEDIF(tblRoster[[#This Row],[본교발령시작일자]],TODAY(),"Y"))</f>
        <v>15</v>
      </c>
      <c r="AC146">
        <f ca="1">IF(tblRoster[[#This Row],[최초발령시작일자]]="","",DATEDIF(tblRoster[[#This Row],[최초발령시작일자]],TODAY(),"Y"))</f>
        <v>15</v>
      </c>
      <c r="AD14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46">
        <f ca="1">IF(tblRoster[[#This Row],[직급발령시작일자]]="","",ROUND(YEARFRAC(tblRoster[[#This Row],[직급발령시작일자]],TODAY()),1))</f>
        <v>2.7</v>
      </c>
      <c r="AF14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6">
        <f ca="1">IF(OR(tblRoster[[#This Row],[공무원구분]]&lt;&gt;"공무원",tblRoster[[#This Row],[나이]]=""),"",YEAR(TODAY())+(60-tblRoster[[#This Row],[나이]]))</f>
        <v>2041</v>
      </c>
      <c r="AH146" t="str">
        <f>IF(tblRoster[[#This Row],[직위]]="","일반","보직자")</f>
        <v>일반</v>
      </c>
      <c r="AI146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46127</v>
      </c>
      <c r="AJ14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46" s="1">
        <f ca="1">IF(tblRoster[[#This Row],[현재휴직시작일]]="","",IFERROR(INDEX(tblLeave[종료일],MATCH(tblRoster[[#This Row],[교직원번호]]&amp;"|"&amp;tblRoster[[#This Row],[현재휴직시작일]],tblLeave[매칭키],0)),""))</f>
        <v>46492</v>
      </c>
      <c r="AL146" t="str">
        <f ca="1">IF(tblRoster[[#This Row],[복직예정일]]="","",TEXT(tblRoster[[#This Row],[복직예정일]],"yyyy-mm"))</f>
        <v>2027-04</v>
      </c>
      <c r="AM146">
        <f ca="1">IF(tblRoster[[#This Row],[복직예정일]]="","",tblRoster[[#This Row],[복직예정일]]-TODAY())</f>
        <v>220</v>
      </c>
      <c r="AN146" t="str">
        <f ca="1">IF(tblRoster[[#This Row],[휴직잔여일수]]="","",IF(tblRoster[[#This Row],[휴직잔여일수]]&lt;=180,"6개월내","6개월이후"))</f>
        <v>6개월이후</v>
      </c>
      <c r="AO14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7" spans="1:41" x14ac:dyDescent="0.3">
      <c r="A147">
        <v>900145</v>
      </c>
      <c r="B147" t="s">
        <v>36</v>
      </c>
      <c r="C147" t="s">
        <v>16</v>
      </c>
      <c r="D147">
        <v>32</v>
      </c>
      <c r="E147" t="s">
        <v>150</v>
      </c>
      <c r="F147" t="s">
        <v>147</v>
      </c>
      <c r="G147" t="s">
        <v>182</v>
      </c>
      <c r="H147" t="s">
        <v>148</v>
      </c>
      <c r="I147" t="s">
        <v>132</v>
      </c>
      <c r="J147" t="s">
        <v>133</v>
      </c>
      <c r="L147" t="s">
        <v>135</v>
      </c>
      <c r="M147" t="s">
        <v>135</v>
      </c>
      <c r="N147" s="1">
        <v>44348</v>
      </c>
      <c r="O147" s="1">
        <v>44348</v>
      </c>
      <c r="P147" s="1">
        <v>45108</v>
      </c>
      <c r="Q147" s="1">
        <v>45108</v>
      </c>
      <c r="R147">
        <v>5</v>
      </c>
      <c r="S147" t="s">
        <v>350</v>
      </c>
      <c r="T14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47" t="str">
        <f>IF(tblRoster[[#This Row],[급수]]="4급(임기제)","4급",tblRoster[[#This Row],[급수]])</f>
        <v>대학회계계약직</v>
      </c>
      <c r="V14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4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47" t="str">
        <f>IF(OR(tblRoster[[#This Row],[교직원상세구분]]="사회복무요원",tblRoster[[#This Row],[교직원상세구분]]="인턴(수습)"),"제외","포함")</f>
        <v>포함</v>
      </c>
      <c r="Y147">
        <f>1</f>
        <v>1</v>
      </c>
      <c r="Z147">
        <f>IF(tblRoster[[#This Row],[재직상태구분]]="휴직",1,0)</f>
        <v>1</v>
      </c>
      <c r="AA14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47">
        <f ca="1">IF(tblRoster[[#This Row],[본교발령시작일자]]="","",DATEDIF(tblRoster[[#This Row],[본교발령시작일자]],TODAY(),"Y"))</f>
        <v>5</v>
      </c>
      <c r="AC147">
        <f ca="1">IF(tblRoster[[#This Row],[최초발령시작일자]]="","",DATEDIF(tblRoster[[#This Row],[최초발령시작일자]],TODAY(),"Y"))</f>
        <v>5</v>
      </c>
      <c r="AD14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47">
        <f ca="1">IF(tblRoster[[#This Row],[직급발령시작일자]]="","",ROUND(YEARFRAC(tblRoster[[#This Row],[직급발령시작일자]],TODAY()),1))</f>
        <v>3.2</v>
      </c>
      <c r="AF14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7" t="str">
        <f ca="1">IF(OR(tblRoster[[#This Row],[공무원구분]]&lt;&gt;"공무원",tblRoster[[#This Row],[나이]]=""),"",YEAR(TODAY())+(60-tblRoster[[#This Row],[나이]]))</f>
        <v/>
      </c>
      <c r="AH147" t="str">
        <f>IF(tblRoster[[#This Row],[직위]]="","일반","보직자")</f>
        <v>일반</v>
      </c>
      <c r="AI147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46255</v>
      </c>
      <c r="AJ14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가족돌봄휴직</v>
      </c>
      <c r="AK147" s="1">
        <f ca="1">IF(tblRoster[[#This Row],[현재휴직시작일]]="","",IFERROR(INDEX(tblLeave[종료일],MATCH(tblRoster[[#This Row],[교직원번호]]&amp;"|"&amp;tblRoster[[#This Row],[현재휴직시작일]],tblLeave[매칭키],0)),""))</f>
        <v>46439</v>
      </c>
      <c r="AL147" t="str">
        <f ca="1">IF(tblRoster[[#This Row],[복직예정일]]="","",TEXT(tblRoster[[#This Row],[복직예정일]],"yyyy-mm"))</f>
        <v>2027-02</v>
      </c>
      <c r="AM147">
        <f ca="1">IF(tblRoster[[#This Row],[복직예정일]]="","",tblRoster[[#This Row],[복직예정일]]-TODAY())</f>
        <v>167</v>
      </c>
      <c r="AN147" t="str">
        <f ca="1">IF(tblRoster[[#This Row],[휴직잔여일수]]="","",IF(tblRoster[[#This Row],[휴직잔여일수]]&lt;=180,"6개월내","6개월이후"))</f>
        <v>6개월내</v>
      </c>
      <c r="AO14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8" spans="1:41" x14ac:dyDescent="0.3">
      <c r="A148">
        <v>900146</v>
      </c>
      <c r="B148" t="s">
        <v>351</v>
      </c>
      <c r="C148" t="s">
        <v>8</v>
      </c>
      <c r="D148">
        <v>33</v>
      </c>
      <c r="E148" t="s">
        <v>150</v>
      </c>
      <c r="F148" t="s">
        <v>137</v>
      </c>
      <c r="G148" t="s">
        <v>151</v>
      </c>
      <c r="H148" t="s">
        <v>275</v>
      </c>
      <c r="I148" t="s">
        <v>144</v>
      </c>
      <c r="J148" t="s">
        <v>145</v>
      </c>
      <c r="L148" t="s">
        <v>134</v>
      </c>
      <c r="M148" t="s">
        <v>135</v>
      </c>
      <c r="N148" s="1">
        <v>45292</v>
      </c>
      <c r="O148" s="1">
        <v>44378</v>
      </c>
      <c r="P148" s="1">
        <v>45231</v>
      </c>
      <c r="Q148" s="1">
        <v>45231</v>
      </c>
      <c r="R148">
        <v>4</v>
      </c>
      <c r="T14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48" t="str">
        <f>IF(tblRoster[[#This Row],[급수]]="4급(임기제)","4급",tblRoster[[#This Row],[급수]])</f>
        <v>7급</v>
      </c>
      <c r="V14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4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48" t="str">
        <f>IF(OR(tblRoster[[#This Row],[교직원상세구분]]="사회복무요원",tblRoster[[#This Row],[교직원상세구분]]="인턴(수습)"),"제외","포함")</f>
        <v>포함</v>
      </c>
      <c r="Y148">
        <f>1</f>
        <v>1</v>
      </c>
      <c r="Z148">
        <f>IF(tblRoster[[#This Row],[재직상태구분]]="휴직",1,0)</f>
        <v>0</v>
      </c>
      <c r="AA14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48">
        <f ca="1">IF(tblRoster[[#This Row],[본교발령시작일자]]="","",DATEDIF(tblRoster[[#This Row],[본교발령시작일자]],TODAY(),"Y"))</f>
        <v>5</v>
      </c>
      <c r="AC148">
        <f ca="1">IF(tblRoster[[#This Row],[최초발령시작일자]]="","",DATEDIF(tblRoster[[#This Row],[최초발령시작일자]],TODAY(),"Y"))</f>
        <v>2</v>
      </c>
      <c r="AD14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48">
        <f ca="1">IF(tblRoster[[#This Row],[직급발령시작일자]]="","",ROUND(YEARFRAC(tblRoster[[#This Row],[직급발령시작일자]],TODAY()),1))</f>
        <v>2.9</v>
      </c>
      <c r="AF14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8">
        <f ca="1">IF(OR(tblRoster[[#This Row],[공무원구분]]&lt;&gt;"공무원",tblRoster[[#This Row],[나이]]=""),"",YEAR(TODAY())+(60-tblRoster[[#This Row],[나이]]))</f>
        <v>2053</v>
      </c>
      <c r="AH148" t="str">
        <f>IF(tblRoster[[#This Row],[직위]]="","일반","보직자")</f>
        <v>일반</v>
      </c>
      <c r="AI14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8" t="str">
        <f ca="1">IF(tblRoster[[#This Row],[복직예정일]]="","",TEXT(tblRoster[[#This Row],[복직예정일]],"yyyy-mm"))</f>
        <v/>
      </c>
      <c r="AM148" t="str">
        <f ca="1">IF(tblRoster[[#This Row],[복직예정일]]="","",tblRoster[[#This Row],[복직예정일]]-TODAY())</f>
        <v/>
      </c>
      <c r="AN148" t="str">
        <f ca="1">IF(tblRoster[[#This Row],[휴직잔여일수]]="","",IF(tblRoster[[#This Row],[휴직잔여일수]]&lt;=180,"6개월내","6개월이후"))</f>
        <v/>
      </c>
      <c r="AO14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49" spans="1:41" x14ac:dyDescent="0.3">
      <c r="A149">
        <v>900147</v>
      </c>
      <c r="B149" t="s">
        <v>38</v>
      </c>
      <c r="C149" t="s">
        <v>8</v>
      </c>
      <c r="D149">
        <v>35</v>
      </c>
      <c r="E149" t="s">
        <v>150</v>
      </c>
      <c r="F149" t="s">
        <v>162</v>
      </c>
      <c r="G149" t="s">
        <v>185</v>
      </c>
      <c r="H149" t="s">
        <v>131</v>
      </c>
      <c r="I149" t="s">
        <v>132</v>
      </c>
      <c r="J149" t="s">
        <v>133</v>
      </c>
      <c r="L149" t="s">
        <v>134</v>
      </c>
      <c r="M149" t="s">
        <v>135</v>
      </c>
      <c r="N149" s="1">
        <v>44287</v>
      </c>
      <c r="O149" s="1">
        <v>44562</v>
      </c>
      <c r="P149" s="1">
        <v>45992</v>
      </c>
      <c r="Q149" s="1">
        <v>45992</v>
      </c>
      <c r="S149" t="s">
        <v>352</v>
      </c>
      <c r="T14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49" t="str">
        <f>IF(tblRoster[[#This Row],[급수]]="4급(임기제)","4급",tblRoster[[#This Row],[급수]])</f>
        <v>대학회계계약직</v>
      </c>
      <c r="V14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4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49" t="str">
        <f>IF(OR(tblRoster[[#This Row],[교직원상세구분]]="사회복무요원",tblRoster[[#This Row],[교직원상세구분]]="인턴(수습)"),"제외","포함")</f>
        <v>포함</v>
      </c>
      <c r="Y149">
        <f>1</f>
        <v>1</v>
      </c>
      <c r="Z149">
        <f>IF(tblRoster[[#This Row],[재직상태구분]]="휴직",1,0)</f>
        <v>0</v>
      </c>
      <c r="AA14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49">
        <f ca="1">IF(tblRoster[[#This Row],[본교발령시작일자]]="","",DATEDIF(tblRoster[[#This Row],[본교발령시작일자]],TODAY(),"Y"))</f>
        <v>4</v>
      </c>
      <c r="AC149">
        <f ca="1">IF(tblRoster[[#This Row],[최초발령시작일자]]="","",DATEDIF(tblRoster[[#This Row],[최초발령시작일자]],TODAY(),"Y"))</f>
        <v>5</v>
      </c>
      <c r="AD14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49">
        <f ca="1">IF(tblRoster[[#This Row],[직급발령시작일자]]="","",ROUND(YEARFRAC(tblRoster[[#This Row],[직급발령시작일자]],TODAY()),1))</f>
        <v>0.8</v>
      </c>
      <c r="AF14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49" t="str">
        <f ca="1">IF(OR(tblRoster[[#This Row],[공무원구분]]&lt;&gt;"공무원",tblRoster[[#This Row],[나이]]=""),"",YEAR(TODAY())+(60-tblRoster[[#This Row],[나이]]))</f>
        <v/>
      </c>
      <c r="AH149" t="str">
        <f>IF(tblRoster[[#This Row],[직위]]="","일반","보직자")</f>
        <v>일반</v>
      </c>
      <c r="AI14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4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4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49" t="str">
        <f ca="1">IF(tblRoster[[#This Row],[복직예정일]]="","",TEXT(tblRoster[[#This Row],[복직예정일]],"yyyy-mm"))</f>
        <v/>
      </c>
      <c r="AM149" t="str">
        <f ca="1">IF(tblRoster[[#This Row],[복직예정일]]="","",tblRoster[[#This Row],[복직예정일]]-TODAY())</f>
        <v/>
      </c>
      <c r="AN149" t="str">
        <f ca="1">IF(tblRoster[[#This Row],[휴직잔여일수]]="","",IF(tblRoster[[#This Row],[휴직잔여일수]]&lt;=180,"6개월내","6개월이후"))</f>
        <v/>
      </c>
      <c r="AO14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0" spans="1:41" x14ac:dyDescent="0.3">
      <c r="A150">
        <v>900148</v>
      </c>
      <c r="B150" t="s">
        <v>353</v>
      </c>
      <c r="C150" t="s">
        <v>8</v>
      </c>
      <c r="D150">
        <v>54</v>
      </c>
      <c r="E150" t="s">
        <v>128</v>
      </c>
      <c r="F150" t="s">
        <v>171</v>
      </c>
      <c r="G150" t="s">
        <v>151</v>
      </c>
      <c r="H150" t="s">
        <v>175</v>
      </c>
      <c r="I150" t="s">
        <v>144</v>
      </c>
      <c r="J150" t="s">
        <v>145</v>
      </c>
      <c r="L150" t="s">
        <v>135</v>
      </c>
      <c r="M150" t="s">
        <v>135</v>
      </c>
      <c r="N150" s="1">
        <v>39022</v>
      </c>
      <c r="O150" s="1">
        <v>39022</v>
      </c>
      <c r="P150" s="1">
        <v>42036</v>
      </c>
      <c r="Q150" s="1">
        <v>42036</v>
      </c>
      <c r="T15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150" t="str">
        <f>IF(tblRoster[[#This Row],[급수]]="4급(임기제)","4급",tblRoster[[#This Row],[급수]])</f>
        <v>9급</v>
      </c>
      <c r="V15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15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0" t="str">
        <f>IF(OR(tblRoster[[#This Row],[교직원상세구분]]="사회복무요원",tblRoster[[#This Row],[교직원상세구분]]="인턴(수습)"),"제외","포함")</f>
        <v>포함</v>
      </c>
      <c r="Y150">
        <f>1</f>
        <v>1</v>
      </c>
      <c r="Z150">
        <f>IF(tblRoster[[#This Row],[재직상태구분]]="휴직",1,0)</f>
        <v>0</v>
      </c>
      <c r="AA15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50">
        <f ca="1">IF(tblRoster[[#This Row],[본교발령시작일자]]="","",DATEDIF(tblRoster[[#This Row],[본교발령시작일자]],TODAY(),"Y"))</f>
        <v>19</v>
      </c>
      <c r="AC150">
        <f ca="1">IF(tblRoster[[#This Row],[최초발령시작일자]]="","",DATEDIF(tblRoster[[#This Row],[최초발령시작일자]],TODAY(),"Y"))</f>
        <v>19</v>
      </c>
      <c r="AD15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50">
        <f ca="1">IF(tblRoster[[#This Row],[직급발령시작일자]]="","",ROUND(YEARFRAC(tblRoster[[#This Row],[직급발령시작일자]],TODAY()),1))</f>
        <v>11.6</v>
      </c>
      <c r="AF150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50">
        <f ca="1">IF(OR(tblRoster[[#This Row],[공무원구분]]&lt;&gt;"공무원",tblRoster[[#This Row],[나이]]=""),"",YEAR(TODAY())+(60-tblRoster[[#This Row],[나이]]))</f>
        <v>2032</v>
      </c>
      <c r="AH150" t="str">
        <f>IF(tblRoster[[#This Row],[직위]]="","일반","보직자")</f>
        <v>일반</v>
      </c>
      <c r="AI15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0" t="str">
        <f ca="1">IF(tblRoster[[#This Row],[복직예정일]]="","",TEXT(tblRoster[[#This Row],[복직예정일]],"yyyy-mm"))</f>
        <v/>
      </c>
      <c r="AM150" t="str">
        <f ca="1">IF(tblRoster[[#This Row],[복직예정일]]="","",tblRoster[[#This Row],[복직예정일]]-TODAY())</f>
        <v/>
      </c>
      <c r="AN150" t="str">
        <f ca="1">IF(tblRoster[[#This Row],[휴직잔여일수]]="","",IF(tblRoster[[#This Row],[휴직잔여일수]]&lt;=180,"6개월내","6개월이후"))</f>
        <v/>
      </c>
      <c r="AO15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1" spans="1:41" x14ac:dyDescent="0.3">
      <c r="A151">
        <v>900149</v>
      </c>
      <c r="B151" t="s">
        <v>354</v>
      </c>
      <c r="C151" t="s">
        <v>8</v>
      </c>
      <c r="D151">
        <v>49</v>
      </c>
      <c r="E151" t="s">
        <v>150</v>
      </c>
      <c r="F151" t="s">
        <v>158</v>
      </c>
      <c r="G151" t="s">
        <v>222</v>
      </c>
      <c r="H151" t="s">
        <v>200</v>
      </c>
      <c r="I151" t="s">
        <v>144</v>
      </c>
      <c r="J151" t="s">
        <v>145</v>
      </c>
      <c r="K151" t="s">
        <v>355</v>
      </c>
      <c r="L151" t="s">
        <v>134</v>
      </c>
      <c r="M151" t="s">
        <v>135</v>
      </c>
      <c r="N151" s="1">
        <v>44166</v>
      </c>
      <c r="O151" s="1">
        <v>44166</v>
      </c>
      <c r="P151" s="1">
        <v>44166</v>
      </c>
      <c r="Q151" s="1">
        <v>44166</v>
      </c>
      <c r="R151">
        <v>8</v>
      </c>
      <c r="T15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151" t="str">
        <f>IF(tblRoster[[#This Row],[급수]]="4급(임기제)","4급",tblRoster[[#This Row],[급수]])</f>
        <v>5급</v>
      </c>
      <c r="V15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15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1" t="str">
        <f>IF(OR(tblRoster[[#This Row],[교직원상세구분]]="사회복무요원",tblRoster[[#This Row],[교직원상세구분]]="인턴(수습)"),"제외","포함")</f>
        <v>포함</v>
      </c>
      <c r="Y151">
        <f>1</f>
        <v>1</v>
      </c>
      <c r="Z151">
        <f>IF(tblRoster[[#This Row],[재직상태구분]]="휴직",1,0)</f>
        <v>0</v>
      </c>
      <c r="AA15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51">
        <f ca="1">IF(tblRoster[[#This Row],[본교발령시작일자]]="","",DATEDIF(tblRoster[[#This Row],[본교발령시작일자]],TODAY(),"Y"))</f>
        <v>5</v>
      </c>
      <c r="AC151">
        <f ca="1">IF(tblRoster[[#This Row],[최초발령시작일자]]="","",DATEDIF(tblRoster[[#This Row],[최초발령시작일자]],TODAY(),"Y"))</f>
        <v>5</v>
      </c>
      <c r="AD15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51">
        <f ca="1">IF(tblRoster[[#This Row],[직급발령시작일자]]="","",ROUND(YEARFRAC(tblRoster[[#This Row],[직급발령시작일자]],TODAY()),1))</f>
        <v>5.8</v>
      </c>
      <c r="AF15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51">
        <f ca="1">IF(OR(tblRoster[[#This Row],[공무원구분]]&lt;&gt;"공무원",tblRoster[[#This Row],[나이]]=""),"",YEAR(TODAY())+(60-tblRoster[[#This Row],[나이]]))</f>
        <v>2037</v>
      </c>
      <c r="AH151" t="str">
        <f>IF(tblRoster[[#This Row],[직위]]="","일반","보직자")</f>
        <v>보직자</v>
      </c>
      <c r="AI15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1" t="str">
        <f ca="1">IF(tblRoster[[#This Row],[복직예정일]]="","",TEXT(tblRoster[[#This Row],[복직예정일]],"yyyy-mm"))</f>
        <v/>
      </c>
      <c r="AM151" t="str">
        <f ca="1">IF(tblRoster[[#This Row],[복직예정일]]="","",tblRoster[[#This Row],[복직예정일]]-TODAY())</f>
        <v/>
      </c>
      <c r="AN151" t="str">
        <f ca="1">IF(tblRoster[[#This Row],[휴직잔여일수]]="","",IF(tblRoster[[#This Row],[휴직잔여일수]]&lt;=180,"6개월내","6개월이후"))</f>
        <v/>
      </c>
      <c r="AO15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2" spans="1:41" x14ac:dyDescent="0.3">
      <c r="A152">
        <v>900150</v>
      </c>
      <c r="B152" t="s">
        <v>356</v>
      </c>
      <c r="C152" t="s">
        <v>8</v>
      </c>
      <c r="D152">
        <v>53</v>
      </c>
      <c r="E152" t="s">
        <v>150</v>
      </c>
      <c r="F152" t="s">
        <v>189</v>
      </c>
      <c r="G152" t="s">
        <v>155</v>
      </c>
      <c r="H152" t="s">
        <v>148</v>
      </c>
      <c r="I152" t="s">
        <v>132</v>
      </c>
      <c r="J152" t="s">
        <v>133</v>
      </c>
      <c r="L152" t="s">
        <v>134</v>
      </c>
      <c r="M152" t="s">
        <v>135</v>
      </c>
      <c r="N152" s="1">
        <v>39326</v>
      </c>
      <c r="O152" s="1">
        <v>39326</v>
      </c>
      <c r="P152" s="1">
        <v>42826</v>
      </c>
      <c r="Q152" s="1">
        <v>42826</v>
      </c>
      <c r="R152">
        <v>22</v>
      </c>
      <c r="T15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52" t="str">
        <f>IF(tblRoster[[#This Row],[급수]]="4급(임기제)","4급",tblRoster[[#This Row],[급수]])</f>
        <v>대학회계계약직</v>
      </c>
      <c r="V15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5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52" t="str">
        <f>IF(OR(tblRoster[[#This Row],[교직원상세구분]]="사회복무요원",tblRoster[[#This Row],[교직원상세구분]]="인턴(수습)"),"제외","포함")</f>
        <v>포함</v>
      </c>
      <c r="Y152">
        <f>1</f>
        <v>1</v>
      </c>
      <c r="Z152">
        <f>IF(tblRoster[[#This Row],[재직상태구분]]="휴직",1,0)</f>
        <v>0</v>
      </c>
      <c r="AA15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52">
        <f ca="1">IF(tblRoster[[#This Row],[본교발령시작일자]]="","",DATEDIF(tblRoster[[#This Row],[본교발령시작일자]],TODAY(),"Y"))</f>
        <v>19</v>
      </c>
      <c r="AC152">
        <f ca="1">IF(tblRoster[[#This Row],[최초발령시작일자]]="","",DATEDIF(tblRoster[[#This Row],[최초발령시작일자]],TODAY(),"Y"))</f>
        <v>19</v>
      </c>
      <c r="AD15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52">
        <f ca="1">IF(tblRoster[[#This Row],[직급발령시작일자]]="","",ROUND(YEARFRAC(tblRoster[[#This Row],[직급발령시작일자]],TODAY()),1))</f>
        <v>9.4</v>
      </c>
      <c r="AF15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52" t="str">
        <f ca="1">IF(OR(tblRoster[[#This Row],[공무원구분]]&lt;&gt;"공무원",tblRoster[[#This Row],[나이]]=""),"",YEAR(TODAY())+(60-tblRoster[[#This Row],[나이]]))</f>
        <v/>
      </c>
      <c r="AH152" t="str">
        <f>IF(tblRoster[[#This Row],[직위]]="","일반","보직자")</f>
        <v>일반</v>
      </c>
      <c r="AI15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2" t="str">
        <f ca="1">IF(tblRoster[[#This Row],[복직예정일]]="","",TEXT(tblRoster[[#This Row],[복직예정일]],"yyyy-mm"))</f>
        <v/>
      </c>
      <c r="AM152" t="str">
        <f ca="1">IF(tblRoster[[#This Row],[복직예정일]]="","",tblRoster[[#This Row],[복직예정일]]-TODAY())</f>
        <v/>
      </c>
      <c r="AN152" t="str">
        <f ca="1">IF(tblRoster[[#This Row],[휴직잔여일수]]="","",IF(tblRoster[[#This Row],[휴직잔여일수]]&lt;=180,"6개월내","6개월이후"))</f>
        <v/>
      </c>
      <c r="AO15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3" spans="1:41" x14ac:dyDescent="0.3">
      <c r="A153">
        <v>900151</v>
      </c>
      <c r="B153" t="s">
        <v>357</v>
      </c>
      <c r="C153" t="s">
        <v>8</v>
      </c>
      <c r="D153">
        <v>31</v>
      </c>
      <c r="E153" t="s">
        <v>128</v>
      </c>
      <c r="F153" t="s">
        <v>158</v>
      </c>
      <c r="G153" t="s">
        <v>197</v>
      </c>
      <c r="H153" t="s">
        <v>223</v>
      </c>
      <c r="I153" t="s">
        <v>144</v>
      </c>
      <c r="J153" t="s">
        <v>145</v>
      </c>
      <c r="L153" t="s">
        <v>134</v>
      </c>
      <c r="M153" t="s">
        <v>135</v>
      </c>
      <c r="N153" s="1">
        <v>43191</v>
      </c>
      <c r="O153" s="1">
        <v>44348</v>
      </c>
      <c r="P153" s="1">
        <v>44348</v>
      </c>
      <c r="Q153" s="1">
        <v>44348</v>
      </c>
      <c r="R153">
        <v>10</v>
      </c>
      <c r="T15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53" t="str">
        <f>IF(tblRoster[[#This Row],[급수]]="4급(임기제)","4급",tblRoster[[#This Row],[급수]])</f>
        <v>8급</v>
      </c>
      <c r="V15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5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3" t="str">
        <f>IF(OR(tblRoster[[#This Row],[교직원상세구분]]="사회복무요원",tblRoster[[#This Row],[교직원상세구분]]="인턴(수습)"),"제외","포함")</f>
        <v>포함</v>
      </c>
      <c r="Y153">
        <f>1</f>
        <v>1</v>
      </c>
      <c r="Z153">
        <f>IF(tblRoster[[#This Row],[재직상태구분]]="휴직",1,0)</f>
        <v>0</v>
      </c>
      <c r="AA15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53">
        <f ca="1">IF(tblRoster[[#This Row],[본교발령시작일자]]="","",DATEDIF(tblRoster[[#This Row],[본교발령시작일자]],TODAY(),"Y"))</f>
        <v>5</v>
      </c>
      <c r="AC153">
        <f ca="1">IF(tblRoster[[#This Row],[최초발령시작일자]]="","",DATEDIF(tblRoster[[#This Row],[최초발령시작일자]],TODAY(),"Y"))</f>
        <v>8</v>
      </c>
      <c r="AD15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53">
        <f ca="1">IF(tblRoster[[#This Row],[직급발령시작일자]]="","",ROUND(YEARFRAC(tblRoster[[#This Row],[직급발령시작일자]],TODAY()),1))</f>
        <v>5.3</v>
      </c>
      <c r="AF15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53">
        <f ca="1">IF(OR(tblRoster[[#This Row],[공무원구분]]&lt;&gt;"공무원",tblRoster[[#This Row],[나이]]=""),"",YEAR(TODAY())+(60-tblRoster[[#This Row],[나이]]))</f>
        <v>2055</v>
      </c>
      <c r="AH153" t="str">
        <f>IF(tblRoster[[#This Row],[직위]]="","일반","보직자")</f>
        <v>일반</v>
      </c>
      <c r="AI15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3" t="str">
        <f ca="1">IF(tblRoster[[#This Row],[복직예정일]]="","",TEXT(tblRoster[[#This Row],[복직예정일]],"yyyy-mm"))</f>
        <v/>
      </c>
      <c r="AM153" t="str">
        <f ca="1">IF(tblRoster[[#This Row],[복직예정일]]="","",tblRoster[[#This Row],[복직예정일]]-TODAY())</f>
        <v/>
      </c>
      <c r="AN153" t="str">
        <f ca="1">IF(tblRoster[[#This Row],[휴직잔여일수]]="","",IF(tblRoster[[#This Row],[휴직잔여일수]]&lt;=180,"6개월내","6개월이후"))</f>
        <v/>
      </c>
      <c r="AO15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4" spans="1:41" x14ac:dyDescent="0.3">
      <c r="A154">
        <v>900152</v>
      </c>
      <c r="B154" t="s">
        <v>358</v>
      </c>
      <c r="C154" t="s">
        <v>8</v>
      </c>
      <c r="D154">
        <v>42</v>
      </c>
      <c r="E154" t="s">
        <v>128</v>
      </c>
      <c r="F154" t="s">
        <v>129</v>
      </c>
      <c r="G154" t="s">
        <v>159</v>
      </c>
      <c r="H154" t="s">
        <v>223</v>
      </c>
      <c r="I154" t="s">
        <v>144</v>
      </c>
      <c r="J154" t="s">
        <v>145</v>
      </c>
      <c r="L154" t="s">
        <v>134</v>
      </c>
      <c r="M154" t="s">
        <v>135</v>
      </c>
      <c r="N154" s="1">
        <v>39234</v>
      </c>
      <c r="O154" s="1">
        <v>39234</v>
      </c>
      <c r="P154" s="1">
        <v>42644</v>
      </c>
      <c r="Q154" s="1">
        <v>42644</v>
      </c>
      <c r="R154">
        <v>19</v>
      </c>
      <c r="T15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54" t="str">
        <f>IF(tblRoster[[#This Row],[급수]]="4급(임기제)","4급",tblRoster[[#This Row],[급수]])</f>
        <v>8급</v>
      </c>
      <c r="V15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5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4" t="str">
        <f>IF(OR(tblRoster[[#This Row],[교직원상세구분]]="사회복무요원",tblRoster[[#This Row],[교직원상세구분]]="인턴(수습)"),"제외","포함")</f>
        <v>포함</v>
      </c>
      <c r="Y154">
        <f>1</f>
        <v>1</v>
      </c>
      <c r="Z154">
        <f>IF(tblRoster[[#This Row],[재직상태구분]]="휴직",1,0)</f>
        <v>0</v>
      </c>
      <c r="AA15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54">
        <f ca="1">IF(tblRoster[[#This Row],[본교발령시작일자]]="","",DATEDIF(tblRoster[[#This Row],[본교발령시작일자]],TODAY(),"Y"))</f>
        <v>19</v>
      </c>
      <c r="AC154">
        <f ca="1">IF(tblRoster[[#This Row],[최초발령시작일자]]="","",DATEDIF(tblRoster[[#This Row],[최초발령시작일자]],TODAY(),"Y"))</f>
        <v>19</v>
      </c>
      <c r="AD15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54">
        <f ca="1">IF(tblRoster[[#This Row],[직급발령시작일자]]="","",ROUND(YEARFRAC(tblRoster[[#This Row],[직급발령시작일자]],TODAY()),1))</f>
        <v>9.9</v>
      </c>
      <c r="AF15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54">
        <f ca="1">IF(OR(tblRoster[[#This Row],[공무원구분]]&lt;&gt;"공무원",tblRoster[[#This Row],[나이]]=""),"",YEAR(TODAY())+(60-tblRoster[[#This Row],[나이]]))</f>
        <v>2044</v>
      </c>
      <c r="AH154" t="str">
        <f>IF(tblRoster[[#This Row],[직위]]="","일반","보직자")</f>
        <v>일반</v>
      </c>
      <c r="AI15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4" t="str">
        <f ca="1">IF(tblRoster[[#This Row],[복직예정일]]="","",TEXT(tblRoster[[#This Row],[복직예정일]],"yyyy-mm"))</f>
        <v/>
      </c>
      <c r="AM154" t="str">
        <f ca="1">IF(tblRoster[[#This Row],[복직예정일]]="","",tblRoster[[#This Row],[복직예정일]]-TODAY())</f>
        <v/>
      </c>
      <c r="AN154" t="str">
        <f ca="1">IF(tblRoster[[#This Row],[휴직잔여일수]]="","",IF(tblRoster[[#This Row],[휴직잔여일수]]&lt;=180,"6개월내","6개월이후"))</f>
        <v/>
      </c>
      <c r="AO15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5" spans="1:41" x14ac:dyDescent="0.3">
      <c r="A155">
        <v>900153</v>
      </c>
      <c r="B155" t="s">
        <v>359</v>
      </c>
      <c r="C155" t="s">
        <v>8</v>
      </c>
      <c r="D155">
        <v>49</v>
      </c>
      <c r="E155" t="s">
        <v>128</v>
      </c>
      <c r="F155" t="s">
        <v>236</v>
      </c>
      <c r="G155" t="s">
        <v>169</v>
      </c>
      <c r="H155" t="s">
        <v>223</v>
      </c>
      <c r="I155" t="s">
        <v>144</v>
      </c>
      <c r="J155" t="s">
        <v>145</v>
      </c>
      <c r="L155" t="s">
        <v>135</v>
      </c>
      <c r="M155" t="s">
        <v>135</v>
      </c>
      <c r="N155" s="1">
        <v>44105</v>
      </c>
      <c r="O155" s="1">
        <v>44105</v>
      </c>
      <c r="P155" s="1">
        <v>44105</v>
      </c>
      <c r="Q155" s="1">
        <v>44105</v>
      </c>
      <c r="R155">
        <v>6</v>
      </c>
      <c r="T15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55" t="str">
        <f>IF(tblRoster[[#This Row],[급수]]="4급(임기제)","4급",tblRoster[[#This Row],[급수]])</f>
        <v>8급</v>
      </c>
      <c r="V15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5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5" t="str">
        <f>IF(OR(tblRoster[[#This Row],[교직원상세구분]]="사회복무요원",tblRoster[[#This Row],[교직원상세구분]]="인턴(수습)"),"제외","포함")</f>
        <v>포함</v>
      </c>
      <c r="Y155">
        <f>1</f>
        <v>1</v>
      </c>
      <c r="Z155">
        <f>IF(tblRoster[[#This Row],[재직상태구분]]="휴직",1,0)</f>
        <v>0</v>
      </c>
      <c r="AA15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55">
        <f ca="1">IF(tblRoster[[#This Row],[본교발령시작일자]]="","",DATEDIF(tblRoster[[#This Row],[본교발령시작일자]],TODAY(),"Y"))</f>
        <v>5</v>
      </c>
      <c r="AC155">
        <f ca="1">IF(tblRoster[[#This Row],[최초발령시작일자]]="","",DATEDIF(tblRoster[[#This Row],[최초발령시작일자]],TODAY(),"Y"))</f>
        <v>5</v>
      </c>
      <c r="AD15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55">
        <f ca="1">IF(tblRoster[[#This Row],[직급발령시작일자]]="","",ROUND(YEARFRAC(tblRoster[[#This Row],[직급발령시작일자]],TODAY()),1))</f>
        <v>5.9</v>
      </c>
      <c r="AF15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55">
        <f ca="1">IF(OR(tblRoster[[#This Row],[공무원구분]]&lt;&gt;"공무원",tblRoster[[#This Row],[나이]]=""),"",YEAR(TODAY())+(60-tblRoster[[#This Row],[나이]]))</f>
        <v>2037</v>
      </c>
      <c r="AH155" t="str">
        <f>IF(tblRoster[[#This Row],[직위]]="","일반","보직자")</f>
        <v>일반</v>
      </c>
      <c r="AI15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5" t="str">
        <f ca="1">IF(tblRoster[[#This Row],[복직예정일]]="","",TEXT(tblRoster[[#This Row],[복직예정일]],"yyyy-mm"))</f>
        <v/>
      </c>
      <c r="AM155" t="str">
        <f ca="1">IF(tblRoster[[#This Row],[복직예정일]]="","",tblRoster[[#This Row],[복직예정일]]-TODAY())</f>
        <v/>
      </c>
      <c r="AN155" t="str">
        <f ca="1">IF(tblRoster[[#This Row],[휴직잔여일수]]="","",IF(tblRoster[[#This Row],[휴직잔여일수]]&lt;=180,"6개월내","6개월이후"))</f>
        <v/>
      </c>
      <c r="AO15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6" spans="1:41" x14ac:dyDescent="0.3">
      <c r="A156">
        <v>900154</v>
      </c>
      <c r="B156" t="s">
        <v>39</v>
      </c>
      <c r="C156" t="s">
        <v>16</v>
      </c>
      <c r="D156">
        <v>32</v>
      </c>
      <c r="E156" t="s">
        <v>128</v>
      </c>
      <c r="F156" t="s">
        <v>246</v>
      </c>
      <c r="G156" t="s">
        <v>173</v>
      </c>
      <c r="H156" t="s">
        <v>223</v>
      </c>
      <c r="I156" t="s">
        <v>144</v>
      </c>
      <c r="J156" t="s">
        <v>145</v>
      </c>
      <c r="L156" t="s">
        <v>135</v>
      </c>
      <c r="M156" t="s">
        <v>135</v>
      </c>
      <c r="N156" s="1">
        <v>43040</v>
      </c>
      <c r="O156" s="1">
        <v>43040</v>
      </c>
      <c r="P156" s="1">
        <v>45597</v>
      </c>
      <c r="Q156" s="1">
        <v>45597</v>
      </c>
      <c r="R156">
        <v>11</v>
      </c>
      <c r="S156" t="s">
        <v>360</v>
      </c>
      <c r="T15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56" t="str">
        <f>IF(tblRoster[[#This Row],[급수]]="4급(임기제)","4급",tblRoster[[#This Row],[급수]])</f>
        <v>8급</v>
      </c>
      <c r="V15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5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6" t="str">
        <f>IF(OR(tblRoster[[#This Row],[교직원상세구분]]="사회복무요원",tblRoster[[#This Row],[교직원상세구분]]="인턴(수습)"),"제외","포함")</f>
        <v>포함</v>
      </c>
      <c r="Y156">
        <f>1</f>
        <v>1</v>
      </c>
      <c r="Z156">
        <f>IF(tblRoster[[#This Row],[재직상태구분]]="휴직",1,0)</f>
        <v>1</v>
      </c>
      <c r="AA15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56">
        <f ca="1">IF(tblRoster[[#This Row],[본교발령시작일자]]="","",DATEDIF(tblRoster[[#This Row],[본교발령시작일자]],TODAY(),"Y"))</f>
        <v>8</v>
      </c>
      <c r="AC156">
        <f ca="1">IF(tblRoster[[#This Row],[최초발령시작일자]]="","",DATEDIF(tblRoster[[#This Row],[최초발령시작일자]],TODAY(),"Y"))</f>
        <v>8</v>
      </c>
      <c r="AD15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56">
        <f ca="1">IF(tblRoster[[#This Row],[직급발령시작일자]]="","",ROUND(YEARFRAC(tblRoster[[#This Row],[직급발령시작일자]],TODAY()),1))</f>
        <v>1.9</v>
      </c>
      <c r="AF15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56">
        <f ca="1">IF(OR(tblRoster[[#This Row],[공무원구분]]&lt;&gt;"공무원",tblRoster[[#This Row],[나이]]=""),"",YEAR(TODAY())+(60-tblRoster[[#This Row],[나이]]))</f>
        <v>2054</v>
      </c>
      <c r="AH156" t="str">
        <f>IF(tblRoster[[#This Row],[직위]]="","일반","보직자")</f>
        <v>일반</v>
      </c>
      <c r="AI156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46164</v>
      </c>
      <c r="AJ15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56" s="1">
        <f ca="1">IF(tblRoster[[#This Row],[현재휴직시작일]]="","",IFERROR(INDEX(tblLeave[종료일],MATCH(tblRoster[[#This Row],[교직원번호]]&amp;"|"&amp;tblRoster[[#This Row],[현재휴직시작일]],tblLeave[매칭키],0)),""))</f>
        <v>46713</v>
      </c>
      <c r="AL156" t="str">
        <f ca="1">IF(tblRoster[[#This Row],[복직예정일]]="","",TEXT(tblRoster[[#This Row],[복직예정일]],"yyyy-mm"))</f>
        <v>2027-11</v>
      </c>
      <c r="AM156">
        <f ca="1">IF(tblRoster[[#This Row],[복직예정일]]="","",tblRoster[[#This Row],[복직예정일]]-TODAY())</f>
        <v>441</v>
      </c>
      <c r="AN156" t="str">
        <f ca="1">IF(tblRoster[[#This Row],[휴직잔여일수]]="","",IF(tblRoster[[#This Row],[휴직잔여일수]]&lt;=180,"6개월내","6개월이후"))</f>
        <v>6개월이후</v>
      </c>
      <c r="AO15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7" spans="1:41" x14ac:dyDescent="0.3">
      <c r="A157">
        <v>900155</v>
      </c>
      <c r="B157" t="s">
        <v>361</v>
      </c>
      <c r="C157" t="s">
        <v>8</v>
      </c>
      <c r="D157">
        <v>39</v>
      </c>
      <c r="E157" t="s">
        <v>150</v>
      </c>
      <c r="F157" t="s">
        <v>266</v>
      </c>
      <c r="G157" t="s">
        <v>155</v>
      </c>
      <c r="H157" t="s">
        <v>175</v>
      </c>
      <c r="I157" t="s">
        <v>144</v>
      </c>
      <c r="J157" t="s">
        <v>145</v>
      </c>
      <c r="L157" t="s">
        <v>134</v>
      </c>
      <c r="M157" t="s">
        <v>135</v>
      </c>
      <c r="N157" s="1">
        <v>42491</v>
      </c>
      <c r="O157" s="1">
        <v>42491</v>
      </c>
      <c r="P157" s="1">
        <v>42491</v>
      </c>
      <c r="Q157" s="1">
        <v>42491</v>
      </c>
      <c r="R157">
        <v>13</v>
      </c>
      <c r="T15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157" t="str">
        <f>IF(tblRoster[[#This Row],[급수]]="4급(임기제)","4급",tblRoster[[#This Row],[급수]])</f>
        <v>9급</v>
      </c>
      <c r="V15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15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57" t="str">
        <f>IF(OR(tblRoster[[#This Row],[교직원상세구분]]="사회복무요원",tblRoster[[#This Row],[교직원상세구분]]="인턴(수습)"),"제외","포함")</f>
        <v>포함</v>
      </c>
      <c r="Y157">
        <f>1</f>
        <v>1</v>
      </c>
      <c r="Z157">
        <f>IF(tblRoster[[#This Row],[재직상태구분]]="휴직",1,0)</f>
        <v>0</v>
      </c>
      <c r="AA15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57">
        <f ca="1">IF(tblRoster[[#This Row],[본교발령시작일자]]="","",DATEDIF(tblRoster[[#This Row],[본교발령시작일자]],TODAY(),"Y"))</f>
        <v>10</v>
      </c>
      <c r="AC157">
        <f ca="1">IF(tblRoster[[#This Row],[최초발령시작일자]]="","",DATEDIF(tblRoster[[#This Row],[최초발령시작일자]],TODAY(),"Y"))</f>
        <v>10</v>
      </c>
      <c r="AD15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57">
        <f ca="1">IF(tblRoster[[#This Row],[직급발령시작일자]]="","",ROUND(YEARFRAC(tblRoster[[#This Row],[직급발령시작일자]],TODAY()),1))</f>
        <v>10.4</v>
      </c>
      <c r="AF15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57">
        <f ca="1">IF(OR(tblRoster[[#This Row],[공무원구분]]&lt;&gt;"공무원",tblRoster[[#This Row],[나이]]=""),"",YEAR(TODAY())+(60-tblRoster[[#This Row],[나이]]))</f>
        <v>2047</v>
      </c>
      <c r="AH157" t="str">
        <f>IF(tblRoster[[#This Row],[직위]]="","일반","보직자")</f>
        <v>일반</v>
      </c>
      <c r="AI15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7" t="str">
        <f ca="1">IF(tblRoster[[#This Row],[복직예정일]]="","",TEXT(tblRoster[[#This Row],[복직예정일]],"yyyy-mm"))</f>
        <v/>
      </c>
      <c r="AM157" t="str">
        <f ca="1">IF(tblRoster[[#This Row],[복직예정일]]="","",tblRoster[[#This Row],[복직예정일]]-TODAY())</f>
        <v/>
      </c>
      <c r="AN157" t="str">
        <f ca="1">IF(tblRoster[[#This Row],[휴직잔여일수]]="","",IF(tblRoster[[#This Row],[휴직잔여일수]]&lt;=180,"6개월내","6개월이후"))</f>
        <v/>
      </c>
      <c r="AO15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8" spans="1:41" x14ac:dyDescent="0.3">
      <c r="A158">
        <v>900156</v>
      </c>
      <c r="B158" t="s">
        <v>362</v>
      </c>
      <c r="C158" t="s">
        <v>8</v>
      </c>
      <c r="D158">
        <v>33</v>
      </c>
      <c r="E158" t="s">
        <v>128</v>
      </c>
      <c r="F158" t="s">
        <v>129</v>
      </c>
      <c r="G158" t="s">
        <v>202</v>
      </c>
      <c r="H158" t="s">
        <v>238</v>
      </c>
      <c r="I158" t="s">
        <v>239</v>
      </c>
      <c r="J158" t="s">
        <v>133</v>
      </c>
      <c r="L158" t="s">
        <v>134</v>
      </c>
      <c r="M158" t="s">
        <v>135</v>
      </c>
      <c r="N158" s="1">
        <v>45352</v>
      </c>
      <c r="O158" s="1">
        <v>45352</v>
      </c>
      <c r="P158" s="1">
        <v>46235</v>
      </c>
      <c r="Q158" s="1">
        <v>46235</v>
      </c>
      <c r="T15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58" t="str">
        <f>IF(tblRoster[[#This Row],[급수]]="4급(임기제)","4급",tblRoster[[#This Row],[급수]])</f>
        <v>대학회계직</v>
      </c>
      <c r="V15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5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58" t="str">
        <f>IF(OR(tblRoster[[#This Row],[교직원상세구분]]="사회복무요원",tblRoster[[#This Row],[교직원상세구분]]="인턴(수습)"),"제외","포함")</f>
        <v>포함</v>
      </c>
      <c r="Y158">
        <f>1</f>
        <v>1</v>
      </c>
      <c r="Z158">
        <f>IF(tblRoster[[#This Row],[재직상태구분]]="휴직",1,0)</f>
        <v>0</v>
      </c>
      <c r="AA15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58">
        <f ca="1">IF(tblRoster[[#This Row],[본교발령시작일자]]="","",DATEDIF(tblRoster[[#This Row],[본교발령시작일자]],TODAY(),"Y"))</f>
        <v>2</v>
      </c>
      <c r="AC158">
        <f ca="1">IF(tblRoster[[#This Row],[최초발령시작일자]]="","",DATEDIF(tblRoster[[#This Row],[최초발령시작일자]],TODAY(),"Y"))</f>
        <v>2</v>
      </c>
      <c r="AD15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58">
        <f ca="1">IF(tblRoster[[#This Row],[직급발령시작일자]]="","",ROUND(YEARFRAC(tblRoster[[#This Row],[직급발령시작일자]],TODAY()),1))</f>
        <v>0.1</v>
      </c>
      <c r="AF15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58" t="str">
        <f ca="1">IF(OR(tblRoster[[#This Row],[공무원구분]]&lt;&gt;"공무원",tblRoster[[#This Row],[나이]]=""),"",YEAR(TODAY())+(60-tblRoster[[#This Row],[나이]]))</f>
        <v/>
      </c>
      <c r="AH158" t="str">
        <f>IF(tblRoster[[#This Row],[직위]]="","일반","보직자")</f>
        <v>일반</v>
      </c>
      <c r="AI15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8" t="str">
        <f ca="1">IF(tblRoster[[#This Row],[복직예정일]]="","",TEXT(tblRoster[[#This Row],[복직예정일]],"yyyy-mm"))</f>
        <v/>
      </c>
      <c r="AM158" t="str">
        <f ca="1">IF(tblRoster[[#This Row],[복직예정일]]="","",tblRoster[[#This Row],[복직예정일]]-TODAY())</f>
        <v/>
      </c>
      <c r="AN158" t="str">
        <f ca="1">IF(tblRoster[[#This Row],[휴직잔여일수]]="","",IF(tblRoster[[#This Row],[휴직잔여일수]]&lt;=180,"6개월내","6개월이후"))</f>
        <v/>
      </c>
      <c r="AO15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59" spans="1:41" x14ac:dyDescent="0.3">
      <c r="A159">
        <v>900157</v>
      </c>
      <c r="B159" t="s">
        <v>363</v>
      </c>
      <c r="C159" t="s">
        <v>8</v>
      </c>
      <c r="D159">
        <v>29</v>
      </c>
      <c r="E159" t="s">
        <v>150</v>
      </c>
      <c r="F159" t="s">
        <v>147</v>
      </c>
      <c r="G159" t="s">
        <v>222</v>
      </c>
      <c r="H159" t="s">
        <v>212</v>
      </c>
      <c r="I159" t="s">
        <v>213</v>
      </c>
      <c r="J159" t="s">
        <v>133</v>
      </c>
      <c r="L159" t="s">
        <v>134</v>
      </c>
      <c r="M159" t="s">
        <v>135</v>
      </c>
      <c r="N159" s="1">
        <v>44228</v>
      </c>
      <c r="O159" s="1">
        <v>44228</v>
      </c>
      <c r="P159" s="1">
        <v>44228</v>
      </c>
      <c r="Q159" s="1">
        <v>44228</v>
      </c>
      <c r="T15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159" t="str">
        <f>IF(tblRoster[[#This Row],[급수]]="4급(임기제)","4급",tblRoster[[#This Row],[급수]])</f>
        <v>인턴</v>
      </c>
      <c r="V15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15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159" t="str">
        <f>IF(OR(tblRoster[[#This Row],[교직원상세구분]]="사회복무요원",tblRoster[[#This Row],[교직원상세구분]]="인턴(수습)"),"제외","포함")</f>
        <v>제외</v>
      </c>
      <c r="Y159">
        <f>1</f>
        <v>1</v>
      </c>
      <c r="Z159">
        <f>IF(tblRoster[[#This Row],[재직상태구분]]="휴직",1,0)</f>
        <v>0</v>
      </c>
      <c r="AA15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59">
        <f ca="1">IF(tblRoster[[#This Row],[본교발령시작일자]]="","",DATEDIF(tblRoster[[#This Row],[본교발령시작일자]],TODAY(),"Y"))</f>
        <v>5</v>
      </c>
      <c r="AC159">
        <f ca="1">IF(tblRoster[[#This Row],[최초발령시작일자]]="","",DATEDIF(tblRoster[[#This Row],[최초발령시작일자]],TODAY(),"Y"))</f>
        <v>5</v>
      </c>
      <c r="AD15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59">
        <f ca="1">IF(tblRoster[[#This Row],[직급발령시작일자]]="","",ROUND(YEARFRAC(tblRoster[[#This Row],[직급발령시작일자]],TODAY()),1))</f>
        <v>5.6</v>
      </c>
      <c r="AF15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59" t="str">
        <f ca="1">IF(OR(tblRoster[[#This Row],[공무원구분]]&lt;&gt;"공무원",tblRoster[[#This Row],[나이]]=""),"",YEAR(TODAY())+(60-tblRoster[[#This Row],[나이]]))</f>
        <v/>
      </c>
      <c r="AH159" t="str">
        <f>IF(tblRoster[[#This Row],[직위]]="","일반","보직자")</f>
        <v>일반</v>
      </c>
      <c r="AI15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5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5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59" t="str">
        <f ca="1">IF(tblRoster[[#This Row],[복직예정일]]="","",TEXT(tblRoster[[#This Row],[복직예정일]],"yyyy-mm"))</f>
        <v/>
      </c>
      <c r="AM159" t="str">
        <f ca="1">IF(tblRoster[[#This Row],[복직예정일]]="","",tblRoster[[#This Row],[복직예정일]]-TODAY())</f>
        <v/>
      </c>
      <c r="AN159" t="str">
        <f ca="1">IF(tblRoster[[#This Row],[휴직잔여일수]]="","",IF(tblRoster[[#This Row],[휴직잔여일수]]&lt;=180,"6개월내","6개월이후"))</f>
        <v/>
      </c>
      <c r="AO15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0" spans="1:41" x14ac:dyDescent="0.3">
      <c r="A160">
        <v>900158</v>
      </c>
      <c r="B160" t="s">
        <v>364</v>
      </c>
      <c r="C160" t="s">
        <v>8</v>
      </c>
      <c r="D160">
        <v>49</v>
      </c>
      <c r="E160" t="s">
        <v>150</v>
      </c>
      <c r="F160" t="s">
        <v>154</v>
      </c>
      <c r="G160" t="s">
        <v>130</v>
      </c>
      <c r="H160" t="s">
        <v>180</v>
      </c>
      <c r="I160" t="s">
        <v>144</v>
      </c>
      <c r="J160" t="s">
        <v>145</v>
      </c>
      <c r="L160" t="s">
        <v>134</v>
      </c>
      <c r="M160" t="s">
        <v>135</v>
      </c>
      <c r="N160" s="1">
        <v>38869</v>
      </c>
      <c r="O160" s="1">
        <v>38869</v>
      </c>
      <c r="P160" s="1">
        <v>43070</v>
      </c>
      <c r="Q160" s="1">
        <v>43070</v>
      </c>
      <c r="R160">
        <v>23</v>
      </c>
      <c r="T16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60" t="str">
        <f>IF(tblRoster[[#This Row],[급수]]="4급(임기제)","4급",tblRoster[[#This Row],[급수]])</f>
        <v>7급</v>
      </c>
      <c r="V16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6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0" t="str">
        <f>IF(OR(tblRoster[[#This Row],[교직원상세구분]]="사회복무요원",tblRoster[[#This Row],[교직원상세구분]]="인턴(수습)"),"제외","포함")</f>
        <v>포함</v>
      </c>
      <c r="Y160">
        <f>1</f>
        <v>1</v>
      </c>
      <c r="Z160">
        <f>IF(tblRoster[[#This Row],[재직상태구분]]="휴직",1,0)</f>
        <v>0</v>
      </c>
      <c r="AA16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0">
        <f ca="1">IF(tblRoster[[#This Row],[본교발령시작일자]]="","",DATEDIF(tblRoster[[#This Row],[본교발령시작일자]],TODAY(),"Y"))</f>
        <v>20</v>
      </c>
      <c r="AC160">
        <f ca="1">IF(tblRoster[[#This Row],[최초발령시작일자]]="","",DATEDIF(tblRoster[[#This Row],[최초발령시작일자]],TODAY(),"Y"))</f>
        <v>20</v>
      </c>
      <c r="AD16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60">
        <f ca="1">IF(tblRoster[[#This Row],[직급발령시작일자]]="","",ROUND(YEARFRAC(tblRoster[[#This Row],[직급발령시작일자]],TODAY()),1))</f>
        <v>8.8000000000000007</v>
      </c>
      <c r="AF16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60">
        <f ca="1">IF(OR(tblRoster[[#This Row],[공무원구분]]&lt;&gt;"공무원",tblRoster[[#This Row],[나이]]=""),"",YEAR(TODAY())+(60-tblRoster[[#This Row],[나이]]))</f>
        <v>2037</v>
      </c>
      <c r="AH160" t="str">
        <f>IF(tblRoster[[#This Row],[직위]]="","일반","보직자")</f>
        <v>일반</v>
      </c>
      <c r="AI16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0" t="str">
        <f ca="1">IF(tblRoster[[#This Row],[복직예정일]]="","",TEXT(tblRoster[[#This Row],[복직예정일]],"yyyy-mm"))</f>
        <v/>
      </c>
      <c r="AM160" t="str">
        <f ca="1">IF(tblRoster[[#This Row],[복직예정일]]="","",tblRoster[[#This Row],[복직예정일]]-TODAY())</f>
        <v/>
      </c>
      <c r="AN160" t="str">
        <f ca="1">IF(tblRoster[[#This Row],[휴직잔여일수]]="","",IF(tblRoster[[#This Row],[휴직잔여일수]]&lt;=180,"6개월내","6개월이후"))</f>
        <v/>
      </c>
      <c r="AO16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1" spans="1:41" x14ac:dyDescent="0.3">
      <c r="A161">
        <v>900159</v>
      </c>
      <c r="B161" t="s">
        <v>365</v>
      </c>
      <c r="C161" t="s">
        <v>8</v>
      </c>
      <c r="D161">
        <v>41</v>
      </c>
      <c r="E161" t="s">
        <v>128</v>
      </c>
      <c r="F161" t="s">
        <v>162</v>
      </c>
      <c r="G161" t="s">
        <v>222</v>
      </c>
      <c r="H161" t="s">
        <v>180</v>
      </c>
      <c r="I161" t="s">
        <v>144</v>
      </c>
      <c r="J161" t="s">
        <v>145</v>
      </c>
      <c r="L161" t="s">
        <v>135</v>
      </c>
      <c r="M161" t="s">
        <v>135</v>
      </c>
      <c r="N161" s="1">
        <v>40817</v>
      </c>
      <c r="O161" s="1">
        <v>40817</v>
      </c>
      <c r="P161" s="1">
        <v>41426</v>
      </c>
      <c r="Q161" s="1">
        <v>41426</v>
      </c>
      <c r="R161">
        <v>15</v>
      </c>
      <c r="T16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61" t="str">
        <f>IF(tblRoster[[#This Row],[급수]]="4급(임기제)","4급",tblRoster[[#This Row],[급수]])</f>
        <v>7급</v>
      </c>
      <c r="V16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6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1" t="str">
        <f>IF(OR(tblRoster[[#This Row],[교직원상세구분]]="사회복무요원",tblRoster[[#This Row],[교직원상세구분]]="인턴(수습)"),"제외","포함")</f>
        <v>포함</v>
      </c>
      <c r="Y161">
        <f>1</f>
        <v>1</v>
      </c>
      <c r="Z161">
        <f>IF(tblRoster[[#This Row],[재직상태구분]]="휴직",1,0)</f>
        <v>0</v>
      </c>
      <c r="AA16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1">
        <f ca="1">IF(tblRoster[[#This Row],[본교발령시작일자]]="","",DATEDIF(tblRoster[[#This Row],[본교발령시작일자]],TODAY(),"Y"))</f>
        <v>14</v>
      </c>
      <c r="AC161">
        <f ca="1">IF(tblRoster[[#This Row],[최초발령시작일자]]="","",DATEDIF(tblRoster[[#This Row],[최초발령시작일자]],TODAY(),"Y"))</f>
        <v>14</v>
      </c>
      <c r="AD16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61">
        <f ca="1">IF(tblRoster[[#This Row],[직급발령시작일자]]="","",ROUND(YEARFRAC(tblRoster[[#This Row],[직급발령시작일자]],TODAY()),1))</f>
        <v>13.3</v>
      </c>
      <c r="AF16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61">
        <f ca="1">IF(OR(tblRoster[[#This Row],[공무원구분]]&lt;&gt;"공무원",tblRoster[[#This Row],[나이]]=""),"",YEAR(TODAY())+(60-tblRoster[[#This Row],[나이]]))</f>
        <v>2045</v>
      </c>
      <c r="AH161" t="str">
        <f>IF(tblRoster[[#This Row],[직위]]="","일반","보직자")</f>
        <v>일반</v>
      </c>
      <c r="AI16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1" t="str">
        <f ca="1">IF(tblRoster[[#This Row],[복직예정일]]="","",TEXT(tblRoster[[#This Row],[복직예정일]],"yyyy-mm"))</f>
        <v/>
      </c>
      <c r="AM161" t="str">
        <f ca="1">IF(tblRoster[[#This Row],[복직예정일]]="","",tblRoster[[#This Row],[복직예정일]]-TODAY())</f>
        <v/>
      </c>
      <c r="AN161" t="str">
        <f ca="1">IF(tblRoster[[#This Row],[휴직잔여일수]]="","",IF(tblRoster[[#This Row],[휴직잔여일수]]&lt;=180,"6개월내","6개월이후"))</f>
        <v/>
      </c>
      <c r="AO16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2" spans="1:41" x14ac:dyDescent="0.3">
      <c r="A162">
        <v>900160</v>
      </c>
      <c r="B162" t="s">
        <v>366</v>
      </c>
      <c r="C162" t="s">
        <v>8</v>
      </c>
      <c r="D162">
        <v>54</v>
      </c>
      <c r="E162" t="s">
        <v>128</v>
      </c>
      <c r="F162" t="s">
        <v>246</v>
      </c>
      <c r="G162" t="s">
        <v>142</v>
      </c>
      <c r="H162" t="s">
        <v>223</v>
      </c>
      <c r="I162" t="s">
        <v>144</v>
      </c>
      <c r="J162" t="s">
        <v>145</v>
      </c>
      <c r="L162" t="s">
        <v>134</v>
      </c>
      <c r="M162" t="s">
        <v>135</v>
      </c>
      <c r="N162" s="1">
        <v>39630</v>
      </c>
      <c r="O162" s="1">
        <v>44501</v>
      </c>
      <c r="P162" s="1">
        <v>44501</v>
      </c>
      <c r="Q162" s="1">
        <v>44501</v>
      </c>
      <c r="R162">
        <v>20</v>
      </c>
      <c r="T16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62" t="str">
        <f>IF(tblRoster[[#This Row],[급수]]="4급(임기제)","4급",tblRoster[[#This Row],[급수]])</f>
        <v>8급</v>
      </c>
      <c r="V16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6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2" t="str">
        <f>IF(OR(tblRoster[[#This Row],[교직원상세구분]]="사회복무요원",tblRoster[[#This Row],[교직원상세구분]]="인턴(수습)"),"제외","포함")</f>
        <v>포함</v>
      </c>
      <c r="Y162">
        <f>1</f>
        <v>1</v>
      </c>
      <c r="Z162">
        <f>IF(tblRoster[[#This Row],[재직상태구분]]="휴직",1,0)</f>
        <v>0</v>
      </c>
      <c r="AA16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62">
        <f ca="1">IF(tblRoster[[#This Row],[본교발령시작일자]]="","",DATEDIF(tblRoster[[#This Row],[본교발령시작일자]],TODAY(),"Y"))</f>
        <v>4</v>
      </c>
      <c r="AC162">
        <f ca="1">IF(tblRoster[[#This Row],[최초발령시작일자]]="","",DATEDIF(tblRoster[[#This Row],[최초발령시작일자]],TODAY(),"Y"))</f>
        <v>18</v>
      </c>
      <c r="AD16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62">
        <f ca="1">IF(tblRoster[[#This Row],[직급발령시작일자]]="","",ROUND(YEARFRAC(tblRoster[[#This Row],[직급발령시작일자]],TODAY()),1))</f>
        <v>4.9000000000000004</v>
      </c>
      <c r="AF16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62">
        <f ca="1">IF(OR(tblRoster[[#This Row],[공무원구분]]&lt;&gt;"공무원",tblRoster[[#This Row],[나이]]=""),"",YEAR(TODAY())+(60-tblRoster[[#This Row],[나이]]))</f>
        <v>2032</v>
      </c>
      <c r="AH162" t="str">
        <f>IF(tblRoster[[#This Row],[직위]]="","일반","보직자")</f>
        <v>일반</v>
      </c>
      <c r="AI16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2" t="str">
        <f ca="1">IF(tblRoster[[#This Row],[복직예정일]]="","",TEXT(tblRoster[[#This Row],[복직예정일]],"yyyy-mm"))</f>
        <v/>
      </c>
      <c r="AM162" t="str">
        <f ca="1">IF(tblRoster[[#This Row],[복직예정일]]="","",tblRoster[[#This Row],[복직예정일]]-TODAY())</f>
        <v/>
      </c>
      <c r="AN162" t="str">
        <f ca="1">IF(tblRoster[[#This Row],[휴직잔여일수]]="","",IF(tblRoster[[#This Row],[휴직잔여일수]]&lt;=180,"6개월내","6개월이후"))</f>
        <v/>
      </c>
      <c r="AO16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3" spans="1:41" x14ac:dyDescent="0.3">
      <c r="A163">
        <v>900161</v>
      </c>
      <c r="B163" t="s">
        <v>40</v>
      </c>
      <c r="C163" t="s">
        <v>8</v>
      </c>
      <c r="D163">
        <v>41</v>
      </c>
      <c r="E163" t="s">
        <v>128</v>
      </c>
      <c r="F163" t="s">
        <v>158</v>
      </c>
      <c r="G163" t="s">
        <v>130</v>
      </c>
      <c r="H163" t="s">
        <v>148</v>
      </c>
      <c r="I163" t="s">
        <v>132</v>
      </c>
      <c r="J163" t="s">
        <v>133</v>
      </c>
      <c r="L163" t="s">
        <v>134</v>
      </c>
      <c r="M163" t="s">
        <v>135</v>
      </c>
      <c r="N163" s="1">
        <v>42552</v>
      </c>
      <c r="O163" s="1">
        <v>45383</v>
      </c>
      <c r="P163" s="1">
        <v>45383</v>
      </c>
      <c r="Q163" s="1">
        <v>45383</v>
      </c>
      <c r="R163">
        <v>13</v>
      </c>
      <c r="S163" t="s">
        <v>367</v>
      </c>
      <c r="T16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63" t="str">
        <f>IF(tblRoster[[#This Row],[급수]]="4급(임기제)","4급",tblRoster[[#This Row],[급수]])</f>
        <v>대학회계계약직</v>
      </c>
      <c r="V16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6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63" t="str">
        <f>IF(OR(tblRoster[[#This Row],[교직원상세구분]]="사회복무요원",tblRoster[[#This Row],[교직원상세구분]]="인턴(수습)"),"제외","포함")</f>
        <v>포함</v>
      </c>
      <c r="Y163">
        <f>1</f>
        <v>1</v>
      </c>
      <c r="Z163">
        <f>IF(tblRoster[[#This Row],[재직상태구분]]="휴직",1,0)</f>
        <v>0</v>
      </c>
      <c r="AA16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3">
        <f ca="1">IF(tblRoster[[#This Row],[본교발령시작일자]]="","",DATEDIF(tblRoster[[#This Row],[본교발령시작일자]],TODAY(),"Y"))</f>
        <v>2</v>
      </c>
      <c r="AC163">
        <f ca="1">IF(tblRoster[[#This Row],[최초발령시작일자]]="","",DATEDIF(tblRoster[[#This Row],[최초발령시작일자]],TODAY(),"Y"))</f>
        <v>10</v>
      </c>
      <c r="AD16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63">
        <f ca="1">IF(tblRoster[[#This Row],[직급발령시작일자]]="","",ROUND(YEARFRAC(tblRoster[[#This Row],[직급발령시작일자]],TODAY()),1))</f>
        <v>2.4</v>
      </c>
      <c r="AF16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63" t="str">
        <f ca="1">IF(OR(tblRoster[[#This Row],[공무원구분]]&lt;&gt;"공무원",tblRoster[[#This Row],[나이]]=""),"",YEAR(TODAY())+(60-tblRoster[[#This Row],[나이]]))</f>
        <v/>
      </c>
      <c r="AH163" t="str">
        <f>IF(tblRoster[[#This Row],[직위]]="","일반","보직자")</f>
        <v>일반</v>
      </c>
      <c r="AI16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3" t="str">
        <f ca="1">IF(tblRoster[[#This Row],[복직예정일]]="","",TEXT(tblRoster[[#This Row],[복직예정일]],"yyyy-mm"))</f>
        <v/>
      </c>
      <c r="AM163" t="str">
        <f ca="1">IF(tblRoster[[#This Row],[복직예정일]]="","",tblRoster[[#This Row],[복직예정일]]-TODAY())</f>
        <v/>
      </c>
      <c r="AN163" t="str">
        <f ca="1">IF(tblRoster[[#This Row],[휴직잔여일수]]="","",IF(tblRoster[[#This Row],[휴직잔여일수]]&lt;=180,"6개월내","6개월이후"))</f>
        <v/>
      </c>
      <c r="AO16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4" spans="1:41" x14ac:dyDescent="0.3">
      <c r="A164">
        <v>900162</v>
      </c>
      <c r="B164" t="s">
        <v>368</v>
      </c>
      <c r="C164" t="s">
        <v>8</v>
      </c>
      <c r="D164">
        <v>35</v>
      </c>
      <c r="E164" t="s">
        <v>128</v>
      </c>
      <c r="F164" t="s">
        <v>147</v>
      </c>
      <c r="G164" t="s">
        <v>151</v>
      </c>
      <c r="H164" t="s">
        <v>180</v>
      </c>
      <c r="I164" t="s">
        <v>144</v>
      </c>
      <c r="J164" t="s">
        <v>145</v>
      </c>
      <c r="L164" t="s">
        <v>134</v>
      </c>
      <c r="M164" t="s">
        <v>135</v>
      </c>
      <c r="N164" s="1">
        <v>43831</v>
      </c>
      <c r="O164" s="1">
        <v>43831</v>
      </c>
      <c r="P164" s="1">
        <v>43831</v>
      </c>
      <c r="Q164" s="1">
        <v>43831</v>
      </c>
      <c r="R164">
        <v>8</v>
      </c>
      <c r="T16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64" t="str">
        <f>IF(tblRoster[[#This Row],[급수]]="4급(임기제)","4급",tblRoster[[#This Row],[급수]])</f>
        <v>7급</v>
      </c>
      <c r="V16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6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4" t="str">
        <f>IF(OR(tblRoster[[#This Row],[교직원상세구분]]="사회복무요원",tblRoster[[#This Row],[교직원상세구분]]="인턴(수습)"),"제외","포함")</f>
        <v>포함</v>
      </c>
      <c r="Y164">
        <f>1</f>
        <v>1</v>
      </c>
      <c r="Z164">
        <f>IF(tblRoster[[#This Row],[재직상태구분]]="휴직",1,0)</f>
        <v>0</v>
      </c>
      <c r="AA16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64">
        <f ca="1">IF(tblRoster[[#This Row],[본교발령시작일자]]="","",DATEDIF(tblRoster[[#This Row],[본교발령시작일자]],TODAY(),"Y"))</f>
        <v>6</v>
      </c>
      <c r="AC164">
        <f ca="1">IF(tblRoster[[#This Row],[최초발령시작일자]]="","",DATEDIF(tblRoster[[#This Row],[최초발령시작일자]],TODAY(),"Y"))</f>
        <v>6</v>
      </c>
      <c r="AD16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64">
        <f ca="1">IF(tblRoster[[#This Row],[직급발령시작일자]]="","",ROUND(YEARFRAC(tblRoster[[#This Row],[직급발령시작일자]],TODAY()),1))</f>
        <v>6.7</v>
      </c>
      <c r="AF16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64">
        <f ca="1">IF(OR(tblRoster[[#This Row],[공무원구분]]&lt;&gt;"공무원",tblRoster[[#This Row],[나이]]=""),"",YEAR(TODAY())+(60-tblRoster[[#This Row],[나이]]))</f>
        <v>2051</v>
      </c>
      <c r="AH164" t="str">
        <f>IF(tblRoster[[#This Row],[직위]]="","일반","보직자")</f>
        <v>일반</v>
      </c>
      <c r="AI16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4" t="str">
        <f ca="1">IF(tblRoster[[#This Row],[복직예정일]]="","",TEXT(tblRoster[[#This Row],[복직예정일]],"yyyy-mm"))</f>
        <v/>
      </c>
      <c r="AM164" t="str">
        <f ca="1">IF(tblRoster[[#This Row],[복직예정일]]="","",tblRoster[[#This Row],[복직예정일]]-TODAY())</f>
        <v/>
      </c>
      <c r="AN164" t="str">
        <f ca="1">IF(tblRoster[[#This Row],[휴직잔여일수]]="","",IF(tblRoster[[#This Row],[휴직잔여일수]]&lt;=180,"6개월내","6개월이후"))</f>
        <v/>
      </c>
      <c r="AO16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5" spans="1:41" x14ac:dyDescent="0.3">
      <c r="A165">
        <v>900163</v>
      </c>
      <c r="B165" t="s">
        <v>41</v>
      </c>
      <c r="C165" t="s">
        <v>8</v>
      </c>
      <c r="D165">
        <v>29</v>
      </c>
      <c r="E165" t="s">
        <v>150</v>
      </c>
      <c r="F165" t="s">
        <v>137</v>
      </c>
      <c r="G165" t="s">
        <v>159</v>
      </c>
      <c r="H165" t="s">
        <v>238</v>
      </c>
      <c r="I165" t="s">
        <v>239</v>
      </c>
      <c r="J165" t="s">
        <v>133</v>
      </c>
      <c r="L165" t="s">
        <v>134</v>
      </c>
      <c r="M165" t="s">
        <v>135</v>
      </c>
      <c r="N165" s="1">
        <v>43952</v>
      </c>
      <c r="O165" s="1">
        <v>43952</v>
      </c>
      <c r="P165" s="1">
        <v>43952</v>
      </c>
      <c r="Q165" s="1">
        <v>43952</v>
      </c>
      <c r="R165">
        <v>7</v>
      </c>
      <c r="S165" t="s">
        <v>369</v>
      </c>
      <c r="T16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65" t="str">
        <f>IF(tblRoster[[#This Row],[급수]]="4급(임기제)","4급",tblRoster[[#This Row],[급수]])</f>
        <v>대학회계직</v>
      </c>
      <c r="V16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6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65" t="str">
        <f>IF(OR(tblRoster[[#This Row],[교직원상세구분]]="사회복무요원",tblRoster[[#This Row],[교직원상세구분]]="인턴(수습)"),"제외","포함")</f>
        <v>포함</v>
      </c>
      <c r="Y165">
        <f>1</f>
        <v>1</v>
      </c>
      <c r="Z165">
        <f>IF(tblRoster[[#This Row],[재직상태구분]]="휴직",1,0)</f>
        <v>0</v>
      </c>
      <c r="AA16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65">
        <f ca="1">IF(tblRoster[[#This Row],[본교발령시작일자]]="","",DATEDIF(tblRoster[[#This Row],[본교발령시작일자]],TODAY(),"Y"))</f>
        <v>6</v>
      </c>
      <c r="AC165">
        <f ca="1">IF(tblRoster[[#This Row],[최초발령시작일자]]="","",DATEDIF(tblRoster[[#This Row],[최초발령시작일자]],TODAY(),"Y"))</f>
        <v>6</v>
      </c>
      <c r="AD16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65">
        <f ca="1">IF(tblRoster[[#This Row],[직급발령시작일자]]="","",ROUND(YEARFRAC(tblRoster[[#This Row],[직급발령시작일자]],TODAY()),1))</f>
        <v>6.4</v>
      </c>
      <c r="AF16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65" t="str">
        <f ca="1">IF(OR(tblRoster[[#This Row],[공무원구분]]&lt;&gt;"공무원",tblRoster[[#This Row],[나이]]=""),"",YEAR(TODAY())+(60-tblRoster[[#This Row],[나이]]))</f>
        <v/>
      </c>
      <c r="AH165" t="str">
        <f>IF(tblRoster[[#This Row],[직위]]="","일반","보직자")</f>
        <v>일반</v>
      </c>
      <c r="AI16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5" t="str">
        <f ca="1">IF(tblRoster[[#This Row],[복직예정일]]="","",TEXT(tblRoster[[#This Row],[복직예정일]],"yyyy-mm"))</f>
        <v/>
      </c>
      <c r="AM165" t="str">
        <f ca="1">IF(tblRoster[[#This Row],[복직예정일]]="","",tblRoster[[#This Row],[복직예정일]]-TODAY())</f>
        <v/>
      </c>
      <c r="AN165" t="str">
        <f ca="1">IF(tblRoster[[#This Row],[휴직잔여일수]]="","",IF(tblRoster[[#This Row],[휴직잔여일수]]&lt;=180,"6개월내","6개월이후"))</f>
        <v/>
      </c>
      <c r="AO16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6" spans="1:41" x14ac:dyDescent="0.3">
      <c r="A166">
        <v>900164</v>
      </c>
      <c r="B166" t="s">
        <v>42</v>
      </c>
      <c r="C166" t="s">
        <v>8</v>
      </c>
      <c r="D166">
        <v>47</v>
      </c>
      <c r="E166" t="s">
        <v>128</v>
      </c>
      <c r="F166" t="s">
        <v>147</v>
      </c>
      <c r="G166" t="s">
        <v>130</v>
      </c>
      <c r="H166" t="s">
        <v>233</v>
      </c>
      <c r="I166" t="s">
        <v>144</v>
      </c>
      <c r="J166" t="s">
        <v>145</v>
      </c>
      <c r="L166" t="s">
        <v>134</v>
      </c>
      <c r="M166" t="s">
        <v>135</v>
      </c>
      <c r="N166" s="1">
        <v>37012</v>
      </c>
      <c r="O166" s="1">
        <v>37012</v>
      </c>
      <c r="P166" s="1">
        <v>44593</v>
      </c>
      <c r="Q166" s="1">
        <v>44593</v>
      </c>
      <c r="R166">
        <v>25</v>
      </c>
      <c r="S166" t="s">
        <v>370</v>
      </c>
      <c r="T16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66" t="str">
        <f>IF(tblRoster[[#This Row],[급수]]="4급(임기제)","4급",tblRoster[[#This Row],[급수]])</f>
        <v>8급</v>
      </c>
      <c r="V16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6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6" t="str">
        <f>IF(OR(tblRoster[[#This Row],[교직원상세구분]]="사회복무요원",tblRoster[[#This Row],[교직원상세구분]]="인턴(수습)"),"제외","포함")</f>
        <v>포함</v>
      </c>
      <c r="Y166">
        <f>1</f>
        <v>1</v>
      </c>
      <c r="Z166">
        <f>IF(tblRoster[[#This Row],[재직상태구분]]="휴직",1,0)</f>
        <v>0</v>
      </c>
      <c r="AA16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6">
        <f ca="1">IF(tblRoster[[#This Row],[본교발령시작일자]]="","",DATEDIF(tblRoster[[#This Row],[본교발령시작일자]],TODAY(),"Y"))</f>
        <v>25</v>
      </c>
      <c r="AC166">
        <f ca="1">IF(tblRoster[[#This Row],[최초발령시작일자]]="","",DATEDIF(tblRoster[[#This Row],[최초발령시작일자]],TODAY(),"Y"))</f>
        <v>25</v>
      </c>
      <c r="AD16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66">
        <f ca="1">IF(tblRoster[[#This Row],[직급발령시작일자]]="","",ROUND(YEARFRAC(tblRoster[[#This Row],[직급발령시작일자]],TODAY()),1))</f>
        <v>4.5999999999999996</v>
      </c>
      <c r="AF16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66">
        <f ca="1">IF(OR(tblRoster[[#This Row],[공무원구분]]&lt;&gt;"공무원",tblRoster[[#This Row],[나이]]=""),"",YEAR(TODAY())+(60-tblRoster[[#This Row],[나이]]))</f>
        <v>2039</v>
      </c>
      <c r="AH166" t="str">
        <f>IF(tblRoster[[#This Row],[직위]]="","일반","보직자")</f>
        <v>일반</v>
      </c>
      <c r="AI16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6" t="str">
        <f ca="1">IF(tblRoster[[#This Row],[복직예정일]]="","",TEXT(tblRoster[[#This Row],[복직예정일]],"yyyy-mm"))</f>
        <v/>
      </c>
      <c r="AM166" t="str">
        <f ca="1">IF(tblRoster[[#This Row],[복직예정일]]="","",tblRoster[[#This Row],[복직예정일]]-TODAY())</f>
        <v/>
      </c>
      <c r="AN166" t="str">
        <f ca="1">IF(tblRoster[[#This Row],[휴직잔여일수]]="","",IF(tblRoster[[#This Row],[휴직잔여일수]]&lt;=180,"6개월내","6개월이후"))</f>
        <v/>
      </c>
      <c r="AO16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7" spans="1:41" x14ac:dyDescent="0.3">
      <c r="A167">
        <v>900165</v>
      </c>
      <c r="B167" t="s">
        <v>371</v>
      </c>
      <c r="C167" t="s">
        <v>8</v>
      </c>
      <c r="D167">
        <v>45</v>
      </c>
      <c r="E167" t="s">
        <v>128</v>
      </c>
      <c r="F167" t="s">
        <v>129</v>
      </c>
      <c r="G167" t="s">
        <v>197</v>
      </c>
      <c r="H167" t="s">
        <v>238</v>
      </c>
      <c r="I167" t="s">
        <v>239</v>
      </c>
      <c r="J167" t="s">
        <v>133</v>
      </c>
      <c r="L167" t="s">
        <v>134</v>
      </c>
      <c r="M167" t="s">
        <v>135</v>
      </c>
      <c r="N167" s="1">
        <v>42339</v>
      </c>
      <c r="O167" s="1">
        <v>42339</v>
      </c>
      <c r="P167" s="1">
        <v>42339</v>
      </c>
      <c r="Q167" s="1">
        <v>42339</v>
      </c>
      <c r="R167">
        <v>12</v>
      </c>
      <c r="T16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67" t="str">
        <f>IF(tblRoster[[#This Row],[급수]]="4급(임기제)","4급",tblRoster[[#This Row],[급수]])</f>
        <v>대학회계직</v>
      </c>
      <c r="V16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6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67" t="str">
        <f>IF(OR(tblRoster[[#This Row],[교직원상세구분]]="사회복무요원",tblRoster[[#This Row],[교직원상세구분]]="인턴(수습)"),"제외","포함")</f>
        <v>포함</v>
      </c>
      <c r="Y167">
        <f>1</f>
        <v>1</v>
      </c>
      <c r="Z167">
        <f>IF(tblRoster[[#This Row],[재직상태구분]]="휴직",1,0)</f>
        <v>0</v>
      </c>
      <c r="AA16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7">
        <f ca="1">IF(tblRoster[[#This Row],[본교발령시작일자]]="","",DATEDIF(tblRoster[[#This Row],[본교발령시작일자]],TODAY(),"Y"))</f>
        <v>10</v>
      </c>
      <c r="AC167">
        <f ca="1">IF(tblRoster[[#This Row],[최초발령시작일자]]="","",DATEDIF(tblRoster[[#This Row],[최초발령시작일자]],TODAY(),"Y"))</f>
        <v>10</v>
      </c>
      <c r="AD16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67">
        <f ca="1">IF(tblRoster[[#This Row],[직급발령시작일자]]="","",ROUND(YEARFRAC(tblRoster[[#This Row],[직급발령시작일자]],TODAY()),1))</f>
        <v>10.8</v>
      </c>
      <c r="AF16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67" t="str">
        <f ca="1">IF(OR(tblRoster[[#This Row],[공무원구분]]&lt;&gt;"공무원",tblRoster[[#This Row],[나이]]=""),"",YEAR(TODAY())+(60-tblRoster[[#This Row],[나이]]))</f>
        <v/>
      </c>
      <c r="AH167" t="str">
        <f>IF(tblRoster[[#This Row],[직위]]="","일반","보직자")</f>
        <v>일반</v>
      </c>
      <c r="AI16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7" t="str">
        <f ca="1">IF(tblRoster[[#This Row],[복직예정일]]="","",TEXT(tblRoster[[#This Row],[복직예정일]],"yyyy-mm"))</f>
        <v/>
      </c>
      <c r="AM167" t="str">
        <f ca="1">IF(tblRoster[[#This Row],[복직예정일]]="","",tblRoster[[#This Row],[복직예정일]]-TODAY())</f>
        <v/>
      </c>
      <c r="AN167" t="str">
        <f ca="1">IF(tblRoster[[#This Row],[휴직잔여일수]]="","",IF(tblRoster[[#This Row],[휴직잔여일수]]&lt;=180,"6개월내","6개월이후"))</f>
        <v/>
      </c>
      <c r="AO16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8" spans="1:41" x14ac:dyDescent="0.3">
      <c r="A168">
        <v>900166</v>
      </c>
      <c r="B168" t="s">
        <v>372</v>
      </c>
      <c r="C168" t="s">
        <v>8</v>
      </c>
      <c r="D168">
        <v>48</v>
      </c>
      <c r="E168" t="s">
        <v>150</v>
      </c>
      <c r="F168" t="s">
        <v>147</v>
      </c>
      <c r="G168" t="s">
        <v>197</v>
      </c>
      <c r="H168" t="s">
        <v>165</v>
      </c>
      <c r="I168" t="s">
        <v>144</v>
      </c>
      <c r="J168" t="s">
        <v>145</v>
      </c>
      <c r="L168" t="s">
        <v>134</v>
      </c>
      <c r="M168" t="s">
        <v>135</v>
      </c>
      <c r="N168" s="1">
        <v>40118</v>
      </c>
      <c r="O168" s="1">
        <v>46082</v>
      </c>
      <c r="P168" s="1">
        <v>46082</v>
      </c>
      <c r="Q168" s="1">
        <v>46082</v>
      </c>
      <c r="R168">
        <v>17</v>
      </c>
      <c r="T16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68" t="str">
        <f>IF(tblRoster[[#This Row],[급수]]="4급(임기제)","4급",tblRoster[[#This Row],[급수]])</f>
        <v>6급</v>
      </c>
      <c r="V16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6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68" t="str">
        <f>IF(OR(tblRoster[[#This Row],[교직원상세구분]]="사회복무요원",tblRoster[[#This Row],[교직원상세구분]]="인턴(수습)"),"제외","포함")</f>
        <v>포함</v>
      </c>
      <c r="Y168">
        <f>1</f>
        <v>1</v>
      </c>
      <c r="Z168">
        <f>IF(tblRoster[[#This Row],[재직상태구분]]="휴직",1,0)</f>
        <v>0</v>
      </c>
      <c r="AA16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68">
        <f ca="1">IF(tblRoster[[#This Row],[본교발령시작일자]]="","",DATEDIF(tblRoster[[#This Row],[본교발령시작일자]],TODAY(),"Y"))</f>
        <v>0</v>
      </c>
      <c r="AC168">
        <f ca="1">IF(tblRoster[[#This Row],[최초발령시작일자]]="","",DATEDIF(tblRoster[[#This Row],[최초발령시작일자]],TODAY(),"Y"))</f>
        <v>16</v>
      </c>
      <c r="AD16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68">
        <f ca="1">IF(tblRoster[[#This Row],[직급발령시작일자]]="","",ROUND(YEARFRAC(tblRoster[[#This Row],[직급발령시작일자]],TODAY()),1))</f>
        <v>0.5</v>
      </c>
      <c r="AF16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68">
        <f ca="1">IF(OR(tblRoster[[#This Row],[공무원구분]]&lt;&gt;"공무원",tblRoster[[#This Row],[나이]]=""),"",YEAR(TODAY())+(60-tblRoster[[#This Row],[나이]]))</f>
        <v>2038</v>
      </c>
      <c r="AH168" t="str">
        <f>IF(tblRoster[[#This Row],[직위]]="","일반","보직자")</f>
        <v>일반</v>
      </c>
      <c r="AI16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6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6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68" t="str">
        <f ca="1">IF(tblRoster[[#This Row],[복직예정일]]="","",TEXT(tblRoster[[#This Row],[복직예정일]],"yyyy-mm"))</f>
        <v/>
      </c>
      <c r="AM168" t="str">
        <f ca="1">IF(tblRoster[[#This Row],[복직예정일]]="","",tblRoster[[#This Row],[복직예정일]]-TODAY())</f>
        <v/>
      </c>
      <c r="AN168" t="str">
        <f ca="1">IF(tblRoster[[#This Row],[휴직잔여일수]]="","",IF(tblRoster[[#This Row],[휴직잔여일수]]&lt;=180,"6개월내","6개월이후"))</f>
        <v/>
      </c>
      <c r="AO16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69" spans="1:41" x14ac:dyDescent="0.3">
      <c r="A169">
        <v>900167</v>
      </c>
      <c r="B169" t="s">
        <v>43</v>
      </c>
      <c r="C169" t="s">
        <v>16</v>
      </c>
      <c r="D169">
        <v>33</v>
      </c>
      <c r="E169" t="s">
        <v>150</v>
      </c>
      <c r="F169" t="s">
        <v>184</v>
      </c>
      <c r="G169" t="s">
        <v>173</v>
      </c>
      <c r="H169" t="s">
        <v>238</v>
      </c>
      <c r="I169" t="s">
        <v>239</v>
      </c>
      <c r="J169" t="s">
        <v>133</v>
      </c>
      <c r="L169" t="s">
        <v>135</v>
      </c>
      <c r="M169" t="s">
        <v>135</v>
      </c>
      <c r="N169" s="1">
        <v>45901</v>
      </c>
      <c r="O169" s="1">
        <v>45901</v>
      </c>
      <c r="P169" s="1">
        <v>45901</v>
      </c>
      <c r="Q169" s="1">
        <v>45901</v>
      </c>
      <c r="R169">
        <v>3</v>
      </c>
      <c r="S169" t="s">
        <v>373</v>
      </c>
      <c r="T16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69" t="str">
        <f>IF(tblRoster[[#This Row],[급수]]="4급(임기제)","4급",tblRoster[[#This Row],[급수]])</f>
        <v>대학회계직</v>
      </c>
      <c r="V16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6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69" t="str">
        <f>IF(OR(tblRoster[[#This Row],[교직원상세구분]]="사회복무요원",tblRoster[[#This Row],[교직원상세구분]]="인턴(수습)"),"제외","포함")</f>
        <v>포함</v>
      </c>
      <c r="Y169">
        <f>1</f>
        <v>1</v>
      </c>
      <c r="Z169">
        <f>IF(tblRoster[[#This Row],[재직상태구분]]="휴직",1,0)</f>
        <v>1</v>
      </c>
      <c r="AA16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69">
        <f ca="1">IF(tblRoster[[#This Row],[본교발령시작일자]]="","",DATEDIF(tblRoster[[#This Row],[본교발령시작일자]],TODAY(),"Y"))</f>
        <v>1</v>
      </c>
      <c r="AC169">
        <f ca="1">IF(tblRoster[[#This Row],[최초발령시작일자]]="","",DATEDIF(tblRoster[[#This Row],[최초발령시작일자]],TODAY(),"Y"))</f>
        <v>1</v>
      </c>
      <c r="AD16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69">
        <f ca="1">IF(tblRoster[[#This Row],[직급발령시작일자]]="","",ROUND(YEARFRAC(tblRoster[[#This Row],[직급발령시작일자]],TODAY()),1))</f>
        <v>1</v>
      </c>
      <c r="AF16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69" t="str">
        <f ca="1">IF(OR(tblRoster[[#This Row],[공무원구분]]&lt;&gt;"공무원",tblRoster[[#This Row],[나이]]=""),"",YEAR(TODAY())+(60-tblRoster[[#This Row],[나이]]))</f>
        <v/>
      </c>
      <c r="AH169" t="str">
        <f>IF(tblRoster[[#This Row],[직위]]="","일반","보직자")</f>
        <v>일반</v>
      </c>
      <c r="AI169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46060</v>
      </c>
      <c r="AJ16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질병휴직(일반질병)</v>
      </c>
      <c r="AK169" s="1">
        <f ca="1">IF(tblRoster[[#This Row],[현재휴직시작일]]="","",IFERROR(INDEX(tblLeave[종료일],MATCH(tblRoster[[#This Row],[교직원번호]]&amp;"|"&amp;tblRoster[[#This Row],[현재휴직시작일]],tblLeave[매칭키],0)),""))</f>
        <v>46677</v>
      </c>
      <c r="AL169" t="str">
        <f ca="1">IF(tblRoster[[#This Row],[복직예정일]]="","",TEXT(tblRoster[[#This Row],[복직예정일]],"yyyy-mm"))</f>
        <v>2027-10</v>
      </c>
      <c r="AM169">
        <f ca="1">IF(tblRoster[[#This Row],[복직예정일]]="","",tblRoster[[#This Row],[복직예정일]]-TODAY())</f>
        <v>405</v>
      </c>
      <c r="AN169" t="str">
        <f ca="1">IF(tblRoster[[#This Row],[휴직잔여일수]]="","",IF(tblRoster[[#This Row],[휴직잔여일수]]&lt;=180,"6개월내","6개월이후"))</f>
        <v>6개월이후</v>
      </c>
      <c r="AO16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0" spans="1:41" x14ac:dyDescent="0.3">
      <c r="A170">
        <v>900168</v>
      </c>
      <c r="B170" t="s">
        <v>374</v>
      </c>
      <c r="C170" t="s">
        <v>8</v>
      </c>
      <c r="D170">
        <v>54</v>
      </c>
      <c r="E170" t="s">
        <v>150</v>
      </c>
      <c r="F170" t="s">
        <v>168</v>
      </c>
      <c r="G170" t="s">
        <v>155</v>
      </c>
      <c r="H170" t="s">
        <v>139</v>
      </c>
      <c r="I170" t="s">
        <v>132</v>
      </c>
      <c r="J170" t="s">
        <v>133</v>
      </c>
      <c r="L170" t="s">
        <v>134</v>
      </c>
      <c r="M170" t="s">
        <v>135</v>
      </c>
      <c r="N170" s="1">
        <v>40695</v>
      </c>
      <c r="O170" s="1">
        <v>40695</v>
      </c>
      <c r="P170" s="1">
        <v>43191</v>
      </c>
      <c r="Q170" s="1">
        <v>43191</v>
      </c>
      <c r="R170">
        <v>18</v>
      </c>
      <c r="T17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70" t="str">
        <f>IF(tblRoster[[#This Row],[급수]]="4급(임기제)","4급",tblRoster[[#This Row],[급수]])</f>
        <v>대학회계계약직</v>
      </c>
      <c r="V17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7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70" t="str">
        <f>IF(OR(tblRoster[[#This Row],[교직원상세구분]]="사회복무요원",tblRoster[[#This Row],[교직원상세구분]]="인턴(수습)"),"제외","포함")</f>
        <v>포함</v>
      </c>
      <c r="Y170">
        <f>1</f>
        <v>1</v>
      </c>
      <c r="Z170">
        <f>IF(tblRoster[[#This Row],[재직상태구분]]="휴직",1,0)</f>
        <v>0</v>
      </c>
      <c r="AA17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70">
        <f ca="1">IF(tblRoster[[#This Row],[본교발령시작일자]]="","",DATEDIF(tblRoster[[#This Row],[본교발령시작일자]],TODAY(),"Y"))</f>
        <v>15</v>
      </c>
      <c r="AC170">
        <f ca="1">IF(tblRoster[[#This Row],[최초발령시작일자]]="","",DATEDIF(tblRoster[[#This Row],[최초발령시작일자]],TODAY(),"Y"))</f>
        <v>15</v>
      </c>
      <c r="AD17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70">
        <f ca="1">IF(tblRoster[[#This Row],[직급발령시작일자]]="","",ROUND(YEARFRAC(tblRoster[[#This Row],[직급발령시작일자]],TODAY()),1))</f>
        <v>8.4</v>
      </c>
      <c r="AF17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70" t="str">
        <f ca="1">IF(OR(tblRoster[[#This Row],[공무원구분]]&lt;&gt;"공무원",tblRoster[[#This Row],[나이]]=""),"",YEAR(TODAY())+(60-tblRoster[[#This Row],[나이]]))</f>
        <v/>
      </c>
      <c r="AH170" t="str">
        <f>IF(tblRoster[[#This Row],[직위]]="","일반","보직자")</f>
        <v>일반</v>
      </c>
      <c r="AI17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0" t="str">
        <f ca="1">IF(tblRoster[[#This Row],[복직예정일]]="","",TEXT(tblRoster[[#This Row],[복직예정일]],"yyyy-mm"))</f>
        <v/>
      </c>
      <c r="AM170" t="str">
        <f ca="1">IF(tblRoster[[#This Row],[복직예정일]]="","",tblRoster[[#This Row],[복직예정일]]-TODAY())</f>
        <v/>
      </c>
      <c r="AN170" t="str">
        <f ca="1">IF(tblRoster[[#This Row],[휴직잔여일수]]="","",IF(tblRoster[[#This Row],[휴직잔여일수]]&lt;=180,"6개월내","6개월이후"))</f>
        <v/>
      </c>
      <c r="AO17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1" spans="1:41" x14ac:dyDescent="0.3">
      <c r="A171">
        <v>900169</v>
      </c>
      <c r="B171" t="s">
        <v>375</v>
      </c>
      <c r="C171" t="s">
        <v>8</v>
      </c>
      <c r="D171">
        <v>24</v>
      </c>
      <c r="E171" t="s">
        <v>128</v>
      </c>
      <c r="F171" t="s">
        <v>137</v>
      </c>
      <c r="G171" t="s">
        <v>142</v>
      </c>
      <c r="H171" t="s">
        <v>148</v>
      </c>
      <c r="I171" t="s">
        <v>132</v>
      </c>
      <c r="J171" t="s">
        <v>133</v>
      </c>
      <c r="L171" t="s">
        <v>135</v>
      </c>
      <c r="M171" t="s">
        <v>135</v>
      </c>
      <c r="N171" s="1">
        <v>45413</v>
      </c>
      <c r="O171" s="1">
        <v>45413</v>
      </c>
      <c r="P171" s="1">
        <v>45413</v>
      </c>
      <c r="Q171" s="1">
        <v>45413</v>
      </c>
      <c r="R171">
        <v>3</v>
      </c>
      <c r="T17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71" t="str">
        <f>IF(tblRoster[[#This Row],[급수]]="4급(임기제)","4급",tblRoster[[#This Row],[급수]])</f>
        <v>대학회계계약직</v>
      </c>
      <c r="V17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7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71" t="str">
        <f>IF(OR(tblRoster[[#This Row],[교직원상세구분]]="사회복무요원",tblRoster[[#This Row],[교직원상세구분]]="인턴(수습)"),"제외","포함")</f>
        <v>포함</v>
      </c>
      <c r="Y171">
        <f>1</f>
        <v>1</v>
      </c>
      <c r="Z171">
        <f>IF(tblRoster[[#This Row],[재직상태구분]]="휴직",1,0)</f>
        <v>0</v>
      </c>
      <c r="AA17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71">
        <f ca="1">IF(tblRoster[[#This Row],[본교발령시작일자]]="","",DATEDIF(tblRoster[[#This Row],[본교발령시작일자]],TODAY(),"Y"))</f>
        <v>2</v>
      </c>
      <c r="AC171">
        <f ca="1">IF(tblRoster[[#This Row],[최초발령시작일자]]="","",DATEDIF(tblRoster[[#This Row],[최초발령시작일자]],TODAY(),"Y"))</f>
        <v>2</v>
      </c>
      <c r="AD17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71">
        <f ca="1">IF(tblRoster[[#This Row],[직급발령시작일자]]="","",ROUND(YEARFRAC(tblRoster[[#This Row],[직급발령시작일자]],TODAY()),1))</f>
        <v>2.4</v>
      </c>
      <c r="AF17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71" t="str">
        <f ca="1">IF(OR(tblRoster[[#This Row],[공무원구분]]&lt;&gt;"공무원",tblRoster[[#This Row],[나이]]=""),"",YEAR(TODAY())+(60-tblRoster[[#This Row],[나이]]))</f>
        <v/>
      </c>
      <c r="AH171" t="str">
        <f>IF(tblRoster[[#This Row],[직위]]="","일반","보직자")</f>
        <v>일반</v>
      </c>
      <c r="AI17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1" t="str">
        <f ca="1">IF(tblRoster[[#This Row],[복직예정일]]="","",TEXT(tblRoster[[#This Row],[복직예정일]],"yyyy-mm"))</f>
        <v/>
      </c>
      <c r="AM171" t="str">
        <f ca="1">IF(tblRoster[[#This Row],[복직예정일]]="","",tblRoster[[#This Row],[복직예정일]]-TODAY())</f>
        <v/>
      </c>
      <c r="AN171" t="str">
        <f ca="1">IF(tblRoster[[#This Row],[휴직잔여일수]]="","",IF(tblRoster[[#This Row],[휴직잔여일수]]&lt;=180,"6개월내","6개월이후"))</f>
        <v/>
      </c>
      <c r="AO17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2" spans="1:41" x14ac:dyDescent="0.3">
      <c r="A172">
        <v>900170</v>
      </c>
      <c r="B172" t="s">
        <v>376</v>
      </c>
      <c r="C172" t="s">
        <v>8</v>
      </c>
      <c r="D172">
        <v>58</v>
      </c>
      <c r="E172" t="s">
        <v>150</v>
      </c>
      <c r="F172" t="s">
        <v>158</v>
      </c>
      <c r="G172" t="s">
        <v>142</v>
      </c>
      <c r="H172" t="s">
        <v>230</v>
      </c>
      <c r="I172" t="s">
        <v>144</v>
      </c>
      <c r="J172" t="s">
        <v>145</v>
      </c>
      <c r="L172" t="s">
        <v>135</v>
      </c>
      <c r="M172" t="s">
        <v>135</v>
      </c>
      <c r="N172" s="1">
        <v>40969</v>
      </c>
      <c r="O172" s="1">
        <v>44896</v>
      </c>
      <c r="P172" s="1">
        <v>45536</v>
      </c>
      <c r="Q172" s="1">
        <v>45536</v>
      </c>
      <c r="R172">
        <v>14</v>
      </c>
      <c r="T17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72" t="str">
        <f>IF(tblRoster[[#This Row],[급수]]="4급(임기제)","4급",tblRoster[[#This Row],[급수]])</f>
        <v>6급</v>
      </c>
      <c r="V17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7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72" t="str">
        <f>IF(OR(tblRoster[[#This Row],[교직원상세구분]]="사회복무요원",tblRoster[[#This Row],[교직원상세구분]]="인턴(수습)"),"제외","포함")</f>
        <v>포함</v>
      </c>
      <c r="Y172">
        <f>1</f>
        <v>1</v>
      </c>
      <c r="Z172">
        <f>IF(tblRoster[[#This Row],[재직상태구분]]="휴직",1,0)</f>
        <v>0</v>
      </c>
      <c r="AA17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72">
        <f ca="1">IF(tblRoster[[#This Row],[본교발령시작일자]]="","",DATEDIF(tblRoster[[#This Row],[본교발령시작일자]],TODAY(),"Y"))</f>
        <v>3</v>
      </c>
      <c r="AC172">
        <f ca="1">IF(tblRoster[[#This Row],[최초발령시작일자]]="","",DATEDIF(tblRoster[[#This Row],[최초발령시작일자]],TODAY(),"Y"))</f>
        <v>14</v>
      </c>
      <c r="AD17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72">
        <f ca="1">IF(tblRoster[[#This Row],[직급발령시작일자]]="","",ROUND(YEARFRAC(tblRoster[[#This Row],[직급발령시작일자]],TODAY()),1))</f>
        <v>2</v>
      </c>
      <c r="AF17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72">
        <f ca="1">IF(OR(tblRoster[[#This Row],[공무원구분]]&lt;&gt;"공무원",tblRoster[[#This Row],[나이]]=""),"",YEAR(TODAY())+(60-tblRoster[[#This Row],[나이]]))</f>
        <v>2028</v>
      </c>
      <c r="AH172" t="str">
        <f>IF(tblRoster[[#This Row],[직위]]="","일반","보직자")</f>
        <v>일반</v>
      </c>
      <c r="AI17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2" t="str">
        <f ca="1">IF(tblRoster[[#This Row],[복직예정일]]="","",TEXT(tblRoster[[#This Row],[복직예정일]],"yyyy-mm"))</f>
        <v/>
      </c>
      <c r="AM172" t="str">
        <f ca="1">IF(tblRoster[[#This Row],[복직예정일]]="","",tblRoster[[#This Row],[복직예정일]]-TODAY())</f>
        <v/>
      </c>
      <c r="AN172" t="str">
        <f ca="1">IF(tblRoster[[#This Row],[휴직잔여일수]]="","",IF(tblRoster[[#This Row],[휴직잔여일수]]&lt;=180,"6개월내","6개월이후"))</f>
        <v/>
      </c>
      <c r="AO17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3" spans="1:41" x14ac:dyDescent="0.3">
      <c r="A173">
        <v>900171</v>
      </c>
      <c r="B173" t="s">
        <v>377</v>
      </c>
      <c r="C173" t="s">
        <v>8</v>
      </c>
      <c r="D173">
        <v>45</v>
      </c>
      <c r="E173" t="s">
        <v>128</v>
      </c>
      <c r="F173" t="s">
        <v>168</v>
      </c>
      <c r="G173" t="s">
        <v>155</v>
      </c>
      <c r="H173" t="s">
        <v>148</v>
      </c>
      <c r="I173" t="s">
        <v>132</v>
      </c>
      <c r="J173" t="s">
        <v>133</v>
      </c>
      <c r="L173" t="s">
        <v>135</v>
      </c>
      <c r="M173" t="s">
        <v>135</v>
      </c>
      <c r="N173" s="1">
        <v>42887</v>
      </c>
      <c r="O173" s="1">
        <v>42887</v>
      </c>
      <c r="P173" s="1">
        <v>43617</v>
      </c>
      <c r="Q173" s="1">
        <v>43617</v>
      </c>
      <c r="R173">
        <v>12</v>
      </c>
      <c r="T17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73" t="str">
        <f>IF(tblRoster[[#This Row],[급수]]="4급(임기제)","4급",tblRoster[[#This Row],[급수]])</f>
        <v>대학회계계약직</v>
      </c>
      <c r="V17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7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73" t="str">
        <f>IF(OR(tblRoster[[#This Row],[교직원상세구분]]="사회복무요원",tblRoster[[#This Row],[교직원상세구분]]="인턴(수습)"),"제외","포함")</f>
        <v>포함</v>
      </c>
      <c r="Y173">
        <f>1</f>
        <v>1</v>
      </c>
      <c r="Z173">
        <f>IF(tblRoster[[#This Row],[재직상태구분]]="휴직",1,0)</f>
        <v>0</v>
      </c>
      <c r="AA17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73">
        <f ca="1">IF(tblRoster[[#This Row],[본교발령시작일자]]="","",DATEDIF(tblRoster[[#This Row],[본교발령시작일자]],TODAY(),"Y"))</f>
        <v>9</v>
      </c>
      <c r="AC173">
        <f ca="1">IF(tblRoster[[#This Row],[최초발령시작일자]]="","",DATEDIF(tblRoster[[#This Row],[최초발령시작일자]],TODAY(),"Y"))</f>
        <v>9</v>
      </c>
      <c r="AD17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73">
        <f ca="1">IF(tblRoster[[#This Row],[직급발령시작일자]]="","",ROUND(YEARFRAC(tblRoster[[#This Row],[직급발령시작일자]],TODAY()),1))</f>
        <v>7.3</v>
      </c>
      <c r="AF17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73" t="str">
        <f ca="1">IF(OR(tblRoster[[#This Row],[공무원구분]]&lt;&gt;"공무원",tblRoster[[#This Row],[나이]]=""),"",YEAR(TODAY())+(60-tblRoster[[#This Row],[나이]]))</f>
        <v/>
      </c>
      <c r="AH173" t="str">
        <f>IF(tblRoster[[#This Row],[직위]]="","일반","보직자")</f>
        <v>일반</v>
      </c>
      <c r="AI17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3" t="str">
        <f ca="1">IF(tblRoster[[#This Row],[복직예정일]]="","",TEXT(tblRoster[[#This Row],[복직예정일]],"yyyy-mm"))</f>
        <v/>
      </c>
      <c r="AM173" t="str">
        <f ca="1">IF(tblRoster[[#This Row],[복직예정일]]="","",tblRoster[[#This Row],[복직예정일]]-TODAY())</f>
        <v/>
      </c>
      <c r="AN173" t="str">
        <f ca="1">IF(tblRoster[[#This Row],[휴직잔여일수]]="","",IF(tblRoster[[#This Row],[휴직잔여일수]]&lt;=180,"6개월내","6개월이후"))</f>
        <v/>
      </c>
      <c r="AO17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4" spans="1:41" x14ac:dyDescent="0.3">
      <c r="A174">
        <v>900172</v>
      </c>
      <c r="B174" t="s">
        <v>378</v>
      </c>
      <c r="C174" t="s">
        <v>8</v>
      </c>
      <c r="D174">
        <v>48</v>
      </c>
      <c r="E174" t="s">
        <v>150</v>
      </c>
      <c r="F174" t="s">
        <v>168</v>
      </c>
      <c r="G174" t="s">
        <v>182</v>
      </c>
      <c r="H174" t="s">
        <v>163</v>
      </c>
      <c r="I174" t="s">
        <v>144</v>
      </c>
      <c r="J174" t="s">
        <v>145</v>
      </c>
      <c r="L174" t="s">
        <v>134</v>
      </c>
      <c r="M174" t="s">
        <v>135</v>
      </c>
      <c r="N174" s="1">
        <v>36586</v>
      </c>
      <c r="O174" s="1">
        <v>46296</v>
      </c>
      <c r="P174" s="1">
        <v>46296</v>
      </c>
      <c r="Q174" s="1">
        <v>46296</v>
      </c>
      <c r="R174">
        <v>27</v>
      </c>
      <c r="T17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74" t="str">
        <f>IF(tblRoster[[#This Row],[급수]]="4급(임기제)","4급",tblRoster[[#This Row],[급수]])</f>
        <v>6급</v>
      </c>
      <c r="V17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7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74" t="str">
        <f>IF(OR(tblRoster[[#This Row],[교직원상세구분]]="사회복무요원",tblRoster[[#This Row],[교직원상세구분]]="인턴(수습)"),"제외","포함")</f>
        <v>포함</v>
      </c>
      <c r="Y174">
        <f>1</f>
        <v>1</v>
      </c>
      <c r="Z174">
        <f>IF(tblRoster[[#This Row],[재직상태구분]]="휴직",1,0)</f>
        <v>0</v>
      </c>
      <c r="AA17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74" t="e">
        <f ca="1">IF(tblRoster[[#This Row],[본교발령시작일자]]="","",DATEDIF(tblRoster[[#This Row],[본교발령시작일자]],TODAY(),"Y"))</f>
        <v>#NUM!</v>
      </c>
      <c r="AC174">
        <f ca="1">IF(tblRoster[[#This Row],[최초발령시작일자]]="","",DATEDIF(tblRoster[[#This Row],[최초발령시작일자]],TODAY(),"Y"))</f>
        <v>26</v>
      </c>
      <c r="AD17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74">
        <f ca="1">IF(tblRoster[[#This Row],[직급발령시작일자]]="","",ROUND(YEARFRAC(tblRoster[[#This Row],[직급발령시작일자]],TODAY()),1))</f>
        <v>0.1</v>
      </c>
      <c r="AF17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74">
        <f ca="1">IF(OR(tblRoster[[#This Row],[공무원구분]]&lt;&gt;"공무원",tblRoster[[#This Row],[나이]]=""),"",YEAR(TODAY())+(60-tblRoster[[#This Row],[나이]]))</f>
        <v>2038</v>
      </c>
      <c r="AH174" t="str">
        <f>IF(tblRoster[[#This Row],[직위]]="","일반","보직자")</f>
        <v>일반</v>
      </c>
      <c r="AI17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4" t="str">
        <f ca="1">IF(tblRoster[[#This Row],[복직예정일]]="","",TEXT(tblRoster[[#This Row],[복직예정일]],"yyyy-mm"))</f>
        <v/>
      </c>
      <c r="AM174" t="str">
        <f ca="1">IF(tblRoster[[#This Row],[복직예정일]]="","",tblRoster[[#This Row],[복직예정일]]-TODAY())</f>
        <v/>
      </c>
      <c r="AN174" t="str">
        <f ca="1">IF(tblRoster[[#This Row],[휴직잔여일수]]="","",IF(tblRoster[[#This Row],[휴직잔여일수]]&lt;=180,"6개월내","6개월이후"))</f>
        <v/>
      </c>
      <c r="AO17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5" spans="1:41" x14ac:dyDescent="0.3">
      <c r="A175">
        <v>900173</v>
      </c>
      <c r="B175" t="s">
        <v>45</v>
      </c>
      <c r="C175" t="s">
        <v>8</v>
      </c>
      <c r="D175">
        <v>48</v>
      </c>
      <c r="E175" t="s">
        <v>128</v>
      </c>
      <c r="F175" t="s">
        <v>168</v>
      </c>
      <c r="G175" t="s">
        <v>185</v>
      </c>
      <c r="H175" t="s">
        <v>252</v>
      </c>
      <c r="I175" t="s">
        <v>132</v>
      </c>
      <c r="J175" t="s">
        <v>133</v>
      </c>
      <c r="L175" t="s">
        <v>134</v>
      </c>
      <c r="M175" t="s">
        <v>135</v>
      </c>
      <c r="N175" s="1">
        <v>41791</v>
      </c>
      <c r="O175" s="1">
        <v>41791</v>
      </c>
      <c r="P175" s="1">
        <v>41791</v>
      </c>
      <c r="Q175" s="1">
        <v>41791</v>
      </c>
      <c r="R175">
        <v>13</v>
      </c>
      <c r="S175" t="s">
        <v>379</v>
      </c>
      <c r="T17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75" t="str">
        <f>IF(tblRoster[[#This Row],[급수]]="4급(임기제)","4급",tblRoster[[#This Row],[급수]])</f>
        <v>대학회계계약직</v>
      </c>
      <c r="V17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7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75" t="str">
        <f>IF(OR(tblRoster[[#This Row],[교직원상세구분]]="사회복무요원",tblRoster[[#This Row],[교직원상세구분]]="인턴(수습)"),"제외","포함")</f>
        <v>포함</v>
      </c>
      <c r="Y175">
        <f>1</f>
        <v>1</v>
      </c>
      <c r="Z175">
        <f>IF(tblRoster[[#This Row],[재직상태구분]]="휴직",1,0)</f>
        <v>0</v>
      </c>
      <c r="AA17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75">
        <f ca="1">IF(tblRoster[[#This Row],[본교발령시작일자]]="","",DATEDIF(tblRoster[[#This Row],[본교발령시작일자]],TODAY(),"Y"))</f>
        <v>12</v>
      </c>
      <c r="AC175">
        <f ca="1">IF(tblRoster[[#This Row],[최초발령시작일자]]="","",DATEDIF(tblRoster[[#This Row],[최초발령시작일자]],TODAY(),"Y"))</f>
        <v>12</v>
      </c>
      <c r="AD17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75">
        <f ca="1">IF(tblRoster[[#This Row],[직급발령시작일자]]="","",ROUND(YEARFRAC(tblRoster[[#This Row],[직급발령시작일자]],TODAY()),1))</f>
        <v>12.3</v>
      </c>
      <c r="AF17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75" t="str">
        <f ca="1">IF(OR(tblRoster[[#This Row],[공무원구분]]&lt;&gt;"공무원",tblRoster[[#This Row],[나이]]=""),"",YEAR(TODAY())+(60-tblRoster[[#This Row],[나이]]))</f>
        <v/>
      </c>
      <c r="AH175" t="str">
        <f>IF(tblRoster[[#This Row],[직위]]="","일반","보직자")</f>
        <v>일반</v>
      </c>
      <c r="AI17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5" t="str">
        <f ca="1">IF(tblRoster[[#This Row],[복직예정일]]="","",TEXT(tblRoster[[#This Row],[복직예정일]],"yyyy-mm"))</f>
        <v/>
      </c>
      <c r="AM175" t="str">
        <f ca="1">IF(tblRoster[[#This Row],[복직예정일]]="","",tblRoster[[#This Row],[복직예정일]]-TODAY())</f>
        <v/>
      </c>
      <c r="AN175" t="str">
        <f ca="1">IF(tblRoster[[#This Row],[휴직잔여일수]]="","",IF(tblRoster[[#This Row],[휴직잔여일수]]&lt;=180,"6개월내","6개월이후"))</f>
        <v/>
      </c>
      <c r="AO17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6" spans="1:41" x14ac:dyDescent="0.3">
      <c r="A176">
        <v>900174</v>
      </c>
      <c r="B176" t="s">
        <v>380</v>
      </c>
      <c r="C176" t="s">
        <v>8</v>
      </c>
      <c r="D176">
        <v>39</v>
      </c>
      <c r="E176" t="s">
        <v>150</v>
      </c>
      <c r="F176" t="s">
        <v>246</v>
      </c>
      <c r="G176" t="s">
        <v>130</v>
      </c>
      <c r="H176" t="s">
        <v>381</v>
      </c>
      <c r="I176" t="s">
        <v>144</v>
      </c>
      <c r="J176" t="s">
        <v>145</v>
      </c>
      <c r="L176" t="s">
        <v>134</v>
      </c>
      <c r="M176" t="s">
        <v>135</v>
      </c>
      <c r="N176" s="1">
        <v>43040</v>
      </c>
      <c r="O176" s="1">
        <v>45839</v>
      </c>
      <c r="P176" s="1">
        <v>45839</v>
      </c>
      <c r="Q176" s="1">
        <v>45839</v>
      </c>
      <c r="R176">
        <v>11</v>
      </c>
      <c r="T17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76" t="str">
        <f>IF(tblRoster[[#This Row],[급수]]="4급(임기제)","4급",tblRoster[[#This Row],[급수]])</f>
        <v>7급</v>
      </c>
      <c r="V17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7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76" t="str">
        <f>IF(OR(tblRoster[[#This Row],[교직원상세구분]]="사회복무요원",tblRoster[[#This Row],[교직원상세구분]]="인턴(수습)"),"제외","포함")</f>
        <v>포함</v>
      </c>
      <c r="Y176">
        <f>1</f>
        <v>1</v>
      </c>
      <c r="Z176">
        <f>IF(tblRoster[[#This Row],[재직상태구분]]="휴직",1,0)</f>
        <v>0</v>
      </c>
      <c r="AA17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76">
        <f ca="1">IF(tblRoster[[#This Row],[본교발령시작일자]]="","",DATEDIF(tblRoster[[#This Row],[본교발령시작일자]],TODAY(),"Y"))</f>
        <v>1</v>
      </c>
      <c r="AC176">
        <f ca="1">IF(tblRoster[[#This Row],[최초발령시작일자]]="","",DATEDIF(tblRoster[[#This Row],[최초발령시작일자]],TODAY(),"Y"))</f>
        <v>8</v>
      </c>
      <c r="AD17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76">
        <f ca="1">IF(tblRoster[[#This Row],[직급발령시작일자]]="","",ROUND(YEARFRAC(tblRoster[[#This Row],[직급발령시작일자]],TODAY()),1))</f>
        <v>1.2</v>
      </c>
      <c r="AF17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76">
        <f ca="1">IF(OR(tblRoster[[#This Row],[공무원구분]]&lt;&gt;"공무원",tblRoster[[#This Row],[나이]]=""),"",YEAR(TODAY())+(60-tblRoster[[#This Row],[나이]]))</f>
        <v>2047</v>
      </c>
      <c r="AH176" t="str">
        <f>IF(tblRoster[[#This Row],[직위]]="","일반","보직자")</f>
        <v>일반</v>
      </c>
      <c r="AI17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6" t="str">
        <f ca="1">IF(tblRoster[[#This Row],[복직예정일]]="","",TEXT(tblRoster[[#This Row],[복직예정일]],"yyyy-mm"))</f>
        <v/>
      </c>
      <c r="AM176" t="str">
        <f ca="1">IF(tblRoster[[#This Row],[복직예정일]]="","",tblRoster[[#This Row],[복직예정일]]-TODAY())</f>
        <v/>
      </c>
      <c r="AN176" t="str">
        <f ca="1">IF(tblRoster[[#This Row],[휴직잔여일수]]="","",IF(tblRoster[[#This Row],[휴직잔여일수]]&lt;=180,"6개월내","6개월이후"))</f>
        <v/>
      </c>
      <c r="AO17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7" spans="1:41" x14ac:dyDescent="0.3">
      <c r="A177">
        <v>900175</v>
      </c>
      <c r="B177" t="s">
        <v>382</v>
      </c>
      <c r="C177" t="s">
        <v>8</v>
      </c>
      <c r="D177">
        <v>47</v>
      </c>
      <c r="E177" t="s">
        <v>128</v>
      </c>
      <c r="F177" t="s">
        <v>168</v>
      </c>
      <c r="G177" t="s">
        <v>211</v>
      </c>
      <c r="H177" t="s">
        <v>165</v>
      </c>
      <c r="I177" t="s">
        <v>144</v>
      </c>
      <c r="J177" t="s">
        <v>145</v>
      </c>
      <c r="L177" t="s">
        <v>134</v>
      </c>
      <c r="M177" t="s">
        <v>135</v>
      </c>
      <c r="N177" s="1">
        <v>37591</v>
      </c>
      <c r="O177" s="1">
        <v>37591</v>
      </c>
      <c r="P177" s="1">
        <v>45809</v>
      </c>
      <c r="Q177" s="1">
        <v>45809</v>
      </c>
      <c r="R177">
        <v>26</v>
      </c>
      <c r="T17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77" t="str">
        <f>IF(tblRoster[[#This Row],[급수]]="4급(임기제)","4급",tblRoster[[#This Row],[급수]])</f>
        <v>6급</v>
      </c>
      <c r="V17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7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77" t="str">
        <f>IF(OR(tblRoster[[#This Row],[교직원상세구분]]="사회복무요원",tblRoster[[#This Row],[교직원상세구분]]="인턴(수습)"),"제외","포함")</f>
        <v>포함</v>
      </c>
      <c r="Y177">
        <f>1</f>
        <v>1</v>
      </c>
      <c r="Z177">
        <f>IF(tblRoster[[#This Row],[재직상태구분]]="휴직",1,0)</f>
        <v>0</v>
      </c>
      <c r="AA17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77">
        <f ca="1">IF(tblRoster[[#This Row],[본교발령시작일자]]="","",DATEDIF(tblRoster[[#This Row],[본교발령시작일자]],TODAY(),"Y"))</f>
        <v>23</v>
      </c>
      <c r="AC177">
        <f ca="1">IF(tblRoster[[#This Row],[최초발령시작일자]]="","",DATEDIF(tblRoster[[#This Row],[최초발령시작일자]],TODAY(),"Y"))</f>
        <v>23</v>
      </c>
      <c r="AD17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77">
        <f ca="1">IF(tblRoster[[#This Row],[직급발령시작일자]]="","",ROUND(YEARFRAC(tblRoster[[#This Row],[직급발령시작일자]],TODAY()),1))</f>
        <v>1.3</v>
      </c>
      <c r="AF17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77">
        <f ca="1">IF(OR(tblRoster[[#This Row],[공무원구분]]&lt;&gt;"공무원",tblRoster[[#This Row],[나이]]=""),"",YEAR(TODAY())+(60-tblRoster[[#This Row],[나이]]))</f>
        <v>2039</v>
      </c>
      <c r="AH177" t="str">
        <f>IF(tblRoster[[#This Row],[직위]]="","일반","보직자")</f>
        <v>일반</v>
      </c>
      <c r="AI17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7" t="str">
        <f ca="1">IF(tblRoster[[#This Row],[복직예정일]]="","",TEXT(tblRoster[[#This Row],[복직예정일]],"yyyy-mm"))</f>
        <v/>
      </c>
      <c r="AM177" t="str">
        <f ca="1">IF(tblRoster[[#This Row],[복직예정일]]="","",tblRoster[[#This Row],[복직예정일]]-TODAY())</f>
        <v/>
      </c>
      <c r="AN177" t="str">
        <f ca="1">IF(tblRoster[[#This Row],[휴직잔여일수]]="","",IF(tblRoster[[#This Row],[휴직잔여일수]]&lt;=180,"6개월내","6개월이후"))</f>
        <v/>
      </c>
      <c r="AO17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8" spans="1:41" x14ac:dyDescent="0.3">
      <c r="A178">
        <v>900176</v>
      </c>
      <c r="B178" t="s">
        <v>383</v>
      </c>
      <c r="C178" t="s">
        <v>8</v>
      </c>
      <c r="D178">
        <v>54</v>
      </c>
      <c r="E178" t="s">
        <v>150</v>
      </c>
      <c r="F178" t="s">
        <v>162</v>
      </c>
      <c r="G178" t="s">
        <v>207</v>
      </c>
      <c r="H178" t="s">
        <v>384</v>
      </c>
      <c r="I178" t="s">
        <v>132</v>
      </c>
      <c r="J178" t="s">
        <v>133</v>
      </c>
      <c r="L178" t="s">
        <v>134</v>
      </c>
      <c r="M178" t="s">
        <v>135</v>
      </c>
      <c r="N178" s="1">
        <v>38777</v>
      </c>
      <c r="O178" s="1">
        <v>38777</v>
      </c>
      <c r="P178" s="1">
        <v>44075</v>
      </c>
      <c r="Q178" s="1">
        <v>44075</v>
      </c>
      <c r="R178">
        <v>23</v>
      </c>
      <c r="T17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78" t="str">
        <f>IF(tblRoster[[#This Row],[급수]]="4급(임기제)","4급",tblRoster[[#This Row],[급수]])</f>
        <v>대학회계계약직</v>
      </c>
      <c r="V17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7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78" t="str">
        <f>IF(OR(tblRoster[[#This Row],[교직원상세구분]]="사회복무요원",tblRoster[[#This Row],[교직원상세구분]]="인턴(수습)"),"제외","포함")</f>
        <v>포함</v>
      </c>
      <c r="Y178">
        <f>1</f>
        <v>1</v>
      </c>
      <c r="Z178">
        <f>IF(tblRoster[[#This Row],[재직상태구분]]="휴직",1,0)</f>
        <v>0</v>
      </c>
      <c r="AA17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78">
        <f ca="1">IF(tblRoster[[#This Row],[본교발령시작일자]]="","",DATEDIF(tblRoster[[#This Row],[본교발령시작일자]],TODAY(),"Y"))</f>
        <v>20</v>
      </c>
      <c r="AC178">
        <f ca="1">IF(tblRoster[[#This Row],[최초발령시작일자]]="","",DATEDIF(tblRoster[[#This Row],[최초발령시작일자]],TODAY(),"Y"))</f>
        <v>20</v>
      </c>
      <c r="AD17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78">
        <f ca="1">IF(tblRoster[[#This Row],[직급발령시작일자]]="","",ROUND(YEARFRAC(tblRoster[[#This Row],[직급발령시작일자]],TODAY()),1))</f>
        <v>6</v>
      </c>
      <c r="AF17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78" t="str">
        <f ca="1">IF(OR(tblRoster[[#This Row],[공무원구분]]&lt;&gt;"공무원",tblRoster[[#This Row],[나이]]=""),"",YEAR(TODAY())+(60-tblRoster[[#This Row],[나이]]))</f>
        <v/>
      </c>
      <c r="AH178" t="str">
        <f>IF(tblRoster[[#This Row],[직위]]="","일반","보직자")</f>
        <v>일반</v>
      </c>
      <c r="AI17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8" t="str">
        <f ca="1">IF(tblRoster[[#This Row],[복직예정일]]="","",TEXT(tblRoster[[#This Row],[복직예정일]],"yyyy-mm"))</f>
        <v/>
      </c>
      <c r="AM178" t="str">
        <f ca="1">IF(tblRoster[[#This Row],[복직예정일]]="","",tblRoster[[#This Row],[복직예정일]]-TODAY())</f>
        <v/>
      </c>
      <c r="AN178" t="str">
        <f ca="1">IF(tblRoster[[#This Row],[휴직잔여일수]]="","",IF(tblRoster[[#This Row],[휴직잔여일수]]&lt;=180,"6개월내","6개월이후"))</f>
        <v/>
      </c>
      <c r="AO17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79" spans="1:41" x14ac:dyDescent="0.3">
      <c r="A179">
        <v>900177</v>
      </c>
      <c r="B179" t="s">
        <v>385</v>
      </c>
      <c r="C179" t="s">
        <v>8</v>
      </c>
      <c r="D179">
        <v>46</v>
      </c>
      <c r="E179" t="s">
        <v>128</v>
      </c>
      <c r="F179" t="s">
        <v>184</v>
      </c>
      <c r="G179" t="s">
        <v>138</v>
      </c>
      <c r="H179" t="s">
        <v>180</v>
      </c>
      <c r="I179" t="s">
        <v>144</v>
      </c>
      <c r="J179" t="s">
        <v>145</v>
      </c>
      <c r="L179" t="s">
        <v>134</v>
      </c>
      <c r="M179" t="s">
        <v>135</v>
      </c>
      <c r="N179" s="1">
        <v>45047</v>
      </c>
      <c r="O179" s="1">
        <v>45047</v>
      </c>
      <c r="P179" s="1">
        <v>45047</v>
      </c>
      <c r="Q179" s="1">
        <v>45047</v>
      </c>
      <c r="R179">
        <v>4</v>
      </c>
      <c r="T17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79" t="str">
        <f>IF(tblRoster[[#This Row],[급수]]="4급(임기제)","4급",tblRoster[[#This Row],[급수]])</f>
        <v>7급</v>
      </c>
      <c r="V17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7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79" t="str">
        <f>IF(OR(tblRoster[[#This Row],[교직원상세구분]]="사회복무요원",tblRoster[[#This Row],[교직원상세구분]]="인턴(수습)"),"제외","포함")</f>
        <v>포함</v>
      </c>
      <c r="Y179">
        <f>1</f>
        <v>1</v>
      </c>
      <c r="Z179">
        <f>IF(tblRoster[[#This Row],[재직상태구분]]="휴직",1,0)</f>
        <v>0</v>
      </c>
      <c r="AA17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79">
        <f ca="1">IF(tblRoster[[#This Row],[본교발령시작일자]]="","",DATEDIF(tblRoster[[#This Row],[본교발령시작일자]],TODAY(),"Y"))</f>
        <v>3</v>
      </c>
      <c r="AC179">
        <f ca="1">IF(tblRoster[[#This Row],[최초발령시작일자]]="","",DATEDIF(tblRoster[[#This Row],[최초발령시작일자]],TODAY(),"Y"))</f>
        <v>3</v>
      </c>
      <c r="AD17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79">
        <f ca="1">IF(tblRoster[[#This Row],[직급발령시작일자]]="","",ROUND(YEARFRAC(tblRoster[[#This Row],[직급발령시작일자]],TODAY()),1))</f>
        <v>3.4</v>
      </c>
      <c r="AF17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79">
        <f ca="1">IF(OR(tblRoster[[#This Row],[공무원구분]]&lt;&gt;"공무원",tblRoster[[#This Row],[나이]]=""),"",YEAR(TODAY())+(60-tblRoster[[#This Row],[나이]]))</f>
        <v>2040</v>
      </c>
      <c r="AH179" t="str">
        <f>IF(tblRoster[[#This Row],[직위]]="","일반","보직자")</f>
        <v>일반</v>
      </c>
      <c r="AI17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7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7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79" t="str">
        <f ca="1">IF(tblRoster[[#This Row],[복직예정일]]="","",TEXT(tblRoster[[#This Row],[복직예정일]],"yyyy-mm"))</f>
        <v/>
      </c>
      <c r="AM179" t="str">
        <f ca="1">IF(tblRoster[[#This Row],[복직예정일]]="","",tblRoster[[#This Row],[복직예정일]]-TODAY())</f>
        <v/>
      </c>
      <c r="AN179" t="str">
        <f ca="1">IF(tblRoster[[#This Row],[휴직잔여일수]]="","",IF(tblRoster[[#This Row],[휴직잔여일수]]&lt;=180,"6개월내","6개월이후"))</f>
        <v/>
      </c>
      <c r="AO17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0" spans="1:41" x14ac:dyDescent="0.3">
      <c r="A180">
        <v>900178</v>
      </c>
      <c r="B180" t="s">
        <v>386</v>
      </c>
      <c r="C180" t="s">
        <v>8</v>
      </c>
      <c r="D180">
        <v>57</v>
      </c>
      <c r="E180" t="s">
        <v>150</v>
      </c>
      <c r="F180" t="s">
        <v>189</v>
      </c>
      <c r="G180" t="s">
        <v>173</v>
      </c>
      <c r="H180" t="s">
        <v>200</v>
      </c>
      <c r="I180" t="s">
        <v>144</v>
      </c>
      <c r="J180" t="s">
        <v>145</v>
      </c>
      <c r="L180" t="s">
        <v>134</v>
      </c>
      <c r="M180" t="s">
        <v>135</v>
      </c>
      <c r="N180" s="1">
        <v>38626</v>
      </c>
      <c r="O180" s="1">
        <v>38626</v>
      </c>
      <c r="P180" s="1">
        <v>43132</v>
      </c>
      <c r="Q180" s="1">
        <v>43132</v>
      </c>
      <c r="R180">
        <v>24</v>
      </c>
      <c r="T18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180" t="str">
        <f>IF(tblRoster[[#This Row],[급수]]="4급(임기제)","4급",tblRoster[[#This Row],[급수]])</f>
        <v>5급</v>
      </c>
      <c r="V18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18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0" t="str">
        <f>IF(OR(tblRoster[[#This Row],[교직원상세구분]]="사회복무요원",tblRoster[[#This Row],[교직원상세구분]]="인턴(수습)"),"제외","포함")</f>
        <v>포함</v>
      </c>
      <c r="Y180">
        <f>1</f>
        <v>1</v>
      </c>
      <c r="Z180">
        <f>IF(tblRoster[[#This Row],[재직상태구분]]="휴직",1,0)</f>
        <v>0</v>
      </c>
      <c r="AA18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80">
        <f ca="1">IF(tblRoster[[#This Row],[본교발령시작일자]]="","",DATEDIF(tblRoster[[#This Row],[본교발령시작일자]],TODAY(),"Y"))</f>
        <v>20</v>
      </c>
      <c r="AC180">
        <f ca="1">IF(tblRoster[[#This Row],[최초발령시작일자]]="","",DATEDIF(tblRoster[[#This Row],[최초발령시작일자]],TODAY(),"Y"))</f>
        <v>20</v>
      </c>
      <c r="AD18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80">
        <f ca="1">IF(tblRoster[[#This Row],[직급발령시작일자]]="","",ROUND(YEARFRAC(tblRoster[[#This Row],[직급발령시작일자]],TODAY()),1))</f>
        <v>8.6</v>
      </c>
      <c r="AF18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80">
        <f ca="1">IF(OR(tblRoster[[#This Row],[공무원구분]]&lt;&gt;"공무원",tblRoster[[#This Row],[나이]]=""),"",YEAR(TODAY())+(60-tblRoster[[#This Row],[나이]]))</f>
        <v>2029</v>
      </c>
      <c r="AH180" t="str">
        <f>IF(tblRoster[[#This Row],[직위]]="","일반","보직자")</f>
        <v>일반</v>
      </c>
      <c r="AI18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0" t="str">
        <f ca="1">IF(tblRoster[[#This Row],[복직예정일]]="","",TEXT(tblRoster[[#This Row],[복직예정일]],"yyyy-mm"))</f>
        <v/>
      </c>
      <c r="AM180" t="str">
        <f ca="1">IF(tblRoster[[#This Row],[복직예정일]]="","",tblRoster[[#This Row],[복직예정일]]-TODAY())</f>
        <v/>
      </c>
      <c r="AN180" t="str">
        <f ca="1">IF(tblRoster[[#This Row],[휴직잔여일수]]="","",IF(tblRoster[[#This Row],[휴직잔여일수]]&lt;=180,"6개월내","6개월이후"))</f>
        <v/>
      </c>
      <c r="AO18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1" spans="1:41" x14ac:dyDescent="0.3">
      <c r="A181">
        <v>900179</v>
      </c>
      <c r="B181" t="s">
        <v>387</v>
      </c>
      <c r="C181" t="s">
        <v>8</v>
      </c>
      <c r="D181">
        <v>51</v>
      </c>
      <c r="E181" t="s">
        <v>128</v>
      </c>
      <c r="F181" t="s">
        <v>179</v>
      </c>
      <c r="G181" t="s">
        <v>211</v>
      </c>
      <c r="H181" t="s">
        <v>198</v>
      </c>
      <c r="I181" t="s">
        <v>144</v>
      </c>
      <c r="J181" t="s">
        <v>145</v>
      </c>
      <c r="L181" t="s">
        <v>134</v>
      </c>
      <c r="M181" t="s">
        <v>135</v>
      </c>
      <c r="N181" s="1">
        <v>38961</v>
      </c>
      <c r="O181" s="1">
        <v>38961</v>
      </c>
      <c r="P181" s="1">
        <v>43191</v>
      </c>
      <c r="Q181" s="1">
        <v>43191</v>
      </c>
      <c r="R181">
        <v>20</v>
      </c>
      <c r="T18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81" t="str">
        <f>IF(tblRoster[[#This Row],[급수]]="4급(임기제)","4급",tblRoster[[#This Row],[급수]])</f>
        <v>7급</v>
      </c>
      <c r="V18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8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1" t="str">
        <f>IF(OR(tblRoster[[#This Row],[교직원상세구분]]="사회복무요원",tblRoster[[#This Row],[교직원상세구분]]="인턴(수습)"),"제외","포함")</f>
        <v>포함</v>
      </c>
      <c r="Y181">
        <f>1</f>
        <v>1</v>
      </c>
      <c r="Z181">
        <f>IF(tblRoster[[#This Row],[재직상태구분]]="휴직",1,0)</f>
        <v>0</v>
      </c>
      <c r="AA18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81">
        <f ca="1">IF(tblRoster[[#This Row],[본교발령시작일자]]="","",DATEDIF(tblRoster[[#This Row],[본교발령시작일자]],TODAY(),"Y"))</f>
        <v>20</v>
      </c>
      <c r="AC181">
        <f ca="1">IF(tblRoster[[#This Row],[최초발령시작일자]]="","",DATEDIF(tblRoster[[#This Row],[최초발령시작일자]],TODAY(),"Y"))</f>
        <v>20</v>
      </c>
      <c r="AD18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81">
        <f ca="1">IF(tblRoster[[#This Row],[직급발령시작일자]]="","",ROUND(YEARFRAC(tblRoster[[#This Row],[직급발령시작일자]],TODAY()),1))</f>
        <v>8.4</v>
      </c>
      <c r="AF18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81">
        <f ca="1">IF(OR(tblRoster[[#This Row],[공무원구분]]&lt;&gt;"공무원",tblRoster[[#This Row],[나이]]=""),"",YEAR(TODAY())+(60-tblRoster[[#This Row],[나이]]))</f>
        <v>2035</v>
      </c>
      <c r="AH181" t="str">
        <f>IF(tblRoster[[#This Row],[직위]]="","일반","보직자")</f>
        <v>일반</v>
      </c>
      <c r="AI18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1" t="str">
        <f ca="1">IF(tblRoster[[#This Row],[복직예정일]]="","",TEXT(tblRoster[[#This Row],[복직예정일]],"yyyy-mm"))</f>
        <v/>
      </c>
      <c r="AM181" t="str">
        <f ca="1">IF(tblRoster[[#This Row],[복직예정일]]="","",tblRoster[[#This Row],[복직예정일]]-TODAY())</f>
        <v/>
      </c>
      <c r="AN181" t="str">
        <f ca="1">IF(tblRoster[[#This Row],[휴직잔여일수]]="","",IF(tblRoster[[#This Row],[휴직잔여일수]]&lt;=180,"6개월내","6개월이후"))</f>
        <v/>
      </c>
      <c r="AO18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2" spans="1:41" x14ac:dyDescent="0.3">
      <c r="A182">
        <v>900180</v>
      </c>
      <c r="B182" t="s">
        <v>388</v>
      </c>
      <c r="C182" t="s">
        <v>8</v>
      </c>
      <c r="D182">
        <v>36</v>
      </c>
      <c r="E182" t="s">
        <v>128</v>
      </c>
      <c r="F182" t="s">
        <v>266</v>
      </c>
      <c r="G182" t="s">
        <v>169</v>
      </c>
      <c r="H182" t="s">
        <v>163</v>
      </c>
      <c r="I182" t="s">
        <v>144</v>
      </c>
      <c r="J182" t="s">
        <v>145</v>
      </c>
      <c r="L182" t="s">
        <v>134</v>
      </c>
      <c r="M182" t="s">
        <v>135</v>
      </c>
      <c r="N182" s="1">
        <v>42856</v>
      </c>
      <c r="O182" s="1">
        <v>42856</v>
      </c>
      <c r="P182" s="1">
        <v>46266</v>
      </c>
      <c r="Q182" s="1">
        <v>46266</v>
      </c>
      <c r="R182">
        <v>9</v>
      </c>
      <c r="T18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82" t="str">
        <f>IF(tblRoster[[#This Row],[급수]]="4급(임기제)","4급",tblRoster[[#This Row],[급수]])</f>
        <v>6급</v>
      </c>
      <c r="V18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8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2" t="str">
        <f>IF(OR(tblRoster[[#This Row],[교직원상세구분]]="사회복무요원",tblRoster[[#This Row],[교직원상세구분]]="인턴(수습)"),"제외","포함")</f>
        <v>포함</v>
      </c>
      <c r="Y182">
        <f>1</f>
        <v>1</v>
      </c>
      <c r="Z182">
        <f>IF(tblRoster[[#This Row],[재직상태구분]]="휴직",1,0)</f>
        <v>0</v>
      </c>
      <c r="AA18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82">
        <f ca="1">IF(tblRoster[[#This Row],[본교발령시작일자]]="","",DATEDIF(tblRoster[[#This Row],[본교발령시작일자]],TODAY(),"Y"))</f>
        <v>9</v>
      </c>
      <c r="AC182">
        <f ca="1">IF(tblRoster[[#This Row],[최초발령시작일자]]="","",DATEDIF(tblRoster[[#This Row],[최초발령시작일자]],TODAY(),"Y"))</f>
        <v>9</v>
      </c>
      <c r="AD18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82">
        <f ca="1">IF(tblRoster[[#This Row],[직급발령시작일자]]="","",ROUND(YEARFRAC(tblRoster[[#This Row],[직급발령시작일자]],TODAY()),1))</f>
        <v>0</v>
      </c>
      <c r="AF18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2">
        <f ca="1">IF(OR(tblRoster[[#This Row],[공무원구분]]&lt;&gt;"공무원",tblRoster[[#This Row],[나이]]=""),"",YEAR(TODAY())+(60-tblRoster[[#This Row],[나이]]))</f>
        <v>2050</v>
      </c>
      <c r="AH182" t="str">
        <f>IF(tblRoster[[#This Row],[직위]]="","일반","보직자")</f>
        <v>일반</v>
      </c>
      <c r="AI18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2" t="str">
        <f ca="1">IF(tblRoster[[#This Row],[복직예정일]]="","",TEXT(tblRoster[[#This Row],[복직예정일]],"yyyy-mm"))</f>
        <v/>
      </c>
      <c r="AM182" t="str">
        <f ca="1">IF(tblRoster[[#This Row],[복직예정일]]="","",tblRoster[[#This Row],[복직예정일]]-TODAY())</f>
        <v/>
      </c>
      <c r="AN182" t="str">
        <f ca="1">IF(tblRoster[[#This Row],[휴직잔여일수]]="","",IF(tblRoster[[#This Row],[휴직잔여일수]]&lt;=180,"6개월내","6개월이후"))</f>
        <v/>
      </c>
      <c r="AO18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3" spans="1:41" x14ac:dyDescent="0.3">
      <c r="A183">
        <v>900181</v>
      </c>
      <c r="B183" t="s">
        <v>46</v>
      </c>
      <c r="C183" t="s">
        <v>8</v>
      </c>
      <c r="D183">
        <v>27</v>
      </c>
      <c r="E183" t="s">
        <v>128</v>
      </c>
      <c r="F183" t="s">
        <v>141</v>
      </c>
      <c r="G183" t="s">
        <v>169</v>
      </c>
      <c r="H183" t="s">
        <v>223</v>
      </c>
      <c r="I183" t="s">
        <v>144</v>
      </c>
      <c r="J183" t="s">
        <v>145</v>
      </c>
      <c r="L183" t="s">
        <v>134</v>
      </c>
      <c r="M183" t="s">
        <v>135</v>
      </c>
      <c r="N183" s="1">
        <v>44896</v>
      </c>
      <c r="O183" s="1">
        <v>44896</v>
      </c>
      <c r="P183" s="1">
        <v>44896</v>
      </c>
      <c r="Q183" s="1">
        <v>44896</v>
      </c>
      <c r="R183">
        <v>6</v>
      </c>
      <c r="S183" t="s">
        <v>389</v>
      </c>
      <c r="T18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83" t="str">
        <f>IF(tblRoster[[#This Row],[급수]]="4급(임기제)","4급",tblRoster[[#This Row],[급수]])</f>
        <v>8급</v>
      </c>
      <c r="V18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8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3" t="str">
        <f>IF(OR(tblRoster[[#This Row],[교직원상세구분]]="사회복무요원",tblRoster[[#This Row],[교직원상세구분]]="인턴(수습)"),"제외","포함")</f>
        <v>포함</v>
      </c>
      <c r="Y183">
        <f>1</f>
        <v>1</v>
      </c>
      <c r="Z183">
        <f>IF(tblRoster[[#This Row],[재직상태구분]]="휴직",1,0)</f>
        <v>0</v>
      </c>
      <c r="AA18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83">
        <f ca="1">IF(tblRoster[[#This Row],[본교발령시작일자]]="","",DATEDIF(tblRoster[[#This Row],[본교발령시작일자]],TODAY(),"Y"))</f>
        <v>3</v>
      </c>
      <c r="AC183">
        <f ca="1">IF(tblRoster[[#This Row],[최초발령시작일자]]="","",DATEDIF(tblRoster[[#This Row],[최초발령시작일자]],TODAY(),"Y"))</f>
        <v>3</v>
      </c>
      <c r="AD18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83">
        <f ca="1">IF(tblRoster[[#This Row],[직급발령시작일자]]="","",ROUND(YEARFRAC(tblRoster[[#This Row],[직급발령시작일자]],TODAY()),1))</f>
        <v>3.8</v>
      </c>
      <c r="AF18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3">
        <f ca="1">IF(OR(tblRoster[[#This Row],[공무원구분]]&lt;&gt;"공무원",tblRoster[[#This Row],[나이]]=""),"",YEAR(TODAY())+(60-tblRoster[[#This Row],[나이]]))</f>
        <v>2059</v>
      </c>
      <c r="AH183" t="str">
        <f>IF(tblRoster[[#This Row],[직위]]="","일반","보직자")</f>
        <v>일반</v>
      </c>
      <c r="AI18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3" t="str">
        <f ca="1">IF(tblRoster[[#This Row],[복직예정일]]="","",TEXT(tblRoster[[#This Row],[복직예정일]],"yyyy-mm"))</f>
        <v/>
      </c>
      <c r="AM183" t="str">
        <f ca="1">IF(tblRoster[[#This Row],[복직예정일]]="","",tblRoster[[#This Row],[복직예정일]]-TODAY())</f>
        <v/>
      </c>
      <c r="AN183" t="str">
        <f ca="1">IF(tblRoster[[#This Row],[휴직잔여일수]]="","",IF(tblRoster[[#This Row],[휴직잔여일수]]&lt;=180,"6개월내","6개월이후"))</f>
        <v/>
      </c>
      <c r="AO18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4" spans="1:41" x14ac:dyDescent="0.3">
      <c r="A184">
        <v>900182</v>
      </c>
      <c r="B184" t="s">
        <v>390</v>
      </c>
      <c r="C184" t="s">
        <v>8</v>
      </c>
      <c r="D184">
        <v>29</v>
      </c>
      <c r="E184" t="s">
        <v>128</v>
      </c>
      <c r="F184" t="s">
        <v>129</v>
      </c>
      <c r="G184" t="s">
        <v>159</v>
      </c>
      <c r="H184" t="s">
        <v>233</v>
      </c>
      <c r="I184" t="s">
        <v>144</v>
      </c>
      <c r="J184" t="s">
        <v>145</v>
      </c>
      <c r="L184" t="s">
        <v>135</v>
      </c>
      <c r="M184" t="s">
        <v>135</v>
      </c>
      <c r="N184" s="1">
        <v>44805</v>
      </c>
      <c r="O184" s="1">
        <v>44805</v>
      </c>
      <c r="P184" s="1">
        <v>44805</v>
      </c>
      <c r="Q184" s="1">
        <v>44805</v>
      </c>
      <c r="R184">
        <v>6</v>
      </c>
      <c r="T18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84" t="str">
        <f>IF(tblRoster[[#This Row],[급수]]="4급(임기제)","4급",tblRoster[[#This Row],[급수]])</f>
        <v>8급</v>
      </c>
      <c r="V18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8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4" t="str">
        <f>IF(OR(tblRoster[[#This Row],[교직원상세구분]]="사회복무요원",tblRoster[[#This Row],[교직원상세구분]]="인턴(수습)"),"제외","포함")</f>
        <v>포함</v>
      </c>
      <c r="Y184">
        <f>1</f>
        <v>1</v>
      </c>
      <c r="Z184">
        <f>IF(tblRoster[[#This Row],[재직상태구분]]="휴직",1,0)</f>
        <v>0</v>
      </c>
      <c r="AA18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84">
        <f ca="1">IF(tblRoster[[#This Row],[본교발령시작일자]]="","",DATEDIF(tblRoster[[#This Row],[본교발령시작일자]],TODAY(),"Y"))</f>
        <v>4</v>
      </c>
      <c r="AC184">
        <f ca="1">IF(tblRoster[[#This Row],[최초발령시작일자]]="","",DATEDIF(tblRoster[[#This Row],[최초발령시작일자]],TODAY(),"Y"))</f>
        <v>4</v>
      </c>
      <c r="AD18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84">
        <f ca="1">IF(tblRoster[[#This Row],[직급발령시작일자]]="","",ROUND(YEARFRAC(tblRoster[[#This Row],[직급발령시작일자]],TODAY()),1))</f>
        <v>4</v>
      </c>
      <c r="AF18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4">
        <f ca="1">IF(OR(tblRoster[[#This Row],[공무원구분]]&lt;&gt;"공무원",tblRoster[[#This Row],[나이]]=""),"",YEAR(TODAY())+(60-tblRoster[[#This Row],[나이]]))</f>
        <v>2057</v>
      </c>
      <c r="AH184" t="str">
        <f>IF(tblRoster[[#This Row],[직위]]="","일반","보직자")</f>
        <v>일반</v>
      </c>
      <c r="AI18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4" t="str">
        <f ca="1">IF(tblRoster[[#This Row],[복직예정일]]="","",TEXT(tblRoster[[#This Row],[복직예정일]],"yyyy-mm"))</f>
        <v/>
      </c>
      <c r="AM184" t="str">
        <f ca="1">IF(tblRoster[[#This Row],[복직예정일]]="","",tblRoster[[#This Row],[복직예정일]]-TODAY())</f>
        <v/>
      </c>
      <c r="AN184" t="str">
        <f ca="1">IF(tblRoster[[#This Row],[휴직잔여일수]]="","",IF(tblRoster[[#This Row],[휴직잔여일수]]&lt;=180,"6개월내","6개월이후"))</f>
        <v/>
      </c>
      <c r="AO18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5" spans="1:41" x14ac:dyDescent="0.3">
      <c r="A185">
        <v>900183</v>
      </c>
      <c r="B185" t="s">
        <v>391</v>
      </c>
      <c r="C185" t="s">
        <v>8</v>
      </c>
      <c r="D185">
        <v>36</v>
      </c>
      <c r="E185" t="s">
        <v>128</v>
      </c>
      <c r="F185" t="s">
        <v>216</v>
      </c>
      <c r="G185" t="s">
        <v>207</v>
      </c>
      <c r="H185" t="s">
        <v>392</v>
      </c>
      <c r="I185" t="s">
        <v>144</v>
      </c>
      <c r="J185" t="s">
        <v>145</v>
      </c>
      <c r="L185" t="s">
        <v>134</v>
      </c>
      <c r="M185" t="s">
        <v>135</v>
      </c>
      <c r="N185" s="1">
        <v>41244</v>
      </c>
      <c r="O185" s="1">
        <v>41244</v>
      </c>
      <c r="P185" s="1">
        <v>44593</v>
      </c>
      <c r="Q185" s="1">
        <v>44593</v>
      </c>
      <c r="R185">
        <v>15</v>
      </c>
      <c r="T18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185" t="str">
        <f>IF(tblRoster[[#This Row],[급수]]="4급(임기제)","4급",tblRoster[[#This Row],[급수]])</f>
        <v>9급</v>
      </c>
      <c r="V18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18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5" t="str">
        <f>IF(OR(tblRoster[[#This Row],[교직원상세구분]]="사회복무요원",tblRoster[[#This Row],[교직원상세구분]]="인턴(수습)"),"제외","포함")</f>
        <v>포함</v>
      </c>
      <c r="Y185">
        <f>1</f>
        <v>1</v>
      </c>
      <c r="Z185">
        <f>IF(tblRoster[[#This Row],[재직상태구분]]="휴직",1,0)</f>
        <v>0</v>
      </c>
      <c r="AA18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85">
        <f ca="1">IF(tblRoster[[#This Row],[본교발령시작일자]]="","",DATEDIF(tblRoster[[#This Row],[본교발령시작일자]],TODAY(),"Y"))</f>
        <v>13</v>
      </c>
      <c r="AC185">
        <f ca="1">IF(tblRoster[[#This Row],[최초발령시작일자]]="","",DATEDIF(tblRoster[[#This Row],[최초발령시작일자]],TODAY(),"Y"))</f>
        <v>13</v>
      </c>
      <c r="AD18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85">
        <f ca="1">IF(tblRoster[[#This Row],[직급발령시작일자]]="","",ROUND(YEARFRAC(tblRoster[[#This Row],[직급발령시작일자]],TODAY()),1))</f>
        <v>4.5999999999999996</v>
      </c>
      <c r="AF18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5">
        <f ca="1">IF(OR(tblRoster[[#This Row],[공무원구분]]&lt;&gt;"공무원",tblRoster[[#This Row],[나이]]=""),"",YEAR(TODAY())+(60-tblRoster[[#This Row],[나이]]))</f>
        <v>2050</v>
      </c>
      <c r="AH185" t="str">
        <f>IF(tblRoster[[#This Row],[직위]]="","일반","보직자")</f>
        <v>일반</v>
      </c>
      <c r="AI18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5" t="str">
        <f ca="1">IF(tblRoster[[#This Row],[복직예정일]]="","",TEXT(tblRoster[[#This Row],[복직예정일]],"yyyy-mm"))</f>
        <v/>
      </c>
      <c r="AM185" t="str">
        <f ca="1">IF(tblRoster[[#This Row],[복직예정일]]="","",tblRoster[[#This Row],[복직예정일]]-TODAY())</f>
        <v/>
      </c>
      <c r="AN185" t="str">
        <f ca="1">IF(tblRoster[[#This Row],[휴직잔여일수]]="","",IF(tblRoster[[#This Row],[휴직잔여일수]]&lt;=180,"6개월내","6개월이후"))</f>
        <v/>
      </c>
      <c r="AO18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6" spans="1:41" x14ac:dyDescent="0.3">
      <c r="A186">
        <v>900184</v>
      </c>
      <c r="B186" t="s">
        <v>393</v>
      </c>
      <c r="C186" t="s">
        <v>8</v>
      </c>
      <c r="D186">
        <v>39</v>
      </c>
      <c r="E186" t="s">
        <v>150</v>
      </c>
      <c r="F186" t="s">
        <v>179</v>
      </c>
      <c r="G186" t="s">
        <v>151</v>
      </c>
      <c r="H186" t="s">
        <v>163</v>
      </c>
      <c r="I186" t="s">
        <v>144</v>
      </c>
      <c r="J186" t="s">
        <v>145</v>
      </c>
      <c r="L186" t="s">
        <v>135</v>
      </c>
      <c r="M186" t="s">
        <v>135</v>
      </c>
      <c r="N186" s="1">
        <v>44774</v>
      </c>
      <c r="O186" s="1">
        <v>44774</v>
      </c>
      <c r="P186" s="1">
        <v>44774</v>
      </c>
      <c r="Q186" s="1">
        <v>44774</v>
      </c>
      <c r="R186">
        <v>6</v>
      </c>
      <c r="T18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86" t="str">
        <f>IF(tblRoster[[#This Row],[급수]]="4급(임기제)","4급",tblRoster[[#This Row],[급수]])</f>
        <v>6급</v>
      </c>
      <c r="V18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8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6" t="str">
        <f>IF(OR(tblRoster[[#This Row],[교직원상세구분]]="사회복무요원",tblRoster[[#This Row],[교직원상세구분]]="인턴(수습)"),"제외","포함")</f>
        <v>포함</v>
      </c>
      <c r="Y186">
        <f>1</f>
        <v>1</v>
      </c>
      <c r="Z186">
        <f>IF(tblRoster[[#This Row],[재직상태구분]]="휴직",1,0)</f>
        <v>0</v>
      </c>
      <c r="AA18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86">
        <f ca="1">IF(tblRoster[[#This Row],[본교발령시작일자]]="","",DATEDIF(tblRoster[[#This Row],[본교발령시작일자]],TODAY(),"Y"))</f>
        <v>4</v>
      </c>
      <c r="AC186">
        <f ca="1">IF(tblRoster[[#This Row],[최초발령시작일자]]="","",DATEDIF(tblRoster[[#This Row],[최초발령시작일자]],TODAY(),"Y"))</f>
        <v>4</v>
      </c>
      <c r="AD18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86">
        <f ca="1">IF(tblRoster[[#This Row],[직급발령시작일자]]="","",ROUND(YEARFRAC(tblRoster[[#This Row],[직급발령시작일자]],TODAY()),1))</f>
        <v>4.0999999999999996</v>
      </c>
      <c r="AF18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6">
        <f ca="1">IF(OR(tblRoster[[#This Row],[공무원구분]]&lt;&gt;"공무원",tblRoster[[#This Row],[나이]]=""),"",YEAR(TODAY())+(60-tblRoster[[#This Row],[나이]]))</f>
        <v>2047</v>
      </c>
      <c r="AH186" t="str">
        <f>IF(tblRoster[[#This Row],[직위]]="","일반","보직자")</f>
        <v>일반</v>
      </c>
      <c r="AI18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6" t="str">
        <f ca="1">IF(tblRoster[[#This Row],[복직예정일]]="","",TEXT(tblRoster[[#This Row],[복직예정일]],"yyyy-mm"))</f>
        <v/>
      </c>
      <c r="AM186" t="str">
        <f ca="1">IF(tblRoster[[#This Row],[복직예정일]]="","",tblRoster[[#This Row],[복직예정일]]-TODAY())</f>
        <v/>
      </c>
      <c r="AN186" t="str">
        <f ca="1">IF(tblRoster[[#This Row],[휴직잔여일수]]="","",IF(tblRoster[[#This Row],[휴직잔여일수]]&lt;=180,"6개월내","6개월이후"))</f>
        <v/>
      </c>
      <c r="AO18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7" spans="1:41" x14ac:dyDescent="0.3">
      <c r="A187">
        <v>900185</v>
      </c>
      <c r="B187" t="s">
        <v>394</v>
      </c>
      <c r="C187" t="s">
        <v>8</v>
      </c>
      <c r="D187">
        <v>26</v>
      </c>
      <c r="E187" t="s">
        <v>150</v>
      </c>
      <c r="F187" t="s">
        <v>246</v>
      </c>
      <c r="G187" t="s">
        <v>211</v>
      </c>
      <c r="H187" t="s">
        <v>212</v>
      </c>
      <c r="I187" t="s">
        <v>213</v>
      </c>
      <c r="J187" t="s">
        <v>133</v>
      </c>
      <c r="L187" t="s">
        <v>134</v>
      </c>
      <c r="M187" t="s">
        <v>135</v>
      </c>
      <c r="N187" s="1">
        <v>44682</v>
      </c>
      <c r="O187" s="1">
        <v>44682</v>
      </c>
      <c r="P187" s="1">
        <v>44682</v>
      </c>
      <c r="Q187" s="1">
        <v>44682</v>
      </c>
      <c r="T18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187" t="str">
        <f>IF(tblRoster[[#This Row],[급수]]="4급(임기제)","4급",tblRoster[[#This Row],[급수]])</f>
        <v>인턴</v>
      </c>
      <c r="V18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18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187" t="str">
        <f>IF(OR(tblRoster[[#This Row],[교직원상세구분]]="사회복무요원",tblRoster[[#This Row],[교직원상세구분]]="인턴(수습)"),"제외","포함")</f>
        <v>제외</v>
      </c>
      <c r="Y187">
        <f>1</f>
        <v>1</v>
      </c>
      <c r="Z187">
        <f>IF(tblRoster[[#This Row],[재직상태구분]]="휴직",1,0)</f>
        <v>0</v>
      </c>
      <c r="AA18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87">
        <f ca="1">IF(tblRoster[[#This Row],[본교발령시작일자]]="","",DATEDIF(tblRoster[[#This Row],[본교발령시작일자]],TODAY(),"Y"))</f>
        <v>4</v>
      </c>
      <c r="AC187">
        <f ca="1">IF(tblRoster[[#This Row],[최초발령시작일자]]="","",DATEDIF(tblRoster[[#This Row],[최초발령시작일자]],TODAY(),"Y"))</f>
        <v>4</v>
      </c>
      <c r="AD18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87">
        <f ca="1">IF(tblRoster[[#This Row],[직급발령시작일자]]="","",ROUND(YEARFRAC(tblRoster[[#This Row],[직급발령시작일자]],TODAY()),1))</f>
        <v>4.4000000000000004</v>
      </c>
      <c r="AF18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7" t="str">
        <f ca="1">IF(OR(tblRoster[[#This Row],[공무원구분]]&lt;&gt;"공무원",tblRoster[[#This Row],[나이]]=""),"",YEAR(TODAY())+(60-tblRoster[[#This Row],[나이]]))</f>
        <v/>
      </c>
      <c r="AH187" t="str">
        <f>IF(tblRoster[[#This Row],[직위]]="","일반","보직자")</f>
        <v>일반</v>
      </c>
      <c r="AI18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7" t="str">
        <f ca="1">IF(tblRoster[[#This Row],[복직예정일]]="","",TEXT(tblRoster[[#This Row],[복직예정일]],"yyyy-mm"))</f>
        <v/>
      </c>
      <c r="AM187" t="str">
        <f ca="1">IF(tblRoster[[#This Row],[복직예정일]]="","",tblRoster[[#This Row],[복직예정일]]-TODAY())</f>
        <v/>
      </c>
      <c r="AN187" t="str">
        <f ca="1">IF(tblRoster[[#This Row],[휴직잔여일수]]="","",IF(tblRoster[[#This Row],[휴직잔여일수]]&lt;=180,"6개월내","6개월이후"))</f>
        <v/>
      </c>
      <c r="AO18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8" spans="1:41" x14ac:dyDescent="0.3">
      <c r="A188">
        <v>900186</v>
      </c>
      <c r="B188" t="s">
        <v>395</v>
      </c>
      <c r="C188" t="s">
        <v>8</v>
      </c>
      <c r="D188">
        <v>41</v>
      </c>
      <c r="E188" t="s">
        <v>128</v>
      </c>
      <c r="F188" t="s">
        <v>129</v>
      </c>
      <c r="G188" t="s">
        <v>211</v>
      </c>
      <c r="H188" t="s">
        <v>163</v>
      </c>
      <c r="I188" t="s">
        <v>144</v>
      </c>
      <c r="J188" t="s">
        <v>145</v>
      </c>
      <c r="L188" t="s">
        <v>135</v>
      </c>
      <c r="M188" t="s">
        <v>135</v>
      </c>
      <c r="N188" s="1">
        <v>39904</v>
      </c>
      <c r="O188" s="1">
        <v>39904</v>
      </c>
      <c r="P188" s="1">
        <v>45717</v>
      </c>
      <c r="Q188" s="1">
        <v>45717</v>
      </c>
      <c r="R188">
        <v>17</v>
      </c>
      <c r="T18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88" t="str">
        <f>IF(tblRoster[[#This Row],[급수]]="4급(임기제)","4급",tblRoster[[#This Row],[급수]])</f>
        <v>6급</v>
      </c>
      <c r="V18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8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88" t="str">
        <f>IF(OR(tblRoster[[#This Row],[교직원상세구분]]="사회복무요원",tblRoster[[#This Row],[교직원상세구분]]="인턴(수습)"),"제외","포함")</f>
        <v>포함</v>
      </c>
      <c r="Y188">
        <f>1</f>
        <v>1</v>
      </c>
      <c r="Z188">
        <f>IF(tblRoster[[#This Row],[재직상태구분]]="휴직",1,0)</f>
        <v>0</v>
      </c>
      <c r="AA18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88">
        <f ca="1">IF(tblRoster[[#This Row],[본교발령시작일자]]="","",DATEDIF(tblRoster[[#This Row],[본교발령시작일자]],TODAY(),"Y"))</f>
        <v>17</v>
      </c>
      <c r="AC188">
        <f ca="1">IF(tblRoster[[#This Row],[최초발령시작일자]]="","",DATEDIF(tblRoster[[#This Row],[최초발령시작일자]],TODAY(),"Y"))</f>
        <v>17</v>
      </c>
      <c r="AD18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88">
        <f ca="1">IF(tblRoster[[#This Row],[직급발령시작일자]]="","",ROUND(YEARFRAC(tblRoster[[#This Row],[직급발령시작일자]],TODAY()),1))</f>
        <v>1.5</v>
      </c>
      <c r="AF18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8">
        <f ca="1">IF(OR(tblRoster[[#This Row],[공무원구분]]&lt;&gt;"공무원",tblRoster[[#This Row],[나이]]=""),"",YEAR(TODAY())+(60-tblRoster[[#This Row],[나이]]))</f>
        <v>2045</v>
      </c>
      <c r="AH188" t="str">
        <f>IF(tblRoster[[#This Row],[직위]]="","일반","보직자")</f>
        <v>일반</v>
      </c>
      <c r="AI18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8" t="str">
        <f ca="1">IF(tblRoster[[#This Row],[복직예정일]]="","",TEXT(tblRoster[[#This Row],[복직예정일]],"yyyy-mm"))</f>
        <v/>
      </c>
      <c r="AM188" t="str">
        <f ca="1">IF(tblRoster[[#This Row],[복직예정일]]="","",tblRoster[[#This Row],[복직예정일]]-TODAY())</f>
        <v/>
      </c>
      <c r="AN188" t="str">
        <f ca="1">IF(tblRoster[[#This Row],[휴직잔여일수]]="","",IF(tblRoster[[#This Row],[휴직잔여일수]]&lt;=180,"6개월내","6개월이후"))</f>
        <v/>
      </c>
      <c r="AO18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89" spans="1:41" x14ac:dyDescent="0.3">
      <c r="A189">
        <v>900187</v>
      </c>
      <c r="B189" t="s">
        <v>396</v>
      </c>
      <c r="C189" t="s">
        <v>8</v>
      </c>
      <c r="D189">
        <v>20</v>
      </c>
      <c r="E189" t="s">
        <v>150</v>
      </c>
      <c r="F189" t="s">
        <v>189</v>
      </c>
      <c r="G189" t="s">
        <v>207</v>
      </c>
      <c r="H189" t="s">
        <v>186</v>
      </c>
      <c r="I189" t="s">
        <v>186</v>
      </c>
      <c r="J189" t="s">
        <v>133</v>
      </c>
      <c r="L189" t="s">
        <v>134</v>
      </c>
      <c r="M189" t="s">
        <v>135</v>
      </c>
      <c r="N189" s="1">
        <v>46235</v>
      </c>
      <c r="O189" s="1">
        <v>46235</v>
      </c>
      <c r="P189" s="1">
        <v>46235</v>
      </c>
      <c r="Q189" s="1">
        <v>46235</v>
      </c>
      <c r="T18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189" t="str">
        <f>IF(tblRoster[[#This Row],[급수]]="4급(임기제)","4급",tblRoster[[#This Row],[급수]])</f>
        <v>사회복무요원</v>
      </c>
      <c r="V18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18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189" t="str">
        <f>IF(OR(tblRoster[[#This Row],[교직원상세구분]]="사회복무요원",tblRoster[[#This Row],[교직원상세구분]]="인턴(수습)"),"제외","포함")</f>
        <v>제외</v>
      </c>
      <c r="Y189">
        <f>1</f>
        <v>1</v>
      </c>
      <c r="Z189">
        <f>IF(tblRoster[[#This Row],[재직상태구분]]="휴직",1,0)</f>
        <v>0</v>
      </c>
      <c r="AA18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189">
        <f ca="1">IF(tblRoster[[#This Row],[본교발령시작일자]]="","",DATEDIF(tblRoster[[#This Row],[본교발령시작일자]],TODAY(),"Y"))</f>
        <v>0</v>
      </c>
      <c r="AC189">
        <f ca="1">IF(tblRoster[[#This Row],[최초발령시작일자]]="","",DATEDIF(tblRoster[[#This Row],[최초발령시작일자]],TODAY(),"Y"))</f>
        <v>0</v>
      </c>
      <c r="AD18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89">
        <f ca="1">IF(tblRoster[[#This Row],[직급발령시작일자]]="","",ROUND(YEARFRAC(tblRoster[[#This Row],[직급발령시작일자]],TODAY()),1))</f>
        <v>0.1</v>
      </c>
      <c r="AF18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89" t="str">
        <f ca="1">IF(OR(tblRoster[[#This Row],[공무원구분]]&lt;&gt;"공무원",tblRoster[[#This Row],[나이]]=""),"",YEAR(TODAY())+(60-tblRoster[[#This Row],[나이]]))</f>
        <v/>
      </c>
      <c r="AH189" t="str">
        <f>IF(tblRoster[[#This Row],[직위]]="","일반","보직자")</f>
        <v>일반</v>
      </c>
      <c r="AI18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8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8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89" t="str">
        <f ca="1">IF(tblRoster[[#This Row],[복직예정일]]="","",TEXT(tblRoster[[#This Row],[복직예정일]],"yyyy-mm"))</f>
        <v/>
      </c>
      <c r="AM189" t="str">
        <f ca="1">IF(tblRoster[[#This Row],[복직예정일]]="","",tblRoster[[#This Row],[복직예정일]]-TODAY())</f>
        <v/>
      </c>
      <c r="AN189" t="str">
        <f ca="1">IF(tblRoster[[#This Row],[휴직잔여일수]]="","",IF(tblRoster[[#This Row],[휴직잔여일수]]&lt;=180,"6개월내","6개월이후"))</f>
        <v/>
      </c>
      <c r="AO18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0" spans="1:41" x14ac:dyDescent="0.3">
      <c r="A190">
        <v>900188</v>
      </c>
      <c r="B190" t="s">
        <v>397</v>
      </c>
      <c r="C190" t="s">
        <v>8</v>
      </c>
      <c r="D190">
        <v>45</v>
      </c>
      <c r="E190" t="s">
        <v>128</v>
      </c>
      <c r="F190" t="s">
        <v>168</v>
      </c>
      <c r="G190" t="s">
        <v>182</v>
      </c>
      <c r="H190" t="s">
        <v>398</v>
      </c>
      <c r="I190" t="s">
        <v>399</v>
      </c>
      <c r="J190" t="s">
        <v>145</v>
      </c>
      <c r="L190" t="s">
        <v>134</v>
      </c>
      <c r="M190" t="s">
        <v>135</v>
      </c>
      <c r="N190" s="1">
        <v>44562</v>
      </c>
      <c r="O190" s="1">
        <v>44562</v>
      </c>
      <c r="P190" s="1">
        <v>45870</v>
      </c>
      <c r="Q190" s="1">
        <v>45870</v>
      </c>
      <c r="R190">
        <v>7</v>
      </c>
      <c r="T19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90" t="str">
        <f>IF(tblRoster[[#This Row],[급수]]="4급(임기제)","4급",tblRoster[[#This Row],[급수]])</f>
        <v>6급</v>
      </c>
      <c r="V19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9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0" t="str">
        <f>IF(OR(tblRoster[[#This Row],[교직원상세구분]]="사회복무요원",tblRoster[[#This Row],[교직원상세구분]]="인턴(수습)"),"제외","포함")</f>
        <v>포함</v>
      </c>
      <c r="Y190">
        <f>1</f>
        <v>1</v>
      </c>
      <c r="Z190">
        <f>IF(tblRoster[[#This Row],[재직상태구분]]="휴직",1,0)</f>
        <v>0</v>
      </c>
      <c r="AA19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90">
        <f ca="1">IF(tblRoster[[#This Row],[본교발령시작일자]]="","",DATEDIF(tblRoster[[#This Row],[본교발령시작일자]],TODAY(),"Y"))</f>
        <v>4</v>
      </c>
      <c r="AC190">
        <f ca="1">IF(tblRoster[[#This Row],[최초발령시작일자]]="","",DATEDIF(tblRoster[[#This Row],[최초발령시작일자]],TODAY(),"Y"))</f>
        <v>4</v>
      </c>
      <c r="AD19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90">
        <f ca="1">IF(tblRoster[[#This Row],[직급발령시작일자]]="","",ROUND(YEARFRAC(tblRoster[[#This Row],[직급발령시작일자]],TODAY()),1))</f>
        <v>1.1000000000000001</v>
      </c>
      <c r="AF19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0">
        <f ca="1">IF(OR(tblRoster[[#This Row],[공무원구분]]&lt;&gt;"공무원",tblRoster[[#This Row],[나이]]=""),"",YEAR(TODAY())+(60-tblRoster[[#This Row],[나이]]))</f>
        <v>2041</v>
      </c>
      <c r="AH190" t="str">
        <f>IF(tblRoster[[#This Row],[직위]]="","일반","보직자")</f>
        <v>일반</v>
      </c>
      <c r="AI19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0" t="str">
        <f ca="1">IF(tblRoster[[#This Row],[복직예정일]]="","",TEXT(tblRoster[[#This Row],[복직예정일]],"yyyy-mm"))</f>
        <v/>
      </c>
      <c r="AM190" t="str">
        <f ca="1">IF(tblRoster[[#This Row],[복직예정일]]="","",tblRoster[[#This Row],[복직예정일]]-TODAY())</f>
        <v/>
      </c>
      <c r="AN190" t="str">
        <f ca="1">IF(tblRoster[[#This Row],[휴직잔여일수]]="","",IF(tblRoster[[#This Row],[휴직잔여일수]]&lt;=180,"6개월내","6개월이후"))</f>
        <v/>
      </c>
      <c r="AO19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1" spans="1:41" x14ac:dyDescent="0.3">
      <c r="A191">
        <v>900189</v>
      </c>
      <c r="B191" t="s">
        <v>400</v>
      </c>
      <c r="C191" t="s">
        <v>8</v>
      </c>
      <c r="D191">
        <v>50</v>
      </c>
      <c r="E191" t="s">
        <v>150</v>
      </c>
      <c r="F191" t="s">
        <v>246</v>
      </c>
      <c r="G191" t="s">
        <v>222</v>
      </c>
      <c r="H191" t="s">
        <v>180</v>
      </c>
      <c r="I191" t="s">
        <v>144</v>
      </c>
      <c r="J191" t="s">
        <v>145</v>
      </c>
      <c r="L191" t="s">
        <v>134</v>
      </c>
      <c r="M191" t="s">
        <v>135</v>
      </c>
      <c r="N191" s="1">
        <v>36861</v>
      </c>
      <c r="O191" s="1">
        <v>44866</v>
      </c>
      <c r="P191" s="1">
        <v>44866</v>
      </c>
      <c r="Q191" s="1">
        <v>44866</v>
      </c>
      <c r="T19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91" t="str">
        <f>IF(tblRoster[[#This Row],[급수]]="4급(임기제)","4급",tblRoster[[#This Row],[급수]])</f>
        <v>7급</v>
      </c>
      <c r="V19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9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1" t="str">
        <f>IF(OR(tblRoster[[#This Row],[교직원상세구분]]="사회복무요원",tblRoster[[#This Row],[교직원상세구분]]="인턴(수습)"),"제외","포함")</f>
        <v>포함</v>
      </c>
      <c r="Y191">
        <f>1</f>
        <v>1</v>
      </c>
      <c r="Z191">
        <f>IF(tblRoster[[#This Row],[재직상태구분]]="휴직",1,0)</f>
        <v>0</v>
      </c>
      <c r="AA19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91">
        <f ca="1">IF(tblRoster[[#This Row],[본교발령시작일자]]="","",DATEDIF(tblRoster[[#This Row],[본교발령시작일자]],TODAY(),"Y"))</f>
        <v>3</v>
      </c>
      <c r="AC191">
        <f ca="1">IF(tblRoster[[#This Row],[최초발령시작일자]]="","",DATEDIF(tblRoster[[#This Row],[최초발령시작일자]],TODAY(),"Y"))</f>
        <v>25</v>
      </c>
      <c r="AD19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91">
        <f ca="1">IF(tblRoster[[#This Row],[직급발령시작일자]]="","",ROUND(YEARFRAC(tblRoster[[#This Row],[직급발령시작일자]],TODAY()),1))</f>
        <v>3.9</v>
      </c>
      <c r="AF19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1">
        <f ca="1">IF(OR(tblRoster[[#This Row],[공무원구분]]&lt;&gt;"공무원",tblRoster[[#This Row],[나이]]=""),"",YEAR(TODAY())+(60-tblRoster[[#This Row],[나이]]))</f>
        <v>2036</v>
      </c>
      <c r="AH191" t="str">
        <f>IF(tblRoster[[#This Row],[직위]]="","일반","보직자")</f>
        <v>일반</v>
      </c>
      <c r="AI19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1" t="str">
        <f ca="1">IF(tblRoster[[#This Row],[복직예정일]]="","",TEXT(tblRoster[[#This Row],[복직예정일]],"yyyy-mm"))</f>
        <v/>
      </c>
      <c r="AM191" t="str">
        <f ca="1">IF(tblRoster[[#This Row],[복직예정일]]="","",tblRoster[[#This Row],[복직예정일]]-TODAY())</f>
        <v/>
      </c>
      <c r="AN191" t="str">
        <f ca="1">IF(tblRoster[[#This Row],[휴직잔여일수]]="","",IF(tblRoster[[#This Row],[휴직잔여일수]]&lt;=180,"6개월내","6개월이후"))</f>
        <v/>
      </c>
      <c r="AO19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2" spans="1:41" x14ac:dyDescent="0.3">
      <c r="A192">
        <v>900190</v>
      </c>
      <c r="B192" t="s">
        <v>401</v>
      </c>
      <c r="C192" t="s">
        <v>8</v>
      </c>
      <c r="D192">
        <v>38</v>
      </c>
      <c r="E192" t="s">
        <v>128</v>
      </c>
      <c r="F192" t="s">
        <v>137</v>
      </c>
      <c r="G192" t="s">
        <v>169</v>
      </c>
      <c r="H192" t="s">
        <v>148</v>
      </c>
      <c r="I192" t="s">
        <v>132</v>
      </c>
      <c r="J192" t="s">
        <v>133</v>
      </c>
      <c r="L192" t="s">
        <v>134</v>
      </c>
      <c r="M192" t="s">
        <v>135</v>
      </c>
      <c r="N192" s="1">
        <v>40575</v>
      </c>
      <c r="O192" s="1">
        <v>40575</v>
      </c>
      <c r="P192" s="1">
        <v>43160</v>
      </c>
      <c r="Q192" s="1">
        <v>43160</v>
      </c>
      <c r="R192">
        <v>16</v>
      </c>
      <c r="T19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92" t="str">
        <f>IF(tblRoster[[#This Row],[급수]]="4급(임기제)","4급",tblRoster[[#This Row],[급수]])</f>
        <v>대학회계계약직</v>
      </c>
      <c r="V19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9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92" t="str">
        <f>IF(OR(tblRoster[[#This Row],[교직원상세구분]]="사회복무요원",tblRoster[[#This Row],[교직원상세구분]]="인턴(수습)"),"제외","포함")</f>
        <v>포함</v>
      </c>
      <c r="Y192">
        <f>1</f>
        <v>1</v>
      </c>
      <c r="Z192">
        <f>IF(tblRoster[[#This Row],[재직상태구분]]="휴직",1,0)</f>
        <v>0</v>
      </c>
      <c r="AA19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92">
        <f ca="1">IF(tblRoster[[#This Row],[본교발령시작일자]]="","",DATEDIF(tblRoster[[#This Row],[본교발령시작일자]],TODAY(),"Y"))</f>
        <v>15</v>
      </c>
      <c r="AC192">
        <f ca="1">IF(tblRoster[[#This Row],[최초발령시작일자]]="","",DATEDIF(tblRoster[[#This Row],[최초발령시작일자]],TODAY(),"Y"))</f>
        <v>15</v>
      </c>
      <c r="AD19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92">
        <f ca="1">IF(tblRoster[[#This Row],[직급발령시작일자]]="","",ROUND(YEARFRAC(tblRoster[[#This Row],[직급발령시작일자]],TODAY()),1))</f>
        <v>8.5</v>
      </c>
      <c r="AF19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92" t="str">
        <f ca="1">IF(OR(tblRoster[[#This Row],[공무원구분]]&lt;&gt;"공무원",tblRoster[[#This Row],[나이]]=""),"",YEAR(TODAY())+(60-tblRoster[[#This Row],[나이]]))</f>
        <v/>
      </c>
      <c r="AH192" t="str">
        <f>IF(tblRoster[[#This Row],[직위]]="","일반","보직자")</f>
        <v>일반</v>
      </c>
      <c r="AI19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2" t="str">
        <f ca="1">IF(tblRoster[[#This Row],[복직예정일]]="","",TEXT(tblRoster[[#This Row],[복직예정일]],"yyyy-mm"))</f>
        <v/>
      </c>
      <c r="AM192" t="str">
        <f ca="1">IF(tblRoster[[#This Row],[복직예정일]]="","",tblRoster[[#This Row],[복직예정일]]-TODAY())</f>
        <v/>
      </c>
      <c r="AN192" t="str">
        <f ca="1">IF(tblRoster[[#This Row],[휴직잔여일수]]="","",IF(tblRoster[[#This Row],[휴직잔여일수]]&lt;=180,"6개월내","6개월이후"))</f>
        <v/>
      </c>
      <c r="AO19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3" spans="1:41" x14ac:dyDescent="0.3">
      <c r="A193">
        <v>900191</v>
      </c>
      <c r="B193" t="s">
        <v>402</v>
      </c>
      <c r="C193" t="s">
        <v>8</v>
      </c>
      <c r="D193">
        <v>36</v>
      </c>
      <c r="E193" t="s">
        <v>150</v>
      </c>
      <c r="F193" t="s">
        <v>141</v>
      </c>
      <c r="G193" t="s">
        <v>185</v>
      </c>
      <c r="H193" t="s">
        <v>238</v>
      </c>
      <c r="I193" t="s">
        <v>239</v>
      </c>
      <c r="J193" t="s">
        <v>133</v>
      </c>
      <c r="L193" t="s">
        <v>134</v>
      </c>
      <c r="M193" t="s">
        <v>135</v>
      </c>
      <c r="N193" s="1">
        <v>42675</v>
      </c>
      <c r="O193" s="1">
        <v>46235</v>
      </c>
      <c r="P193" s="1">
        <v>46235</v>
      </c>
      <c r="Q193" s="1">
        <v>46235</v>
      </c>
      <c r="R193">
        <v>13</v>
      </c>
      <c r="T19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193" t="str">
        <f>IF(tblRoster[[#This Row],[급수]]="4급(임기제)","4급",tblRoster[[#This Row],[급수]])</f>
        <v>대학회계직</v>
      </c>
      <c r="V19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19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193" t="str">
        <f>IF(OR(tblRoster[[#This Row],[교직원상세구분]]="사회복무요원",tblRoster[[#This Row],[교직원상세구분]]="인턴(수습)"),"제외","포함")</f>
        <v>포함</v>
      </c>
      <c r="Y193">
        <f>1</f>
        <v>1</v>
      </c>
      <c r="Z193">
        <f>IF(tblRoster[[#This Row],[재직상태구분]]="휴직",1,0)</f>
        <v>0</v>
      </c>
      <c r="AA19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93">
        <f ca="1">IF(tblRoster[[#This Row],[본교발령시작일자]]="","",DATEDIF(tblRoster[[#This Row],[본교발령시작일자]],TODAY(),"Y"))</f>
        <v>0</v>
      </c>
      <c r="AC193">
        <f ca="1">IF(tblRoster[[#This Row],[최초발령시작일자]]="","",DATEDIF(tblRoster[[#This Row],[최초발령시작일자]],TODAY(),"Y"))</f>
        <v>9</v>
      </c>
      <c r="AD19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93">
        <f ca="1">IF(tblRoster[[#This Row],[직급발령시작일자]]="","",ROUND(YEARFRAC(tblRoster[[#This Row],[직급발령시작일자]],TODAY()),1))</f>
        <v>0.1</v>
      </c>
      <c r="AF19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3" t="str">
        <f ca="1">IF(OR(tblRoster[[#This Row],[공무원구분]]&lt;&gt;"공무원",tblRoster[[#This Row],[나이]]=""),"",YEAR(TODAY())+(60-tblRoster[[#This Row],[나이]]))</f>
        <v/>
      </c>
      <c r="AH193" t="str">
        <f>IF(tblRoster[[#This Row],[직위]]="","일반","보직자")</f>
        <v>일반</v>
      </c>
      <c r="AI19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3" t="str">
        <f ca="1">IF(tblRoster[[#This Row],[복직예정일]]="","",TEXT(tblRoster[[#This Row],[복직예정일]],"yyyy-mm"))</f>
        <v/>
      </c>
      <c r="AM193" t="str">
        <f ca="1">IF(tblRoster[[#This Row],[복직예정일]]="","",tblRoster[[#This Row],[복직예정일]]-TODAY())</f>
        <v/>
      </c>
      <c r="AN193" t="str">
        <f ca="1">IF(tblRoster[[#This Row],[휴직잔여일수]]="","",IF(tblRoster[[#This Row],[휴직잔여일수]]&lt;=180,"6개월내","6개월이후"))</f>
        <v/>
      </c>
      <c r="AO19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4" spans="1:41" x14ac:dyDescent="0.3">
      <c r="A194">
        <v>900192</v>
      </c>
      <c r="B194" t="s">
        <v>403</v>
      </c>
      <c r="C194" t="s">
        <v>8</v>
      </c>
      <c r="D194">
        <v>46</v>
      </c>
      <c r="E194" t="s">
        <v>128</v>
      </c>
      <c r="F194" t="s">
        <v>179</v>
      </c>
      <c r="G194" t="s">
        <v>182</v>
      </c>
      <c r="H194" t="s">
        <v>163</v>
      </c>
      <c r="I194" t="s">
        <v>144</v>
      </c>
      <c r="J194" t="s">
        <v>145</v>
      </c>
      <c r="L194" t="s">
        <v>135</v>
      </c>
      <c r="M194" t="s">
        <v>135</v>
      </c>
      <c r="N194" s="1">
        <v>40179</v>
      </c>
      <c r="O194" s="1">
        <v>40179</v>
      </c>
      <c r="P194" s="1">
        <v>43891</v>
      </c>
      <c r="Q194" s="1">
        <v>43891</v>
      </c>
      <c r="R194">
        <v>17</v>
      </c>
      <c r="T19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94" t="str">
        <f>IF(tblRoster[[#This Row],[급수]]="4급(임기제)","4급",tblRoster[[#This Row],[급수]])</f>
        <v>6급</v>
      </c>
      <c r="V19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9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4" t="str">
        <f>IF(OR(tblRoster[[#This Row],[교직원상세구분]]="사회복무요원",tblRoster[[#This Row],[교직원상세구분]]="인턴(수습)"),"제외","포함")</f>
        <v>포함</v>
      </c>
      <c r="Y194">
        <f>1</f>
        <v>1</v>
      </c>
      <c r="Z194">
        <f>IF(tblRoster[[#This Row],[재직상태구분]]="휴직",1,0)</f>
        <v>0</v>
      </c>
      <c r="AA19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94">
        <f ca="1">IF(tblRoster[[#This Row],[본교발령시작일자]]="","",DATEDIF(tblRoster[[#This Row],[본교발령시작일자]],TODAY(),"Y"))</f>
        <v>16</v>
      </c>
      <c r="AC194">
        <f ca="1">IF(tblRoster[[#This Row],[최초발령시작일자]]="","",DATEDIF(tblRoster[[#This Row],[최초발령시작일자]],TODAY(),"Y"))</f>
        <v>16</v>
      </c>
      <c r="AD19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94">
        <f ca="1">IF(tblRoster[[#This Row],[직급발령시작일자]]="","",ROUND(YEARFRAC(tblRoster[[#This Row],[직급발령시작일자]],TODAY()),1))</f>
        <v>6.5</v>
      </c>
      <c r="AF19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194">
        <f ca="1">IF(OR(tblRoster[[#This Row],[공무원구분]]&lt;&gt;"공무원",tblRoster[[#This Row],[나이]]=""),"",YEAR(TODAY())+(60-tblRoster[[#This Row],[나이]]))</f>
        <v>2040</v>
      </c>
      <c r="AH194" t="str">
        <f>IF(tblRoster[[#This Row],[직위]]="","일반","보직자")</f>
        <v>일반</v>
      </c>
      <c r="AI19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4" t="str">
        <f ca="1">IF(tblRoster[[#This Row],[복직예정일]]="","",TEXT(tblRoster[[#This Row],[복직예정일]],"yyyy-mm"))</f>
        <v/>
      </c>
      <c r="AM194" t="str">
        <f ca="1">IF(tblRoster[[#This Row],[복직예정일]]="","",tblRoster[[#This Row],[복직예정일]]-TODAY())</f>
        <v/>
      </c>
      <c r="AN194" t="str">
        <f ca="1">IF(tblRoster[[#This Row],[휴직잔여일수]]="","",IF(tblRoster[[#This Row],[휴직잔여일수]]&lt;=180,"6개월내","6개월이후"))</f>
        <v/>
      </c>
      <c r="AO19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5" spans="1:41" x14ac:dyDescent="0.3">
      <c r="A195">
        <v>900193</v>
      </c>
      <c r="B195" t="s">
        <v>404</v>
      </c>
      <c r="C195" t="s">
        <v>8</v>
      </c>
      <c r="D195">
        <v>47</v>
      </c>
      <c r="E195" t="s">
        <v>128</v>
      </c>
      <c r="F195" t="s">
        <v>266</v>
      </c>
      <c r="G195" t="s">
        <v>197</v>
      </c>
      <c r="H195" t="s">
        <v>223</v>
      </c>
      <c r="I195" t="s">
        <v>144</v>
      </c>
      <c r="J195" t="s">
        <v>145</v>
      </c>
      <c r="L195" t="s">
        <v>135</v>
      </c>
      <c r="M195" t="s">
        <v>135</v>
      </c>
      <c r="N195" s="1">
        <v>45017</v>
      </c>
      <c r="O195" s="1">
        <v>44593</v>
      </c>
      <c r="P195" s="1">
        <v>44593</v>
      </c>
      <c r="Q195" s="1">
        <v>44593</v>
      </c>
      <c r="T19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95" t="str">
        <f>IF(tblRoster[[#This Row],[급수]]="4급(임기제)","4급",tblRoster[[#This Row],[급수]])</f>
        <v>8급</v>
      </c>
      <c r="V19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9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5" t="str">
        <f>IF(OR(tblRoster[[#This Row],[교직원상세구분]]="사회복무요원",tblRoster[[#This Row],[교직원상세구분]]="인턴(수습)"),"제외","포함")</f>
        <v>포함</v>
      </c>
      <c r="Y195">
        <f>1</f>
        <v>1</v>
      </c>
      <c r="Z195">
        <f>IF(tblRoster[[#This Row],[재직상태구분]]="휴직",1,0)</f>
        <v>0</v>
      </c>
      <c r="AA19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95">
        <f ca="1">IF(tblRoster[[#This Row],[본교발령시작일자]]="","",DATEDIF(tblRoster[[#This Row],[본교발령시작일자]],TODAY(),"Y"))</f>
        <v>4</v>
      </c>
      <c r="AC195">
        <f ca="1">IF(tblRoster[[#This Row],[최초발령시작일자]]="","",DATEDIF(tblRoster[[#This Row],[최초발령시작일자]],TODAY(),"Y"))</f>
        <v>3</v>
      </c>
      <c r="AD19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195">
        <f ca="1">IF(tblRoster[[#This Row],[직급발령시작일자]]="","",ROUND(YEARFRAC(tblRoster[[#This Row],[직급발령시작일자]],TODAY()),1))</f>
        <v>4.5999999999999996</v>
      </c>
      <c r="AF19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5">
        <f ca="1">IF(OR(tblRoster[[#This Row],[공무원구분]]&lt;&gt;"공무원",tblRoster[[#This Row],[나이]]=""),"",YEAR(TODAY())+(60-tblRoster[[#This Row],[나이]]))</f>
        <v>2039</v>
      </c>
      <c r="AH195" t="str">
        <f>IF(tblRoster[[#This Row],[직위]]="","일반","보직자")</f>
        <v>일반</v>
      </c>
      <c r="AI19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5" t="str">
        <f ca="1">IF(tblRoster[[#This Row],[복직예정일]]="","",TEXT(tblRoster[[#This Row],[복직예정일]],"yyyy-mm"))</f>
        <v/>
      </c>
      <c r="AM195" t="str">
        <f ca="1">IF(tblRoster[[#This Row],[복직예정일]]="","",tblRoster[[#This Row],[복직예정일]]-TODAY())</f>
        <v/>
      </c>
      <c r="AN195" t="str">
        <f ca="1">IF(tblRoster[[#This Row],[휴직잔여일수]]="","",IF(tblRoster[[#This Row],[휴직잔여일수]]&lt;=180,"6개월내","6개월이후"))</f>
        <v/>
      </c>
      <c r="AO19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6" spans="1:41" x14ac:dyDescent="0.3">
      <c r="A196">
        <v>900194</v>
      </c>
      <c r="B196" t="s">
        <v>405</v>
      </c>
      <c r="C196" t="s">
        <v>8</v>
      </c>
      <c r="D196">
        <v>34</v>
      </c>
      <c r="E196" t="s">
        <v>150</v>
      </c>
      <c r="F196" t="s">
        <v>162</v>
      </c>
      <c r="G196" t="s">
        <v>211</v>
      </c>
      <c r="H196" t="s">
        <v>131</v>
      </c>
      <c r="I196" t="s">
        <v>132</v>
      </c>
      <c r="J196" t="s">
        <v>133</v>
      </c>
      <c r="L196" t="s">
        <v>135</v>
      </c>
      <c r="M196" t="s">
        <v>135</v>
      </c>
      <c r="N196" s="1">
        <v>45200</v>
      </c>
      <c r="O196" s="1">
        <v>45200</v>
      </c>
      <c r="P196" s="1">
        <v>45200</v>
      </c>
      <c r="Q196" s="1">
        <v>45200</v>
      </c>
      <c r="R196">
        <v>3</v>
      </c>
      <c r="T19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196" t="str">
        <f>IF(tblRoster[[#This Row],[급수]]="4급(임기제)","4급",tblRoster[[#This Row],[급수]])</f>
        <v>대학회계계약직</v>
      </c>
      <c r="V19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19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196" t="str">
        <f>IF(OR(tblRoster[[#This Row],[교직원상세구분]]="사회복무요원",tblRoster[[#This Row],[교직원상세구분]]="인턴(수습)"),"제외","포함")</f>
        <v>포함</v>
      </c>
      <c r="Y196">
        <f>1</f>
        <v>1</v>
      </c>
      <c r="Z196">
        <f>IF(tblRoster[[#This Row],[재직상태구분]]="휴직",1,0)</f>
        <v>0</v>
      </c>
      <c r="AA19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96">
        <f ca="1">IF(tblRoster[[#This Row],[본교발령시작일자]]="","",DATEDIF(tblRoster[[#This Row],[본교발령시작일자]],TODAY(),"Y"))</f>
        <v>2</v>
      </c>
      <c r="AC196">
        <f ca="1">IF(tblRoster[[#This Row],[최초발령시작일자]]="","",DATEDIF(tblRoster[[#This Row],[최초발령시작일자]],TODAY(),"Y"))</f>
        <v>2</v>
      </c>
      <c r="AD19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196">
        <f ca="1">IF(tblRoster[[#This Row],[직급발령시작일자]]="","",ROUND(YEARFRAC(tblRoster[[#This Row],[직급발령시작일자]],TODAY()),1))</f>
        <v>2.9</v>
      </c>
      <c r="AF19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6" t="str">
        <f ca="1">IF(OR(tblRoster[[#This Row],[공무원구분]]&lt;&gt;"공무원",tblRoster[[#This Row],[나이]]=""),"",YEAR(TODAY())+(60-tblRoster[[#This Row],[나이]]))</f>
        <v/>
      </c>
      <c r="AH196" t="str">
        <f>IF(tblRoster[[#This Row],[직위]]="","일반","보직자")</f>
        <v>일반</v>
      </c>
      <c r="AI19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6" t="str">
        <f ca="1">IF(tblRoster[[#This Row],[복직예정일]]="","",TEXT(tblRoster[[#This Row],[복직예정일]],"yyyy-mm"))</f>
        <v/>
      </c>
      <c r="AM196" t="str">
        <f ca="1">IF(tblRoster[[#This Row],[복직예정일]]="","",tblRoster[[#This Row],[복직예정일]]-TODAY())</f>
        <v/>
      </c>
      <c r="AN196" t="str">
        <f ca="1">IF(tblRoster[[#This Row],[휴직잔여일수]]="","",IF(tblRoster[[#This Row],[휴직잔여일수]]&lt;=180,"6개월내","6개월이후"))</f>
        <v/>
      </c>
      <c r="AO19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7" spans="1:41" x14ac:dyDescent="0.3">
      <c r="A197">
        <v>900195</v>
      </c>
      <c r="B197" t="s">
        <v>47</v>
      </c>
      <c r="C197" t="s">
        <v>16</v>
      </c>
      <c r="D197">
        <v>55</v>
      </c>
      <c r="E197" t="s">
        <v>150</v>
      </c>
      <c r="F197" t="s">
        <v>246</v>
      </c>
      <c r="G197" t="s">
        <v>222</v>
      </c>
      <c r="H197" t="s">
        <v>180</v>
      </c>
      <c r="I197" t="s">
        <v>144</v>
      </c>
      <c r="J197" t="s">
        <v>145</v>
      </c>
      <c r="L197" t="s">
        <v>135</v>
      </c>
      <c r="M197" t="s">
        <v>135</v>
      </c>
      <c r="N197" s="1">
        <v>40909</v>
      </c>
      <c r="O197" s="1">
        <v>45717</v>
      </c>
      <c r="P197" s="1">
        <v>45717</v>
      </c>
      <c r="Q197" s="1">
        <v>45717</v>
      </c>
      <c r="R197">
        <v>16</v>
      </c>
      <c r="S197" t="s">
        <v>406</v>
      </c>
      <c r="T19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197" t="str">
        <f>IF(tblRoster[[#This Row],[급수]]="4급(임기제)","4급",tblRoster[[#This Row],[급수]])</f>
        <v>7급</v>
      </c>
      <c r="V19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19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7" t="str">
        <f>IF(OR(tblRoster[[#This Row],[교직원상세구분]]="사회복무요원",tblRoster[[#This Row],[교직원상세구분]]="인턴(수습)"),"제외","포함")</f>
        <v>포함</v>
      </c>
      <c r="Y197">
        <f>1</f>
        <v>1</v>
      </c>
      <c r="Z197">
        <f>IF(tblRoster[[#This Row],[재직상태구분]]="휴직",1,0)</f>
        <v>1</v>
      </c>
      <c r="AA19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197">
        <f ca="1">IF(tblRoster[[#This Row],[본교발령시작일자]]="","",DATEDIF(tblRoster[[#This Row],[본교발령시작일자]],TODAY(),"Y"))</f>
        <v>1</v>
      </c>
      <c r="AC197">
        <f ca="1">IF(tblRoster[[#This Row],[최초발령시작일자]]="","",DATEDIF(tblRoster[[#This Row],[최초발령시작일자]],TODAY(),"Y"))</f>
        <v>14</v>
      </c>
      <c r="AD19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197">
        <f ca="1">IF(tblRoster[[#This Row],[직급발령시작일자]]="","",ROUND(YEARFRAC(tblRoster[[#This Row],[직급발령시작일자]],TODAY()),1))</f>
        <v>1.5</v>
      </c>
      <c r="AF19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7">
        <f ca="1">IF(OR(tblRoster[[#This Row],[공무원구분]]&lt;&gt;"공무원",tblRoster[[#This Row],[나이]]=""),"",YEAR(TODAY())+(60-tblRoster[[#This Row],[나이]]))</f>
        <v>2031</v>
      </c>
      <c r="AH197" t="str">
        <f>IF(tblRoster[[#This Row],[직위]]="","일반","보직자")</f>
        <v>일반</v>
      </c>
      <c r="AI197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46178</v>
      </c>
      <c r="AJ19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197" s="1">
        <f ca="1">IF(tblRoster[[#This Row],[현재휴직시작일]]="","",IFERROR(INDEX(tblLeave[종료일],MATCH(tblRoster[[#This Row],[교직원번호]]&amp;"|"&amp;tblRoster[[#This Row],[현재휴직시작일]],tblLeave[매칭키],0)),""))</f>
        <v>46543</v>
      </c>
      <c r="AL197" t="str">
        <f ca="1">IF(tblRoster[[#This Row],[복직예정일]]="","",TEXT(tblRoster[[#This Row],[복직예정일]],"yyyy-mm"))</f>
        <v>2027-06</v>
      </c>
      <c r="AM197">
        <f ca="1">IF(tblRoster[[#This Row],[복직예정일]]="","",tblRoster[[#This Row],[복직예정일]]-TODAY())</f>
        <v>271</v>
      </c>
      <c r="AN197" t="str">
        <f ca="1">IF(tblRoster[[#This Row],[휴직잔여일수]]="","",IF(tblRoster[[#This Row],[휴직잔여일수]]&lt;=180,"6개월내","6개월이후"))</f>
        <v>6개월이후</v>
      </c>
      <c r="AO19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8" spans="1:41" x14ac:dyDescent="0.3">
      <c r="A198">
        <v>900196</v>
      </c>
      <c r="B198" t="s">
        <v>407</v>
      </c>
      <c r="C198" t="s">
        <v>8</v>
      </c>
      <c r="D198">
        <v>47</v>
      </c>
      <c r="E198" t="s">
        <v>150</v>
      </c>
      <c r="F198" t="s">
        <v>184</v>
      </c>
      <c r="G198" t="s">
        <v>130</v>
      </c>
      <c r="H198" t="s">
        <v>219</v>
      </c>
      <c r="I198" t="s">
        <v>144</v>
      </c>
      <c r="J198" t="s">
        <v>145</v>
      </c>
      <c r="L198" t="s">
        <v>134</v>
      </c>
      <c r="M198" t="s">
        <v>135</v>
      </c>
      <c r="N198" s="1">
        <v>44562</v>
      </c>
      <c r="O198" s="1">
        <v>45505</v>
      </c>
      <c r="P198" s="1">
        <v>46357</v>
      </c>
      <c r="Q198" s="1">
        <v>46357</v>
      </c>
      <c r="R198">
        <v>7</v>
      </c>
      <c r="T19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198" t="str">
        <f>IF(tblRoster[[#This Row],[급수]]="4급(임기제)","4급",tblRoster[[#This Row],[급수]])</f>
        <v>8급</v>
      </c>
      <c r="V19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19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8" t="str">
        <f>IF(OR(tblRoster[[#This Row],[교직원상세구분]]="사회복무요원",tblRoster[[#This Row],[교직원상세구분]]="인턴(수습)"),"제외","포함")</f>
        <v>포함</v>
      </c>
      <c r="Y198">
        <f>1</f>
        <v>1</v>
      </c>
      <c r="Z198">
        <f>IF(tblRoster[[#This Row],[재직상태구분]]="휴직",1,0)</f>
        <v>0</v>
      </c>
      <c r="AA19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198">
        <f ca="1">IF(tblRoster[[#This Row],[본교발령시작일자]]="","",DATEDIF(tblRoster[[#This Row],[본교발령시작일자]],TODAY(),"Y"))</f>
        <v>2</v>
      </c>
      <c r="AC198">
        <f ca="1">IF(tblRoster[[#This Row],[최초발령시작일자]]="","",DATEDIF(tblRoster[[#This Row],[최초발령시작일자]],TODAY(),"Y"))</f>
        <v>4</v>
      </c>
      <c r="AD19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198">
        <f ca="1">IF(tblRoster[[#This Row],[직급발령시작일자]]="","",ROUND(YEARFRAC(tblRoster[[#This Row],[직급발령시작일자]],TODAY()),1))</f>
        <v>0.2</v>
      </c>
      <c r="AF19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198">
        <f ca="1">IF(OR(tblRoster[[#This Row],[공무원구분]]&lt;&gt;"공무원",tblRoster[[#This Row],[나이]]=""),"",YEAR(TODAY())+(60-tblRoster[[#This Row],[나이]]))</f>
        <v>2039</v>
      </c>
      <c r="AH198" t="str">
        <f>IF(tblRoster[[#This Row],[직위]]="","일반","보직자")</f>
        <v>일반</v>
      </c>
      <c r="AI19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8" t="str">
        <f ca="1">IF(tblRoster[[#This Row],[복직예정일]]="","",TEXT(tblRoster[[#This Row],[복직예정일]],"yyyy-mm"))</f>
        <v/>
      </c>
      <c r="AM198" t="str">
        <f ca="1">IF(tblRoster[[#This Row],[복직예정일]]="","",tblRoster[[#This Row],[복직예정일]]-TODAY())</f>
        <v/>
      </c>
      <c r="AN198" t="str">
        <f ca="1">IF(tblRoster[[#This Row],[휴직잔여일수]]="","",IF(tblRoster[[#This Row],[휴직잔여일수]]&lt;=180,"6개월내","6개월이후"))</f>
        <v/>
      </c>
      <c r="AO19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199" spans="1:41" x14ac:dyDescent="0.3">
      <c r="A199">
        <v>900197</v>
      </c>
      <c r="B199" t="s">
        <v>408</v>
      </c>
      <c r="C199" t="s">
        <v>8</v>
      </c>
      <c r="D199">
        <v>39</v>
      </c>
      <c r="E199" t="s">
        <v>128</v>
      </c>
      <c r="F199" t="s">
        <v>246</v>
      </c>
      <c r="G199" t="s">
        <v>173</v>
      </c>
      <c r="H199" t="s">
        <v>163</v>
      </c>
      <c r="I199" t="s">
        <v>144</v>
      </c>
      <c r="J199" t="s">
        <v>145</v>
      </c>
      <c r="L199" t="s">
        <v>135</v>
      </c>
      <c r="M199" t="s">
        <v>135</v>
      </c>
      <c r="N199" s="1">
        <v>39995</v>
      </c>
      <c r="O199" s="1">
        <v>39995</v>
      </c>
      <c r="P199" s="1">
        <v>42401</v>
      </c>
      <c r="Q199" s="1">
        <v>42401</v>
      </c>
      <c r="R199">
        <v>20</v>
      </c>
      <c r="T19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199" t="str">
        <f>IF(tblRoster[[#This Row],[급수]]="4급(임기제)","4급",tblRoster[[#This Row],[급수]])</f>
        <v>6급</v>
      </c>
      <c r="V19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19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199" t="str">
        <f>IF(OR(tblRoster[[#This Row],[교직원상세구분]]="사회복무요원",tblRoster[[#This Row],[교직원상세구분]]="인턴(수습)"),"제외","포함")</f>
        <v>포함</v>
      </c>
      <c r="Y199">
        <f>1</f>
        <v>1</v>
      </c>
      <c r="Z199">
        <f>IF(tblRoster[[#This Row],[재직상태구분]]="휴직",1,0)</f>
        <v>0</v>
      </c>
      <c r="AA19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199">
        <f ca="1">IF(tblRoster[[#This Row],[본교발령시작일자]]="","",DATEDIF(tblRoster[[#This Row],[본교발령시작일자]],TODAY(),"Y"))</f>
        <v>17</v>
      </c>
      <c r="AC199">
        <f ca="1">IF(tblRoster[[#This Row],[최초발령시작일자]]="","",DATEDIF(tblRoster[[#This Row],[최초발령시작일자]],TODAY(),"Y"))</f>
        <v>17</v>
      </c>
      <c r="AD19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199">
        <f ca="1">IF(tblRoster[[#This Row],[직급발령시작일자]]="","",ROUND(YEARFRAC(tblRoster[[#This Row],[직급발령시작일자]],TODAY()),1))</f>
        <v>10.6</v>
      </c>
      <c r="AF19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199">
        <f ca="1">IF(OR(tblRoster[[#This Row],[공무원구분]]&lt;&gt;"공무원",tblRoster[[#This Row],[나이]]=""),"",YEAR(TODAY())+(60-tblRoster[[#This Row],[나이]]))</f>
        <v>2047</v>
      </c>
      <c r="AH199" t="str">
        <f>IF(tblRoster[[#This Row],[직위]]="","일반","보직자")</f>
        <v>일반</v>
      </c>
      <c r="AI19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19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19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199" t="str">
        <f ca="1">IF(tblRoster[[#This Row],[복직예정일]]="","",TEXT(tblRoster[[#This Row],[복직예정일]],"yyyy-mm"))</f>
        <v/>
      </c>
      <c r="AM199" t="str">
        <f ca="1">IF(tblRoster[[#This Row],[복직예정일]]="","",tblRoster[[#This Row],[복직예정일]]-TODAY())</f>
        <v/>
      </c>
      <c r="AN199" t="str">
        <f ca="1">IF(tblRoster[[#This Row],[휴직잔여일수]]="","",IF(tblRoster[[#This Row],[휴직잔여일수]]&lt;=180,"6개월내","6개월이후"))</f>
        <v/>
      </c>
      <c r="AO19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0" spans="1:41" x14ac:dyDescent="0.3">
      <c r="A200">
        <v>900198</v>
      </c>
      <c r="B200" t="s">
        <v>409</v>
      </c>
      <c r="C200" t="s">
        <v>8</v>
      </c>
      <c r="D200">
        <v>49</v>
      </c>
      <c r="E200" t="s">
        <v>150</v>
      </c>
      <c r="F200" t="s">
        <v>184</v>
      </c>
      <c r="G200" t="s">
        <v>211</v>
      </c>
      <c r="H200" t="s">
        <v>209</v>
      </c>
      <c r="I200" t="s">
        <v>144</v>
      </c>
      <c r="J200" t="s">
        <v>145</v>
      </c>
      <c r="L200" t="s">
        <v>134</v>
      </c>
      <c r="M200" t="s">
        <v>135</v>
      </c>
      <c r="N200" s="1">
        <v>40026</v>
      </c>
      <c r="O200" s="1">
        <v>40026</v>
      </c>
      <c r="P200" s="1">
        <v>44228</v>
      </c>
      <c r="Q200" s="1">
        <v>44228</v>
      </c>
      <c r="R200">
        <v>19</v>
      </c>
      <c r="T20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00" t="str">
        <f>IF(tblRoster[[#This Row],[급수]]="4급(임기제)","4급",tblRoster[[#This Row],[급수]])</f>
        <v>6급</v>
      </c>
      <c r="V20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0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0" t="str">
        <f>IF(OR(tblRoster[[#This Row],[교직원상세구분]]="사회복무요원",tblRoster[[#This Row],[교직원상세구분]]="인턴(수습)"),"제외","포함")</f>
        <v>포함</v>
      </c>
      <c r="Y200">
        <f>1</f>
        <v>1</v>
      </c>
      <c r="Z200">
        <f>IF(tblRoster[[#This Row],[재직상태구분]]="휴직",1,0)</f>
        <v>0</v>
      </c>
      <c r="AA20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00">
        <f ca="1">IF(tblRoster[[#This Row],[본교발령시작일자]]="","",DATEDIF(tblRoster[[#This Row],[본교발령시작일자]],TODAY(),"Y"))</f>
        <v>17</v>
      </c>
      <c r="AC200">
        <f ca="1">IF(tblRoster[[#This Row],[최초발령시작일자]]="","",DATEDIF(tblRoster[[#This Row],[최초발령시작일자]],TODAY(),"Y"))</f>
        <v>17</v>
      </c>
      <c r="AD20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00">
        <f ca="1">IF(tblRoster[[#This Row],[직급발령시작일자]]="","",ROUND(YEARFRAC(tblRoster[[#This Row],[직급발령시작일자]],TODAY()),1))</f>
        <v>5.6</v>
      </c>
      <c r="AF20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00">
        <f ca="1">IF(OR(tblRoster[[#This Row],[공무원구분]]&lt;&gt;"공무원",tblRoster[[#This Row],[나이]]=""),"",YEAR(TODAY())+(60-tblRoster[[#This Row],[나이]]))</f>
        <v>2037</v>
      </c>
      <c r="AH200" t="str">
        <f>IF(tblRoster[[#This Row],[직위]]="","일반","보직자")</f>
        <v>일반</v>
      </c>
      <c r="AI20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0" t="str">
        <f ca="1">IF(tblRoster[[#This Row],[복직예정일]]="","",TEXT(tblRoster[[#This Row],[복직예정일]],"yyyy-mm"))</f>
        <v/>
      </c>
      <c r="AM200" t="str">
        <f ca="1">IF(tblRoster[[#This Row],[복직예정일]]="","",tblRoster[[#This Row],[복직예정일]]-TODAY())</f>
        <v/>
      </c>
      <c r="AN200" t="str">
        <f ca="1">IF(tblRoster[[#This Row],[휴직잔여일수]]="","",IF(tblRoster[[#This Row],[휴직잔여일수]]&lt;=180,"6개월내","6개월이후"))</f>
        <v/>
      </c>
      <c r="AO20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1" spans="1:41" x14ac:dyDescent="0.3">
      <c r="A201">
        <v>900199</v>
      </c>
      <c r="B201" t="s">
        <v>410</v>
      </c>
      <c r="C201" t="s">
        <v>8</v>
      </c>
      <c r="D201">
        <v>40</v>
      </c>
      <c r="E201" t="s">
        <v>128</v>
      </c>
      <c r="F201" t="s">
        <v>168</v>
      </c>
      <c r="G201" t="s">
        <v>142</v>
      </c>
      <c r="H201" t="s">
        <v>165</v>
      </c>
      <c r="I201" t="s">
        <v>144</v>
      </c>
      <c r="J201" t="s">
        <v>145</v>
      </c>
      <c r="L201" t="s">
        <v>134</v>
      </c>
      <c r="M201" t="s">
        <v>135</v>
      </c>
      <c r="N201" s="1">
        <v>39448</v>
      </c>
      <c r="O201" s="1">
        <v>45931</v>
      </c>
      <c r="P201" s="1">
        <v>45931</v>
      </c>
      <c r="Q201" s="1">
        <v>45931</v>
      </c>
      <c r="R201">
        <v>18</v>
      </c>
      <c r="T20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01" t="str">
        <f>IF(tblRoster[[#This Row],[급수]]="4급(임기제)","4급",tblRoster[[#This Row],[급수]])</f>
        <v>6급</v>
      </c>
      <c r="V20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0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1" t="str">
        <f>IF(OR(tblRoster[[#This Row],[교직원상세구분]]="사회복무요원",tblRoster[[#This Row],[교직원상세구분]]="인턴(수습)"),"제외","포함")</f>
        <v>포함</v>
      </c>
      <c r="Y201">
        <f>1</f>
        <v>1</v>
      </c>
      <c r="Z201">
        <f>IF(tblRoster[[#This Row],[재직상태구분]]="휴직",1,0)</f>
        <v>0</v>
      </c>
      <c r="AA20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01">
        <f ca="1">IF(tblRoster[[#This Row],[본교발령시작일자]]="","",DATEDIF(tblRoster[[#This Row],[본교발령시작일자]],TODAY(),"Y"))</f>
        <v>0</v>
      </c>
      <c r="AC201">
        <f ca="1">IF(tblRoster[[#This Row],[최초발령시작일자]]="","",DATEDIF(tblRoster[[#This Row],[최초발령시작일자]],TODAY(),"Y"))</f>
        <v>18</v>
      </c>
      <c r="AD20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01">
        <f ca="1">IF(tblRoster[[#This Row],[직급발령시작일자]]="","",ROUND(YEARFRAC(tblRoster[[#This Row],[직급발령시작일자]],TODAY()),1))</f>
        <v>0.9</v>
      </c>
      <c r="AF20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1">
        <f ca="1">IF(OR(tblRoster[[#This Row],[공무원구분]]&lt;&gt;"공무원",tblRoster[[#This Row],[나이]]=""),"",YEAR(TODAY())+(60-tblRoster[[#This Row],[나이]]))</f>
        <v>2046</v>
      </c>
      <c r="AH201" t="str">
        <f>IF(tblRoster[[#This Row],[직위]]="","일반","보직자")</f>
        <v>일반</v>
      </c>
      <c r="AI20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1" t="str">
        <f ca="1">IF(tblRoster[[#This Row],[복직예정일]]="","",TEXT(tblRoster[[#This Row],[복직예정일]],"yyyy-mm"))</f>
        <v/>
      </c>
      <c r="AM201" t="str">
        <f ca="1">IF(tblRoster[[#This Row],[복직예정일]]="","",tblRoster[[#This Row],[복직예정일]]-TODAY())</f>
        <v/>
      </c>
      <c r="AN201" t="str">
        <f ca="1">IF(tblRoster[[#This Row],[휴직잔여일수]]="","",IF(tblRoster[[#This Row],[휴직잔여일수]]&lt;=180,"6개월내","6개월이후"))</f>
        <v/>
      </c>
      <c r="AO20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2" spans="1:41" x14ac:dyDescent="0.3">
      <c r="A202">
        <v>900200</v>
      </c>
      <c r="B202" t="s">
        <v>48</v>
      </c>
      <c r="C202" t="s">
        <v>8</v>
      </c>
      <c r="D202">
        <v>35</v>
      </c>
      <c r="E202" t="s">
        <v>128</v>
      </c>
      <c r="F202" t="s">
        <v>171</v>
      </c>
      <c r="G202" t="s">
        <v>173</v>
      </c>
      <c r="H202" t="s">
        <v>180</v>
      </c>
      <c r="I202" t="s">
        <v>144</v>
      </c>
      <c r="J202" t="s">
        <v>145</v>
      </c>
      <c r="L202" t="s">
        <v>134</v>
      </c>
      <c r="M202" t="s">
        <v>135</v>
      </c>
      <c r="N202" s="1">
        <v>42583</v>
      </c>
      <c r="O202" s="1">
        <v>42583</v>
      </c>
      <c r="P202" s="1">
        <v>45689</v>
      </c>
      <c r="Q202" s="1">
        <v>45689</v>
      </c>
      <c r="R202">
        <v>11</v>
      </c>
      <c r="S202" t="s">
        <v>411</v>
      </c>
      <c r="T20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02" t="str">
        <f>IF(tblRoster[[#This Row],[급수]]="4급(임기제)","4급",tblRoster[[#This Row],[급수]])</f>
        <v>7급</v>
      </c>
      <c r="V20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0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2" t="str">
        <f>IF(OR(tblRoster[[#This Row],[교직원상세구분]]="사회복무요원",tblRoster[[#This Row],[교직원상세구분]]="인턴(수습)"),"제외","포함")</f>
        <v>포함</v>
      </c>
      <c r="Y202">
        <f>1</f>
        <v>1</v>
      </c>
      <c r="Z202">
        <f>IF(tblRoster[[#This Row],[재직상태구분]]="휴직",1,0)</f>
        <v>0</v>
      </c>
      <c r="AA20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02">
        <f ca="1">IF(tblRoster[[#This Row],[본교발령시작일자]]="","",DATEDIF(tblRoster[[#This Row],[본교발령시작일자]],TODAY(),"Y"))</f>
        <v>10</v>
      </c>
      <c r="AC202">
        <f ca="1">IF(tblRoster[[#This Row],[최초발령시작일자]]="","",DATEDIF(tblRoster[[#This Row],[최초발령시작일자]],TODAY(),"Y"))</f>
        <v>10</v>
      </c>
      <c r="AD20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02">
        <f ca="1">IF(tblRoster[[#This Row],[직급발령시작일자]]="","",ROUND(YEARFRAC(tblRoster[[#This Row],[직급발령시작일자]],TODAY()),1))</f>
        <v>1.6</v>
      </c>
      <c r="AF20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2">
        <f ca="1">IF(OR(tblRoster[[#This Row],[공무원구분]]&lt;&gt;"공무원",tblRoster[[#This Row],[나이]]=""),"",YEAR(TODAY())+(60-tblRoster[[#This Row],[나이]]))</f>
        <v>2051</v>
      </c>
      <c r="AH202" t="str">
        <f>IF(tblRoster[[#This Row],[직위]]="","일반","보직자")</f>
        <v>일반</v>
      </c>
      <c r="AI20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2" t="str">
        <f ca="1">IF(tblRoster[[#This Row],[복직예정일]]="","",TEXT(tblRoster[[#This Row],[복직예정일]],"yyyy-mm"))</f>
        <v/>
      </c>
      <c r="AM202" t="str">
        <f ca="1">IF(tblRoster[[#This Row],[복직예정일]]="","",tblRoster[[#This Row],[복직예정일]]-TODAY())</f>
        <v/>
      </c>
      <c r="AN202" t="str">
        <f ca="1">IF(tblRoster[[#This Row],[휴직잔여일수]]="","",IF(tblRoster[[#This Row],[휴직잔여일수]]&lt;=180,"6개월내","6개월이후"))</f>
        <v/>
      </c>
      <c r="AO20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3" spans="1:41" x14ac:dyDescent="0.3">
      <c r="A203">
        <v>900201</v>
      </c>
      <c r="B203" t="s">
        <v>412</v>
      </c>
      <c r="C203" t="s">
        <v>8</v>
      </c>
      <c r="D203">
        <v>33</v>
      </c>
      <c r="E203" t="s">
        <v>128</v>
      </c>
      <c r="F203" t="s">
        <v>141</v>
      </c>
      <c r="G203" t="s">
        <v>169</v>
      </c>
      <c r="H203" t="s">
        <v>180</v>
      </c>
      <c r="I203" t="s">
        <v>144</v>
      </c>
      <c r="J203" t="s">
        <v>145</v>
      </c>
      <c r="L203" t="s">
        <v>134</v>
      </c>
      <c r="M203" t="s">
        <v>135</v>
      </c>
      <c r="N203" s="1">
        <v>43435</v>
      </c>
      <c r="O203" s="1">
        <v>43435</v>
      </c>
      <c r="P203" s="1">
        <v>43435</v>
      </c>
      <c r="Q203" s="1">
        <v>43435</v>
      </c>
      <c r="R203">
        <v>8</v>
      </c>
      <c r="T20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03" t="str">
        <f>IF(tblRoster[[#This Row],[급수]]="4급(임기제)","4급",tblRoster[[#This Row],[급수]])</f>
        <v>7급</v>
      </c>
      <c r="V20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0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3" t="str">
        <f>IF(OR(tblRoster[[#This Row],[교직원상세구분]]="사회복무요원",tblRoster[[#This Row],[교직원상세구분]]="인턴(수습)"),"제외","포함")</f>
        <v>포함</v>
      </c>
      <c r="Y203">
        <f>1</f>
        <v>1</v>
      </c>
      <c r="Z203">
        <f>IF(tblRoster[[#This Row],[재직상태구분]]="휴직",1,0)</f>
        <v>0</v>
      </c>
      <c r="AA20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03">
        <f ca="1">IF(tblRoster[[#This Row],[본교발령시작일자]]="","",DATEDIF(tblRoster[[#This Row],[본교발령시작일자]],TODAY(),"Y"))</f>
        <v>7</v>
      </c>
      <c r="AC203">
        <f ca="1">IF(tblRoster[[#This Row],[최초발령시작일자]]="","",DATEDIF(tblRoster[[#This Row],[최초발령시작일자]],TODAY(),"Y"))</f>
        <v>7</v>
      </c>
      <c r="AD20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03">
        <f ca="1">IF(tblRoster[[#This Row],[직급발령시작일자]]="","",ROUND(YEARFRAC(tblRoster[[#This Row],[직급발령시작일자]],TODAY()),1))</f>
        <v>7.8</v>
      </c>
      <c r="AF20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03">
        <f ca="1">IF(OR(tblRoster[[#This Row],[공무원구분]]&lt;&gt;"공무원",tblRoster[[#This Row],[나이]]=""),"",YEAR(TODAY())+(60-tblRoster[[#This Row],[나이]]))</f>
        <v>2053</v>
      </c>
      <c r="AH203" t="str">
        <f>IF(tblRoster[[#This Row],[직위]]="","일반","보직자")</f>
        <v>일반</v>
      </c>
      <c r="AI20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3" t="str">
        <f ca="1">IF(tblRoster[[#This Row],[복직예정일]]="","",TEXT(tblRoster[[#This Row],[복직예정일]],"yyyy-mm"))</f>
        <v/>
      </c>
      <c r="AM203" t="str">
        <f ca="1">IF(tblRoster[[#This Row],[복직예정일]]="","",tblRoster[[#This Row],[복직예정일]]-TODAY())</f>
        <v/>
      </c>
      <c r="AN203" t="str">
        <f ca="1">IF(tblRoster[[#This Row],[휴직잔여일수]]="","",IF(tblRoster[[#This Row],[휴직잔여일수]]&lt;=180,"6개월내","6개월이후"))</f>
        <v/>
      </c>
      <c r="AO20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4" spans="1:41" x14ac:dyDescent="0.3">
      <c r="A204">
        <v>900202</v>
      </c>
      <c r="B204" t="s">
        <v>413</v>
      </c>
      <c r="C204" t="s">
        <v>8</v>
      </c>
      <c r="D204">
        <v>26</v>
      </c>
      <c r="E204" t="s">
        <v>150</v>
      </c>
      <c r="F204" t="s">
        <v>162</v>
      </c>
      <c r="G204" t="s">
        <v>173</v>
      </c>
      <c r="H204" t="s">
        <v>175</v>
      </c>
      <c r="I204" t="s">
        <v>144</v>
      </c>
      <c r="J204" t="s">
        <v>145</v>
      </c>
      <c r="L204" t="s">
        <v>134</v>
      </c>
      <c r="M204" t="s">
        <v>135</v>
      </c>
      <c r="N204" s="1">
        <v>45566</v>
      </c>
      <c r="O204" s="1">
        <v>45566</v>
      </c>
      <c r="P204" s="1">
        <v>45566</v>
      </c>
      <c r="Q204" s="1">
        <v>45566</v>
      </c>
      <c r="R204">
        <v>4</v>
      </c>
      <c r="T20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04" t="str">
        <f>IF(tblRoster[[#This Row],[급수]]="4급(임기제)","4급",tblRoster[[#This Row],[급수]])</f>
        <v>9급</v>
      </c>
      <c r="V20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0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4" t="str">
        <f>IF(OR(tblRoster[[#This Row],[교직원상세구분]]="사회복무요원",tblRoster[[#This Row],[교직원상세구분]]="인턴(수습)"),"제외","포함")</f>
        <v>포함</v>
      </c>
      <c r="Y204">
        <f>1</f>
        <v>1</v>
      </c>
      <c r="Z204">
        <f>IF(tblRoster[[#This Row],[재직상태구분]]="휴직",1,0)</f>
        <v>0</v>
      </c>
      <c r="AA20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04">
        <f ca="1">IF(tblRoster[[#This Row],[본교발령시작일자]]="","",DATEDIF(tblRoster[[#This Row],[본교발령시작일자]],TODAY(),"Y"))</f>
        <v>1</v>
      </c>
      <c r="AC204">
        <f ca="1">IF(tblRoster[[#This Row],[최초발령시작일자]]="","",DATEDIF(tblRoster[[#This Row],[최초발령시작일자]],TODAY(),"Y"))</f>
        <v>1</v>
      </c>
      <c r="AD20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04">
        <f ca="1">IF(tblRoster[[#This Row],[직급발령시작일자]]="","",ROUND(YEARFRAC(tblRoster[[#This Row],[직급발령시작일자]],TODAY()),1))</f>
        <v>1.9</v>
      </c>
      <c r="AF20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4">
        <f ca="1">IF(OR(tblRoster[[#This Row],[공무원구분]]&lt;&gt;"공무원",tblRoster[[#This Row],[나이]]=""),"",YEAR(TODAY())+(60-tblRoster[[#This Row],[나이]]))</f>
        <v>2060</v>
      </c>
      <c r="AH204" t="str">
        <f>IF(tblRoster[[#This Row],[직위]]="","일반","보직자")</f>
        <v>일반</v>
      </c>
      <c r="AI20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4" t="str">
        <f ca="1">IF(tblRoster[[#This Row],[복직예정일]]="","",TEXT(tblRoster[[#This Row],[복직예정일]],"yyyy-mm"))</f>
        <v/>
      </c>
      <c r="AM204" t="str">
        <f ca="1">IF(tblRoster[[#This Row],[복직예정일]]="","",tblRoster[[#This Row],[복직예정일]]-TODAY())</f>
        <v/>
      </c>
      <c r="AN204" t="str">
        <f ca="1">IF(tblRoster[[#This Row],[휴직잔여일수]]="","",IF(tblRoster[[#This Row],[휴직잔여일수]]&lt;=180,"6개월내","6개월이후"))</f>
        <v/>
      </c>
      <c r="AO20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5" spans="1:41" x14ac:dyDescent="0.3">
      <c r="A205">
        <v>900203</v>
      </c>
      <c r="B205" t="s">
        <v>414</v>
      </c>
      <c r="C205" t="s">
        <v>8</v>
      </c>
      <c r="D205">
        <v>47</v>
      </c>
      <c r="E205" t="s">
        <v>150</v>
      </c>
      <c r="F205" t="s">
        <v>179</v>
      </c>
      <c r="G205" t="s">
        <v>169</v>
      </c>
      <c r="H205" t="s">
        <v>163</v>
      </c>
      <c r="I205" t="s">
        <v>144</v>
      </c>
      <c r="J205" t="s">
        <v>145</v>
      </c>
      <c r="L205" t="s">
        <v>134</v>
      </c>
      <c r="M205" t="s">
        <v>135</v>
      </c>
      <c r="N205" s="1">
        <v>43101</v>
      </c>
      <c r="O205" s="1">
        <v>43101</v>
      </c>
      <c r="P205" s="1">
        <v>43101</v>
      </c>
      <c r="Q205" s="1">
        <v>43101</v>
      </c>
      <c r="R205">
        <v>9</v>
      </c>
      <c r="T20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05" t="str">
        <f>IF(tblRoster[[#This Row],[급수]]="4급(임기제)","4급",tblRoster[[#This Row],[급수]])</f>
        <v>6급</v>
      </c>
      <c r="V20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0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5" t="str">
        <f>IF(OR(tblRoster[[#This Row],[교직원상세구분]]="사회복무요원",tblRoster[[#This Row],[교직원상세구분]]="인턴(수습)"),"제외","포함")</f>
        <v>포함</v>
      </c>
      <c r="Y205">
        <f>1</f>
        <v>1</v>
      </c>
      <c r="Z205">
        <f>IF(tblRoster[[#This Row],[재직상태구분]]="휴직",1,0)</f>
        <v>0</v>
      </c>
      <c r="AA20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05">
        <f ca="1">IF(tblRoster[[#This Row],[본교발령시작일자]]="","",DATEDIF(tblRoster[[#This Row],[본교발령시작일자]],TODAY(),"Y"))</f>
        <v>8</v>
      </c>
      <c r="AC205">
        <f ca="1">IF(tblRoster[[#This Row],[최초발령시작일자]]="","",DATEDIF(tblRoster[[#This Row],[최초발령시작일자]],TODAY(),"Y"))</f>
        <v>8</v>
      </c>
      <c r="AD20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05">
        <f ca="1">IF(tblRoster[[#This Row],[직급발령시작일자]]="","",ROUND(YEARFRAC(tblRoster[[#This Row],[직급발령시작일자]],TODAY()),1))</f>
        <v>8.6999999999999993</v>
      </c>
      <c r="AF20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05">
        <f ca="1">IF(OR(tblRoster[[#This Row],[공무원구분]]&lt;&gt;"공무원",tblRoster[[#This Row],[나이]]=""),"",YEAR(TODAY())+(60-tblRoster[[#This Row],[나이]]))</f>
        <v>2039</v>
      </c>
      <c r="AH205" t="str">
        <f>IF(tblRoster[[#This Row],[직위]]="","일반","보직자")</f>
        <v>일반</v>
      </c>
      <c r="AI20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5" t="str">
        <f ca="1">IF(tblRoster[[#This Row],[복직예정일]]="","",TEXT(tblRoster[[#This Row],[복직예정일]],"yyyy-mm"))</f>
        <v/>
      </c>
      <c r="AM205" t="str">
        <f ca="1">IF(tblRoster[[#This Row],[복직예정일]]="","",tblRoster[[#This Row],[복직예정일]]-TODAY())</f>
        <v/>
      </c>
      <c r="AN205" t="str">
        <f ca="1">IF(tblRoster[[#This Row],[휴직잔여일수]]="","",IF(tblRoster[[#This Row],[휴직잔여일수]]&lt;=180,"6개월내","6개월이후"))</f>
        <v/>
      </c>
      <c r="AO20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6" spans="1:41" x14ac:dyDescent="0.3">
      <c r="A206">
        <v>900204</v>
      </c>
      <c r="B206" t="s">
        <v>415</v>
      </c>
      <c r="C206" t="s">
        <v>8</v>
      </c>
      <c r="D206">
        <v>52</v>
      </c>
      <c r="E206" t="s">
        <v>128</v>
      </c>
      <c r="F206" t="s">
        <v>141</v>
      </c>
      <c r="G206" t="s">
        <v>142</v>
      </c>
      <c r="H206" t="s">
        <v>416</v>
      </c>
      <c r="I206" t="s">
        <v>132</v>
      </c>
      <c r="J206" t="s">
        <v>133</v>
      </c>
      <c r="L206" t="s">
        <v>134</v>
      </c>
      <c r="M206" t="s">
        <v>135</v>
      </c>
      <c r="N206" s="1">
        <v>36586</v>
      </c>
      <c r="O206" s="1">
        <v>36586</v>
      </c>
      <c r="P206" s="1">
        <v>46143</v>
      </c>
      <c r="Q206" s="1">
        <v>46143</v>
      </c>
      <c r="R206">
        <v>26</v>
      </c>
      <c r="T20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06" t="str">
        <f>IF(tblRoster[[#This Row],[급수]]="4급(임기제)","4급",tblRoster[[#This Row],[급수]])</f>
        <v>대학회계계약직</v>
      </c>
      <c r="V20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0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06" t="str">
        <f>IF(OR(tblRoster[[#This Row],[교직원상세구분]]="사회복무요원",tblRoster[[#This Row],[교직원상세구분]]="인턴(수습)"),"제외","포함")</f>
        <v>포함</v>
      </c>
      <c r="Y206">
        <f>1</f>
        <v>1</v>
      </c>
      <c r="Z206">
        <f>IF(tblRoster[[#This Row],[재직상태구분]]="휴직",1,0)</f>
        <v>0</v>
      </c>
      <c r="AA20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06">
        <f ca="1">IF(tblRoster[[#This Row],[본교발령시작일자]]="","",DATEDIF(tblRoster[[#This Row],[본교발령시작일자]],TODAY(),"Y"))</f>
        <v>26</v>
      </c>
      <c r="AC206">
        <f ca="1">IF(tblRoster[[#This Row],[최초발령시작일자]]="","",DATEDIF(tblRoster[[#This Row],[최초발령시작일자]],TODAY(),"Y"))</f>
        <v>26</v>
      </c>
      <c r="AD20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06">
        <f ca="1">IF(tblRoster[[#This Row],[직급발령시작일자]]="","",ROUND(YEARFRAC(tblRoster[[#This Row],[직급발령시작일자]],TODAY()),1))</f>
        <v>0.4</v>
      </c>
      <c r="AF20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6" t="str">
        <f ca="1">IF(OR(tblRoster[[#This Row],[공무원구분]]&lt;&gt;"공무원",tblRoster[[#This Row],[나이]]=""),"",YEAR(TODAY())+(60-tblRoster[[#This Row],[나이]]))</f>
        <v/>
      </c>
      <c r="AH206" t="str">
        <f>IF(tblRoster[[#This Row],[직위]]="","일반","보직자")</f>
        <v>일반</v>
      </c>
      <c r="AI20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6" t="str">
        <f ca="1">IF(tblRoster[[#This Row],[복직예정일]]="","",TEXT(tblRoster[[#This Row],[복직예정일]],"yyyy-mm"))</f>
        <v/>
      </c>
      <c r="AM206" t="str">
        <f ca="1">IF(tblRoster[[#This Row],[복직예정일]]="","",tblRoster[[#This Row],[복직예정일]]-TODAY())</f>
        <v/>
      </c>
      <c r="AN206" t="str">
        <f ca="1">IF(tblRoster[[#This Row],[휴직잔여일수]]="","",IF(tblRoster[[#This Row],[휴직잔여일수]]&lt;=180,"6개월내","6개월이후"))</f>
        <v/>
      </c>
      <c r="AO20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7" spans="1:41" x14ac:dyDescent="0.3">
      <c r="A207">
        <v>900205</v>
      </c>
      <c r="B207" t="s">
        <v>417</v>
      </c>
      <c r="C207" t="s">
        <v>8</v>
      </c>
      <c r="D207">
        <v>28</v>
      </c>
      <c r="E207" t="s">
        <v>128</v>
      </c>
      <c r="F207" t="s">
        <v>171</v>
      </c>
      <c r="G207" t="s">
        <v>207</v>
      </c>
      <c r="H207" t="s">
        <v>252</v>
      </c>
      <c r="I207" t="s">
        <v>132</v>
      </c>
      <c r="J207" t="s">
        <v>133</v>
      </c>
      <c r="L207" t="s">
        <v>134</v>
      </c>
      <c r="M207" t="s">
        <v>135</v>
      </c>
      <c r="N207" s="1">
        <v>45292</v>
      </c>
      <c r="O207" s="1">
        <v>45292</v>
      </c>
      <c r="P207" s="1">
        <v>45292</v>
      </c>
      <c r="Q207" s="1">
        <v>45292</v>
      </c>
      <c r="R207">
        <v>4</v>
      </c>
      <c r="T20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07" t="str">
        <f>IF(tblRoster[[#This Row],[급수]]="4급(임기제)","4급",tblRoster[[#This Row],[급수]])</f>
        <v>대학회계계약직</v>
      </c>
      <c r="V20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0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07" t="str">
        <f>IF(OR(tblRoster[[#This Row],[교직원상세구분]]="사회복무요원",tblRoster[[#This Row],[교직원상세구분]]="인턴(수습)"),"제외","포함")</f>
        <v>포함</v>
      </c>
      <c r="Y207">
        <f>1</f>
        <v>1</v>
      </c>
      <c r="Z207">
        <f>IF(tblRoster[[#This Row],[재직상태구분]]="휴직",1,0)</f>
        <v>0</v>
      </c>
      <c r="AA20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07">
        <f ca="1">IF(tblRoster[[#This Row],[본교발령시작일자]]="","",DATEDIF(tblRoster[[#This Row],[본교발령시작일자]],TODAY(),"Y"))</f>
        <v>2</v>
      </c>
      <c r="AC207">
        <f ca="1">IF(tblRoster[[#This Row],[최초발령시작일자]]="","",DATEDIF(tblRoster[[#This Row],[최초발령시작일자]],TODAY(),"Y"))</f>
        <v>2</v>
      </c>
      <c r="AD20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07">
        <f ca="1">IF(tblRoster[[#This Row],[직급발령시작일자]]="","",ROUND(YEARFRAC(tblRoster[[#This Row],[직급발령시작일자]],TODAY()),1))</f>
        <v>2.7</v>
      </c>
      <c r="AF20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7" t="str">
        <f ca="1">IF(OR(tblRoster[[#This Row],[공무원구분]]&lt;&gt;"공무원",tblRoster[[#This Row],[나이]]=""),"",YEAR(TODAY())+(60-tblRoster[[#This Row],[나이]]))</f>
        <v/>
      </c>
      <c r="AH207" t="str">
        <f>IF(tblRoster[[#This Row],[직위]]="","일반","보직자")</f>
        <v>일반</v>
      </c>
      <c r="AI20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7" t="str">
        <f ca="1">IF(tblRoster[[#This Row],[복직예정일]]="","",TEXT(tblRoster[[#This Row],[복직예정일]],"yyyy-mm"))</f>
        <v/>
      </c>
      <c r="AM207" t="str">
        <f ca="1">IF(tblRoster[[#This Row],[복직예정일]]="","",tblRoster[[#This Row],[복직예정일]]-TODAY())</f>
        <v/>
      </c>
      <c r="AN207" t="str">
        <f ca="1">IF(tblRoster[[#This Row],[휴직잔여일수]]="","",IF(tblRoster[[#This Row],[휴직잔여일수]]&lt;=180,"6개월내","6개월이후"))</f>
        <v/>
      </c>
      <c r="AO20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8" spans="1:41" x14ac:dyDescent="0.3">
      <c r="A208">
        <v>900206</v>
      </c>
      <c r="B208" t="s">
        <v>49</v>
      </c>
      <c r="C208" t="s">
        <v>8</v>
      </c>
      <c r="D208">
        <v>38</v>
      </c>
      <c r="E208" t="s">
        <v>128</v>
      </c>
      <c r="F208" t="s">
        <v>154</v>
      </c>
      <c r="G208" t="s">
        <v>173</v>
      </c>
      <c r="H208" t="s">
        <v>230</v>
      </c>
      <c r="I208" t="s">
        <v>144</v>
      </c>
      <c r="J208" t="s">
        <v>145</v>
      </c>
      <c r="L208" t="s">
        <v>135</v>
      </c>
      <c r="M208" t="s">
        <v>135</v>
      </c>
      <c r="N208" s="1">
        <v>42979</v>
      </c>
      <c r="O208" s="1">
        <v>42979</v>
      </c>
      <c r="P208" s="1">
        <v>45323</v>
      </c>
      <c r="Q208" s="1">
        <v>45323</v>
      </c>
      <c r="R208">
        <v>11</v>
      </c>
      <c r="S208" t="s">
        <v>418</v>
      </c>
      <c r="T20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08" t="str">
        <f>IF(tblRoster[[#This Row],[급수]]="4급(임기제)","4급",tblRoster[[#This Row],[급수]])</f>
        <v>6급</v>
      </c>
      <c r="V20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0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8" t="str">
        <f>IF(OR(tblRoster[[#This Row],[교직원상세구분]]="사회복무요원",tblRoster[[#This Row],[교직원상세구분]]="인턴(수습)"),"제외","포함")</f>
        <v>포함</v>
      </c>
      <c r="Y208">
        <f>1</f>
        <v>1</v>
      </c>
      <c r="Z208">
        <f>IF(tblRoster[[#This Row],[재직상태구분]]="휴직",1,0)</f>
        <v>0</v>
      </c>
      <c r="AA20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08">
        <f ca="1">IF(tblRoster[[#This Row],[본교발령시작일자]]="","",DATEDIF(tblRoster[[#This Row],[본교발령시작일자]],TODAY(),"Y"))</f>
        <v>9</v>
      </c>
      <c r="AC208">
        <f ca="1">IF(tblRoster[[#This Row],[최초발령시작일자]]="","",DATEDIF(tblRoster[[#This Row],[최초발령시작일자]],TODAY(),"Y"))</f>
        <v>9</v>
      </c>
      <c r="AD20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08">
        <f ca="1">IF(tblRoster[[#This Row],[직급발령시작일자]]="","",ROUND(YEARFRAC(tblRoster[[#This Row],[직급발령시작일자]],TODAY()),1))</f>
        <v>2.6</v>
      </c>
      <c r="AF20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08">
        <f ca="1">IF(OR(tblRoster[[#This Row],[공무원구분]]&lt;&gt;"공무원",tblRoster[[#This Row],[나이]]=""),"",YEAR(TODAY())+(60-tblRoster[[#This Row],[나이]]))</f>
        <v>2048</v>
      </c>
      <c r="AH208" t="str">
        <f>IF(tblRoster[[#This Row],[직위]]="","일반","보직자")</f>
        <v>일반</v>
      </c>
      <c r="AI20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8" t="str">
        <f ca="1">IF(tblRoster[[#This Row],[복직예정일]]="","",TEXT(tblRoster[[#This Row],[복직예정일]],"yyyy-mm"))</f>
        <v/>
      </c>
      <c r="AM208" t="str">
        <f ca="1">IF(tblRoster[[#This Row],[복직예정일]]="","",tblRoster[[#This Row],[복직예정일]]-TODAY())</f>
        <v/>
      </c>
      <c r="AN208" t="str">
        <f ca="1">IF(tblRoster[[#This Row],[휴직잔여일수]]="","",IF(tblRoster[[#This Row],[휴직잔여일수]]&lt;=180,"6개월내","6개월이후"))</f>
        <v/>
      </c>
      <c r="AO20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09" spans="1:41" x14ac:dyDescent="0.3">
      <c r="A209">
        <v>900207</v>
      </c>
      <c r="B209" t="s">
        <v>419</v>
      </c>
      <c r="C209" t="s">
        <v>8</v>
      </c>
      <c r="D209">
        <v>54</v>
      </c>
      <c r="E209" t="s">
        <v>150</v>
      </c>
      <c r="F209" t="s">
        <v>162</v>
      </c>
      <c r="G209" t="s">
        <v>138</v>
      </c>
      <c r="H209" t="s">
        <v>209</v>
      </c>
      <c r="I209" t="s">
        <v>144</v>
      </c>
      <c r="J209" t="s">
        <v>145</v>
      </c>
      <c r="L209" t="s">
        <v>135</v>
      </c>
      <c r="M209" t="s">
        <v>135</v>
      </c>
      <c r="N209" s="1">
        <v>39448</v>
      </c>
      <c r="O209" s="1">
        <v>39448</v>
      </c>
      <c r="P209" s="1">
        <v>41974</v>
      </c>
      <c r="Q209" s="1">
        <v>41974</v>
      </c>
      <c r="R209">
        <v>18</v>
      </c>
      <c r="T20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09" t="str">
        <f>IF(tblRoster[[#This Row],[급수]]="4급(임기제)","4급",tblRoster[[#This Row],[급수]])</f>
        <v>6급</v>
      </c>
      <c r="V20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0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09" t="str">
        <f>IF(OR(tblRoster[[#This Row],[교직원상세구분]]="사회복무요원",tblRoster[[#This Row],[교직원상세구분]]="인턴(수습)"),"제외","포함")</f>
        <v>포함</v>
      </c>
      <c r="Y209">
        <f>1</f>
        <v>1</v>
      </c>
      <c r="Z209">
        <f>IF(tblRoster[[#This Row],[재직상태구분]]="휴직",1,0)</f>
        <v>0</v>
      </c>
      <c r="AA20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09">
        <f ca="1">IF(tblRoster[[#This Row],[본교발령시작일자]]="","",DATEDIF(tblRoster[[#This Row],[본교발령시작일자]],TODAY(),"Y"))</f>
        <v>18</v>
      </c>
      <c r="AC209">
        <f ca="1">IF(tblRoster[[#This Row],[최초발령시작일자]]="","",DATEDIF(tblRoster[[#This Row],[최초발령시작일자]],TODAY(),"Y"))</f>
        <v>18</v>
      </c>
      <c r="AD20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09">
        <f ca="1">IF(tblRoster[[#This Row],[직급발령시작일자]]="","",ROUND(YEARFRAC(tblRoster[[#This Row],[직급발령시작일자]],TODAY()),1))</f>
        <v>11.8</v>
      </c>
      <c r="AF20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09">
        <f ca="1">IF(OR(tblRoster[[#This Row],[공무원구분]]&lt;&gt;"공무원",tblRoster[[#This Row],[나이]]=""),"",YEAR(TODAY())+(60-tblRoster[[#This Row],[나이]]))</f>
        <v>2032</v>
      </c>
      <c r="AH209" t="str">
        <f>IF(tblRoster[[#This Row],[직위]]="","일반","보직자")</f>
        <v>일반</v>
      </c>
      <c r="AI20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0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0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09" t="str">
        <f ca="1">IF(tblRoster[[#This Row],[복직예정일]]="","",TEXT(tblRoster[[#This Row],[복직예정일]],"yyyy-mm"))</f>
        <v/>
      </c>
      <c r="AM209" t="str">
        <f ca="1">IF(tblRoster[[#This Row],[복직예정일]]="","",tblRoster[[#This Row],[복직예정일]]-TODAY())</f>
        <v/>
      </c>
      <c r="AN209" t="str">
        <f ca="1">IF(tblRoster[[#This Row],[휴직잔여일수]]="","",IF(tblRoster[[#This Row],[휴직잔여일수]]&lt;=180,"6개월내","6개월이후"))</f>
        <v/>
      </c>
      <c r="AO20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0" spans="1:41" x14ac:dyDescent="0.3">
      <c r="A210">
        <v>900208</v>
      </c>
      <c r="B210" t="s">
        <v>50</v>
      </c>
      <c r="C210" t="s">
        <v>16</v>
      </c>
      <c r="D210">
        <v>59</v>
      </c>
      <c r="E210" t="s">
        <v>128</v>
      </c>
      <c r="F210" t="s">
        <v>179</v>
      </c>
      <c r="G210" t="s">
        <v>169</v>
      </c>
      <c r="H210" t="s">
        <v>200</v>
      </c>
      <c r="I210" t="s">
        <v>144</v>
      </c>
      <c r="J210" t="s">
        <v>145</v>
      </c>
      <c r="L210" t="s">
        <v>134</v>
      </c>
      <c r="M210" t="s">
        <v>135</v>
      </c>
      <c r="N210" s="1">
        <v>36192</v>
      </c>
      <c r="O210" s="1">
        <v>36192</v>
      </c>
      <c r="P210" s="1">
        <v>46327</v>
      </c>
      <c r="Q210" s="1">
        <v>46327</v>
      </c>
      <c r="R210">
        <v>29</v>
      </c>
      <c r="S210" t="s">
        <v>420</v>
      </c>
      <c r="T21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10" t="str">
        <f>IF(tblRoster[[#This Row],[급수]]="4급(임기제)","4급",tblRoster[[#This Row],[급수]])</f>
        <v>5급</v>
      </c>
      <c r="V21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1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10" t="str">
        <f>IF(OR(tblRoster[[#This Row],[교직원상세구분]]="사회복무요원",tblRoster[[#This Row],[교직원상세구분]]="인턴(수습)"),"제외","포함")</f>
        <v>포함</v>
      </c>
      <c r="Y210">
        <f>1</f>
        <v>1</v>
      </c>
      <c r="Z210">
        <f>IF(tblRoster[[#This Row],[재직상태구분]]="휴직",1,0)</f>
        <v>1</v>
      </c>
      <c r="AA21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10">
        <f ca="1">IF(tblRoster[[#This Row],[본교발령시작일자]]="","",DATEDIF(tblRoster[[#This Row],[본교발령시작일자]],TODAY(),"Y"))</f>
        <v>27</v>
      </c>
      <c r="AC210">
        <f ca="1">IF(tblRoster[[#This Row],[최초발령시작일자]]="","",DATEDIF(tblRoster[[#This Row],[최초발령시작일자]],TODAY(),"Y"))</f>
        <v>27</v>
      </c>
      <c r="AD21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10">
        <f ca="1">IF(tblRoster[[#This Row],[직급발령시작일자]]="","",ROUND(YEARFRAC(tblRoster[[#This Row],[직급발령시작일자]],TODAY()),1))</f>
        <v>0.2</v>
      </c>
      <c r="AF21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0">
        <f ca="1">IF(OR(tblRoster[[#This Row],[공무원구분]]&lt;&gt;"공무원",tblRoster[[#This Row],[나이]]=""),"",YEAR(TODAY())+(60-tblRoster[[#This Row],[나이]]))</f>
        <v>2027</v>
      </c>
      <c r="AH210" t="str">
        <f>IF(tblRoster[[#This Row],[직위]]="","일반","보직자")</f>
        <v>일반</v>
      </c>
      <c r="AI210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45945</v>
      </c>
      <c r="AJ21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병역휴직</v>
      </c>
      <c r="AK210" s="1">
        <f ca="1">IF(tblRoster[[#This Row],[현재휴직시작일]]="","",IFERROR(INDEX(tblLeave[종료일],MATCH(tblRoster[[#This Row],[교직원번호]]&amp;"|"&amp;tblRoster[[#This Row],[현재휴직시작일]],tblLeave[매칭키],0)),""))</f>
        <v>46492</v>
      </c>
      <c r="AL210" t="str">
        <f ca="1">IF(tblRoster[[#This Row],[복직예정일]]="","",TEXT(tblRoster[[#This Row],[복직예정일]],"yyyy-mm"))</f>
        <v>2027-04</v>
      </c>
      <c r="AM210">
        <f ca="1">IF(tblRoster[[#This Row],[복직예정일]]="","",tblRoster[[#This Row],[복직예정일]]-TODAY())</f>
        <v>220</v>
      </c>
      <c r="AN210" t="str">
        <f ca="1">IF(tblRoster[[#This Row],[휴직잔여일수]]="","",IF(tblRoster[[#This Row],[휴직잔여일수]]&lt;=180,"6개월내","6개월이후"))</f>
        <v>6개월이후</v>
      </c>
      <c r="AO21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1" spans="1:41" x14ac:dyDescent="0.3">
      <c r="A211">
        <v>900209</v>
      </c>
      <c r="B211" t="s">
        <v>52</v>
      </c>
      <c r="C211" t="s">
        <v>8</v>
      </c>
      <c r="D211">
        <v>24</v>
      </c>
      <c r="E211" t="s">
        <v>128</v>
      </c>
      <c r="F211" t="s">
        <v>189</v>
      </c>
      <c r="G211" t="s">
        <v>138</v>
      </c>
      <c r="H211" t="s">
        <v>180</v>
      </c>
      <c r="I211" t="s">
        <v>144</v>
      </c>
      <c r="J211" t="s">
        <v>145</v>
      </c>
      <c r="L211" t="s">
        <v>134</v>
      </c>
      <c r="M211" t="s">
        <v>135</v>
      </c>
      <c r="N211" s="1">
        <v>45689</v>
      </c>
      <c r="O211" s="1">
        <v>45689</v>
      </c>
      <c r="P211" s="1">
        <v>45689</v>
      </c>
      <c r="Q211" s="1">
        <v>45689</v>
      </c>
      <c r="R211">
        <v>1</v>
      </c>
      <c r="S211" t="s">
        <v>421</v>
      </c>
      <c r="T21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11" t="str">
        <f>IF(tblRoster[[#This Row],[급수]]="4급(임기제)","4급",tblRoster[[#This Row],[급수]])</f>
        <v>7급</v>
      </c>
      <c r="V21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1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11" t="str">
        <f>IF(OR(tblRoster[[#This Row],[교직원상세구분]]="사회복무요원",tblRoster[[#This Row],[교직원상세구분]]="인턴(수습)"),"제외","포함")</f>
        <v>포함</v>
      </c>
      <c r="Y211">
        <f>1</f>
        <v>1</v>
      </c>
      <c r="Z211">
        <f>IF(tblRoster[[#This Row],[재직상태구분]]="휴직",1,0)</f>
        <v>0</v>
      </c>
      <c r="AA21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11">
        <f ca="1">IF(tblRoster[[#This Row],[본교발령시작일자]]="","",DATEDIF(tblRoster[[#This Row],[본교발령시작일자]],TODAY(),"Y"))</f>
        <v>1</v>
      </c>
      <c r="AC211">
        <f ca="1">IF(tblRoster[[#This Row],[최초발령시작일자]]="","",DATEDIF(tblRoster[[#This Row],[최초발령시작일자]],TODAY(),"Y"))</f>
        <v>1</v>
      </c>
      <c r="AD21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11">
        <f ca="1">IF(tblRoster[[#This Row],[직급발령시작일자]]="","",ROUND(YEARFRAC(tblRoster[[#This Row],[직급발령시작일자]],TODAY()),1))</f>
        <v>1.6</v>
      </c>
      <c r="AF21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1">
        <f ca="1">IF(OR(tblRoster[[#This Row],[공무원구분]]&lt;&gt;"공무원",tblRoster[[#This Row],[나이]]=""),"",YEAR(TODAY())+(60-tblRoster[[#This Row],[나이]]))</f>
        <v>2062</v>
      </c>
      <c r="AH211" t="str">
        <f>IF(tblRoster[[#This Row],[직위]]="","일반","보직자")</f>
        <v>일반</v>
      </c>
      <c r="AI21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1" t="str">
        <f ca="1">IF(tblRoster[[#This Row],[복직예정일]]="","",TEXT(tblRoster[[#This Row],[복직예정일]],"yyyy-mm"))</f>
        <v/>
      </c>
      <c r="AM211" t="str">
        <f ca="1">IF(tblRoster[[#This Row],[복직예정일]]="","",tblRoster[[#This Row],[복직예정일]]-TODAY())</f>
        <v/>
      </c>
      <c r="AN211" t="str">
        <f ca="1">IF(tblRoster[[#This Row],[휴직잔여일수]]="","",IF(tblRoster[[#This Row],[휴직잔여일수]]&lt;=180,"6개월내","6개월이후"))</f>
        <v/>
      </c>
      <c r="AO21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2" spans="1:41" x14ac:dyDescent="0.3">
      <c r="A212">
        <v>900210</v>
      </c>
      <c r="B212" t="s">
        <v>422</v>
      </c>
      <c r="C212" t="s">
        <v>8</v>
      </c>
      <c r="D212">
        <v>56</v>
      </c>
      <c r="E212" t="s">
        <v>128</v>
      </c>
      <c r="F212" t="s">
        <v>147</v>
      </c>
      <c r="G212" t="s">
        <v>185</v>
      </c>
      <c r="H212" t="s">
        <v>191</v>
      </c>
      <c r="I212" t="s">
        <v>144</v>
      </c>
      <c r="J212" t="s">
        <v>145</v>
      </c>
      <c r="K212" t="s">
        <v>423</v>
      </c>
      <c r="L212" t="s">
        <v>134</v>
      </c>
      <c r="M212" t="s">
        <v>135</v>
      </c>
      <c r="N212" s="1">
        <v>37926</v>
      </c>
      <c r="O212" s="1">
        <v>46327</v>
      </c>
      <c r="P212" s="1">
        <v>46327</v>
      </c>
      <c r="Q212" s="1">
        <v>46327</v>
      </c>
      <c r="R212">
        <v>25</v>
      </c>
      <c r="T21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12" t="str">
        <f>IF(tblRoster[[#This Row],[급수]]="4급(임기제)","4급",tblRoster[[#This Row],[급수]])</f>
        <v>5급</v>
      </c>
      <c r="V21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1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12" t="str">
        <f>IF(OR(tblRoster[[#This Row],[교직원상세구분]]="사회복무요원",tblRoster[[#This Row],[교직원상세구분]]="인턴(수습)"),"제외","포함")</f>
        <v>포함</v>
      </c>
      <c r="Y212">
        <f>1</f>
        <v>1</v>
      </c>
      <c r="Z212">
        <f>IF(tblRoster[[#This Row],[재직상태구분]]="휴직",1,0)</f>
        <v>0</v>
      </c>
      <c r="AA21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12" t="e">
        <f ca="1">IF(tblRoster[[#This Row],[본교발령시작일자]]="","",DATEDIF(tblRoster[[#This Row],[본교발령시작일자]],TODAY(),"Y"))</f>
        <v>#NUM!</v>
      </c>
      <c r="AC212">
        <f ca="1">IF(tblRoster[[#This Row],[최초발령시작일자]]="","",DATEDIF(tblRoster[[#This Row],[최초발령시작일자]],TODAY(),"Y"))</f>
        <v>22</v>
      </c>
      <c r="AD21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12">
        <f ca="1">IF(tblRoster[[#This Row],[직급발령시작일자]]="","",ROUND(YEARFRAC(tblRoster[[#This Row],[직급발령시작일자]],TODAY()),1))</f>
        <v>0.2</v>
      </c>
      <c r="AF21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2">
        <f ca="1">IF(OR(tblRoster[[#This Row],[공무원구분]]&lt;&gt;"공무원",tblRoster[[#This Row],[나이]]=""),"",YEAR(TODAY())+(60-tblRoster[[#This Row],[나이]]))</f>
        <v>2030</v>
      </c>
      <c r="AH212" t="str">
        <f>IF(tblRoster[[#This Row],[직위]]="","일반","보직자")</f>
        <v>보직자</v>
      </c>
      <c r="AI21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2" t="str">
        <f ca="1">IF(tblRoster[[#This Row],[복직예정일]]="","",TEXT(tblRoster[[#This Row],[복직예정일]],"yyyy-mm"))</f>
        <v/>
      </c>
      <c r="AM212" t="str">
        <f ca="1">IF(tblRoster[[#This Row],[복직예정일]]="","",tblRoster[[#This Row],[복직예정일]]-TODAY())</f>
        <v/>
      </c>
      <c r="AN212" t="str">
        <f ca="1">IF(tblRoster[[#This Row],[휴직잔여일수]]="","",IF(tblRoster[[#This Row],[휴직잔여일수]]&lt;=180,"6개월내","6개월이후"))</f>
        <v/>
      </c>
      <c r="AO21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3" spans="1:41" x14ac:dyDescent="0.3">
      <c r="A213">
        <v>900211</v>
      </c>
      <c r="B213" t="s">
        <v>424</v>
      </c>
      <c r="C213" t="s">
        <v>8</v>
      </c>
      <c r="D213">
        <v>28</v>
      </c>
      <c r="E213" t="s">
        <v>128</v>
      </c>
      <c r="F213" t="s">
        <v>216</v>
      </c>
      <c r="G213" t="s">
        <v>173</v>
      </c>
      <c r="H213" t="s">
        <v>212</v>
      </c>
      <c r="I213" t="s">
        <v>213</v>
      </c>
      <c r="J213" t="s">
        <v>133</v>
      </c>
      <c r="L213" t="s">
        <v>134</v>
      </c>
      <c r="M213" t="s">
        <v>135</v>
      </c>
      <c r="N213" s="1">
        <v>44075</v>
      </c>
      <c r="O213" s="1">
        <v>44075</v>
      </c>
      <c r="P213" s="1">
        <v>44075</v>
      </c>
      <c r="Q213" s="1">
        <v>44075</v>
      </c>
      <c r="T21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213" t="str">
        <f>IF(tblRoster[[#This Row],[급수]]="4급(임기제)","4급",tblRoster[[#This Row],[급수]])</f>
        <v>인턴</v>
      </c>
      <c r="V21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21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13" t="str">
        <f>IF(OR(tblRoster[[#This Row],[교직원상세구분]]="사회복무요원",tblRoster[[#This Row],[교직원상세구분]]="인턴(수습)"),"제외","포함")</f>
        <v>제외</v>
      </c>
      <c r="Y213">
        <f>1</f>
        <v>1</v>
      </c>
      <c r="Z213">
        <f>IF(tblRoster[[#This Row],[재직상태구분]]="휴직",1,0)</f>
        <v>0</v>
      </c>
      <c r="AA21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13">
        <f ca="1">IF(tblRoster[[#This Row],[본교발령시작일자]]="","",DATEDIF(tblRoster[[#This Row],[본교발령시작일자]],TODAY(),"Y"))</f>
        <v>6</v>
      </c>
      <c r="AC213">
        <f ca="1">IF(tblRoster[[#This Row],[최초발령시작일자]]="","",DATEDIF(tblRoster[[#This Row],[최초발령시작일자]],TODAY(),"Y"))</f>
        <v>6</v>
      </c>
      <c r="AD21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13">
        <f ca="1">IF(tblRoster[[#This Row],[직급발령시작일자]]="","",ROUND(YEARFRAC(tblRoster[[#This Row],[직급발령시작일자]],TODAY()),1))</f>
        <v>6</v>
      </c>
      <c r="AF21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13" t="str">
        <f ca="1">IF(OR(tblRoster[[#This Row],[공무원구분]]&lt;&gt;"공무원",tblRoster[[#This Row],[나이]]=""),"",YEAR(TODAY())+(60-tblRoster[[#This Row],[나이]]))</f>
        <v/>
      </c>
      <c r="AH213" t="str">
        <f>IF(tblRoster[[#This Row],[직위]]="","일반","보직자")</f>
        <v>일반</v>
      </c>
      <c r="AI21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3" t="str">
        <f ca="1">IF(tblRoster[[#This Row],[복직예정일]]="","",TEXT(tblRoster[[#This Row],[복직예정일]],"yyyy-mm"))</f>
        <v/>
      </c>
      <c r="AM213" t="str">
        <f ca="1">IF(tblRoster[[#This Row],[복직예정일]]="","",tblRoster[[#This Row],[복직예정일]]-TODAY())</f>
        <v/>
      </c>
      <c r="AN213" t="str">
        <f ca="1">IF(tblRoster[[#This Row],[휴직잔여일수]]="","",IF(tblRoster[[#This Row],[휴직잔여일수]]&lt;=180,"6개월내","6개월이후"))</f>
        <v/>
      </c>
      <c r="AO21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4" spans="1:41" x14ac:dyDescent="0.3">
      <c r="A214">
        <v>900212</v>
      </c>
      <c r="B214" t="s">
        <v>425</v>
      </c>
      <c r="C214" t="s">
        <v>8</v>
      </c>
      <c r="D214">
        <v>39</v>
      </c>
      <c r="E214" t="s">
        <v>128</v>
      </c>
      <c r="F214" t="s">
        <v>154</v>
      </c>
      <c r="G214" t="s">
        <v>169</v>
      </c>
      <c r="H214" t="s">
        <v>148</v>
      </c>
      <c r="I214" t="s">
        <v>132</v>
      </c>
      <c r="J214" t="s">
        <v>133</v>
      </c>
      <c r="L214" t="s">
        <v>134</v>
      </c>
      <c r="M214" t="s">
        <v>135</v>
      </c>
      <c r="N214" s="1">
        <v>40360</v>
      </c>
      <c r="O214" s="1">
        <v>40360</v>
      </c>
      <c r="P214" s="1">
        <v>42644</v>
      </c>
      <c r="Q214" s="1">
        <v>42644</v>
      </c>
      <c r="R214">
        <v>18</v>
      </c>
      <c r="T21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14" t="str">
        <f>IF(tblRoster[[#This Row],[급수]]="4급(임기제)","4급",tblRoster[[#This Row],[급수]])</f>
        <v>대학회계계약직</v>
      </c>
      <c r="V21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1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14" t="str">
        <f>IF(OR(tblRoster[[#This Row],[교직원상세구분]]="사회복무요원",tblRoster[[#This Row],[교직원상세구분]]="인턴(수습)"),"제외","포함")</f>
        <v>포함</v>
      </c>
      <c r="Y214">
        <f>1</f>
        <v>1</v>
      </c>
      <c r="Z214">
        <f>IF(tblRoster[[#This Row],[재직상태구분]]="휴직",1,0)</f>
        <v>0</v>
      </c>
      <c r="AA21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14">
        <f ca="1">IF(tblRoster[[#This Row],[본교발령시작일자]]="","",DATEDIF(tblRoster[[#This Row],[본교발령시작일자]],TODAY(),"Y"))</f>
        <v>16</v>
      </c>
      <c r="AC214">
        <f ca="1">IF(tblRoster[[#This Row],[최초발령시작일자]]="","",DATEDIF(tblRoster[[#This Row],[최초발령시작일자]],TODAY(),"Y"))</f>
        <v>16</v>
      </c>
      <c r="AD21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14">
        <f ca="1">IF(tblRoster[[#This Row],[직급발령시작일자]]="","",ROUND(YEARFRAC(tblRoster[[#This Row],[직급발령시작일자]],TODAY()),1))</f>
        <v>9.9</v>
      </c>
      <c r="AF21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14" t="str">
        <f ca="1">IF(OR(tblRoster[[#This Row],[공무원구분]]&lt;&gt;"공무원",tblRoster[[#This Row],[나이]]=""),"",YEAR(TODAY())+(60-tblRoster[[#This Row],[나이]]))</f>
        <v/>
      </c>
      <c r="AH214" t="str">
        <f>IF(tblRoster[[#This Row],[직위]]="","일반","보직자")</f>
        <v>일반</v>
      </c>
      <c r="AI21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4" t="str">
        <f ca="1">IF(tblRoster[[#This Row],[복직예정일]]="","",TEXT(tblRoster[[#This Row],[복직예정일]],"yyyy-mm"))</f>
        <v/>
      </c>
      <c r="AM214" t="str">
        <f ca="1">IF(tblRoster[[#This Row],[복직예정일]]="","",tblRoster[[#This Row],[복직예정일]]-TODAY())</f>
        <v/>
      </c>
      <c r="AN214" t="str">
        <f ca="1">IF(tblRoster[[#This Row],[휴직잔여일수]]="","",IF(tblRoster[[#This Row],[휴직잔여일수]]&lt;=180,"6개월내","6개월이후"))</f>
        <v/>
      </c>
      <c r="AO21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5" spans="1:41" x14ac:dyDescent="0.3">
      <c r="A215">
        <v>900213</v>
      </c>
      <c r="B215" t="s">
        <v>53</v>
      </c>
      <c r="C215" t="s">
        <v>8</v>
      </c>
      <c r="D215">
        <v>45</v>
      </c>
      <c r="E215" t="s">
        <v>150</v>
      </c>
      <c r="F215" t="s">
        <v>137</v>
      </c>
      <c r="G215" t="s">
        <v>211</v>
      </c>
      <c r="H215" t="s">
        <v>230</v>
      </c>
      <c r="I215" t="s">
        <v>144</v>
      </c>
      <c r="J215" t="s">
        <v>145</v>
      </c>
      <c r="L215" t="s">
        <v>135</v>
      </c>
      <c r="M215" t="s">
        <v>135</v>
      </c>
      <c r="N215" s="1">
        <v>43617</v>
      </c>
      <c r="O215" s="1">
        <v>43617</v>
      </c>
      <c r="P215" s="1">
        <v>45474</v>
      </c>
      <c r="Q215" s="1">
        <v>45474</v>
      </c>
      <c r="R215">
        <v>8</v>
      </c>
      <c r="S215" t="s">
        <v>426</v>
      </c>
      <c r="T21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15" t="str">
        <f>IF(tblRoster[[#This Row],[급수]]="4급(임기제)","4급",tblRoster[[#This Row],[급수]])</f>
        <v>6급</v>
      </c>
      <c r="V21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1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15" t="str">
        <f>IF(OR(tblRoster[[#This Row],[교직원상세구분]]="사회복무요원",tblRoster[[#This Row],[교직원상세구분]]="인턴(수습)"),"제외","포함")</f>
        <v>포함</v>
      </c>
      <c r="Y215">
        <f>1</f>
        <v>1</v>
      </c>
      <c r="Z215">
        <f>IF(tblRoster[[#This Row],[재직상태구분]]="휴직",1,0)</f>
        <v>0</v>
      </c>
      <c r="AA21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15">
        <f ca="1">IF(tblRoster[[#This Row],[본교발령시작일자]]="","",DATEDIF(tblRoster[[#This Row],[본교발령시작일자]],TODAY(),"Y"))</f>
        <v>7</v>
      </c>
      <c r="AC215">
        <f ca="1">IF(tblRoster[[#This Row],[최초발령시작일자]]="","",DATEDIF(tblRoster[[#This Row],[최초발령시작일자]],TODAY(),"Y"))</f>
        <v>7</v>
      </c>
      <c r="AD21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15">
        <f ca="1">IF(tblRoster[[#This Row],[직급발령시작일자]]="","",ROUND(YEARFRAC(tblRoster[[#This Row],[직급발령시작일자]],TODAY()),1))</f>
        <v>2.2000000000000002</v>
      </c>
      <c r="AF21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5">
        <f ca="1">IF(OR(tblRoster[[#This Row],[공무원구분]]&lt;&gt;"공무원",tblRoster[[#This Row],[나이]]=""),"",YEAR(TODAY())+(60-tblRoster[[#This Row],[나이]]))</f>
        <v>2041</v>
      </c>
      <c r="AH215" t="str">
        <f>IF(tblRoster[[#This Row],[직위]]="","일반","보직자")</f>
        <v>일반</v>
      </c>
      <c r="AI21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5" t="str">
        <f ca="1">IF(tblRoster[[#This Row],[복직예정일]]="","",TEXT(tblRoster[[#This Row],[복직예정일]],"yyyy-mm"))</f>
        <v/>
      </c>
      <c r="AM215" t="str">
        <f ca="1">IF(tblRoster[[#This Row],[복직예정일]]="","",tblRoster[[#This Row],[복직예정일]]-TODAY())</f>
        <v/>
      </c>
      <c r="AN215" t="str">
        <f ca="1">IF(tblRoster[[#This Row],[휴직잔여일수]]="","",IF(tblRoster[[#This Row],[휴직잔여일수]]&lt;=180,"6개월내","6개월이후"))</f>
        <v/>
      </c>
      <c r="AO21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6" spans="1:41" x14ac:dyDescent="0.3">
      <c r="A216">
        <v>900214</v>
      </c>
      <c r="B216" t="s">
        <v>427</v>
      </c>
      <c r="C216" t="s">
        <v>8</v>
      </c>
      <c r="D216">
        <v>28</v>
      </c>
      <c r="E216" t="s">
        <v>150</v>
      </c>
      <c r="F216" t="s">
        <v>236</v>
      </c>
      <c r="G216" t="s">
        <v>173</v>
      </c>
      <c r="H216" t="s">
        <v>238</v>
      </c>
      <c r="I216" t="s">
        <v>239</v>
      </c>
      <c r="J216" t="s">
        <v>133</v>
      </c>
      <c r="L216" t="s">
        <v>135</v>
      </c>
      <c r="M216" t="s">
        <v>135</v>
      </c>
      <c r="N216" s="1">
        <v>45323</v>
      </c>
      <c r="O216" s="1">
        <v>45323</v>
      </c>
      <c r="P216" s="1">
        <v>46296</v>
      </c>
      <c r="Q216" s="1">
        <v>46296</v>
      </c>
      <c r="R216">
        <v>4</v>
      </c>
      <c r="T21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16" t="str">
        <f>IF(tblRoster[[#This Row],[급수]]="4급(임기제)","4급",tblRoster[[#This Row],[급수]])</f>
        <v>대학회계직</v>
      </c>
      <c r="V21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1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16" t="str">
        <f>IF(OR(tblRoster[[#This Row],[교직원상세구분]]="사회복무요원",tblRoster[[#This Row],[교직원상세구분]]="인턴(수습)"),"제외","포함")</f>
        <v>포함</v>
      </c>
      <c r="Y216">
        <f>1</f>
        <v>1</v>
      </c>
      <c r="Z216">
        <f>IF(tblRoster[[#This Row],[재직상태구분]]="휴직",1,0)</f>
        <v>0</v>
      </c>
      <c r="AA21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16">
        <f ca="1">IF(tblRoster[[#This Row],[본교발령시작일자]]="","",DATEDIF(tblRoster[[#This Row],[본교발령시작일자]],TODAY(),"Y"))</f>
        <v>2</v>
      </c>
      <c r="AC216">
        <f ca="1">IF(tblRoster[[#This Row],[최초발령시작일자]]="","",DATEDIF(tblRoster[[#This Row],[최초발령시작일자]],TODAY(),"Y"))</f>
        <v>2</v>
      </c>
      <c r="AD21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16">
        <f ca="1">IF(tblRoster[[#This Row],[직급발령시작일자]]="","",ROUND(YEARFRAC(tblRoster[[#This Row],[직급발령시작일자]],TODAY()),1))</f>
        <v>0.1</v>
      </c>
      <c r="AF21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6" t="str">
        <f ca="1">IF(OR(tblRoster[[#This Row],[공무원구분]]&lt;&gt;"공무원",tblRoster[[#This Row],[나이]]=""),"",YEAR(TODAY())+(60-tblRoster[[#This Row],[나이]]))</f>
        <v/>
      </c>
      <c r="AH216" t="str">
        <f>IF(tblRoster[[#This Row],[직위]]="","일반","보직자")</f>
        <v>일반</v>
      </c>
      <c r="AI21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6" t="str">
        <f ca="1">IF(tblRoster[[#This Row],[복직예정일]]="","",TEXT(tblRoster[[#This Row],[복직예정일]],"yyyy-mm"))</f>
        <v/>
      </c>
      <c r="AM216" t="str">
        <f ca="1">IF(tblRoster[[#This Row],[복직예정일]]="","",tblRoster[[#This Row],[복직예정일]]-TODAY())</f>
        <v/>
      </c>
      <c r="AN216" t="str">
        <f ca="1">IF(tblRoster[[#This Row],[휴직잔여일수]]="","",IF(tblRoster[[#This Row],[휴직잔여일수]]&lt;=180,"6개월내","6개월이후"))</f>
        <v/>
      </c>
      <c r="AO21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7" spans="1:41" x14ac:dyDescent="0.3">
      <c r="A217">
        <v>900215</v>
      </c>
      <c r="B217" t="s">
        <v>428</v>
      </c>
      <c r="C217" t="s">
        <v>8</v>
      </c>
      <c r="D217">
        <v>42</v>
      </c>
      <c r="E217" t="s">
        <v>128</v>
      </c>
      <c r="F217" t="s">
        <v>171</v>
      </c>
      <c r="G217" t="s">
        <v>207</v>
      </c>
      <c r="H217" t="s">
        <v>165</v>
      </c>
      <c r="I217" t="s">
        <v>144</v>
      </c>
      <c r="J217" t="s">
        <v>145</v>
      </c>
      <c r="L217" t="s">
        <v>134</v>
      </c>
      <c r="M217" t="s">
        <v>135</v>
      </c>
      <c r="N217" s="1">
        <v>43952</v>
      </c>
      <c r="O217" s="1">
        <v>45717</v>
      </c>
      <c r="P217" s="1">
        <v>45717</v>
      </c>
      <c r="Q217" s="1">
        <v>45717</v>
      </c>
      <c r="R217">
        <v>6</v>
      </c>
      <c r="T21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17" t="str">
        <f>IF(tblRoster[[#This Row],[급수]]="4급(임기제)","4급",tblRoster[[#This Row],[급수]])</f>
        <v>6급</v>
      </c>
      <c r="V21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1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17" t="str">
        <f>IF(OR(tblRoster[[#This Row],[교직원상세구분]]="사회복무요원",tblRoster[[#This Row],[교직원상세구분]]="인턴(수습)"),"제외","포함")</f>
        <v>포함</v>
      </c>
      <c r="Y217">
        <f>1</f>
        <v>1</v>
      </c>
      <c r="Z217">
        <f>IF(tblRoster[[#This Row],[재직상태구분]]="휴직",1,0)</f>
        <v>0</v>
      </c>
      <c r="AA21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17">
        <f ca="1">IF(tblRoster[[#This Row],[본교발령시작일자]]="","",DATEDIF(tblRoster[[#This Row],[본교발령시작일자]],TODAY(),"Y"))</f>
        <v>1</v>
      </c>
      <c r="AC217">
        <f ca="1">IF(tblRoster[[#This Row],[최초발령시작일자]]="","",DATEDIF(tblRoster[[#This Row],[최초발령시작일자]],TODAY(),"Y"))</f>
        <v>6</v>
      </c>
      <c r="AD21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17">
        <f ca="1">IF(tblRoster[[#This Row],[직급발령시작일자]]="","",ROUND(YEARFRAC(tblRoster[[#This Row],[직급발령시작일자]],TODAY()),1))</f>
        <v>1.5</v>
      </c>
      <c r="AF21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7">
        <f ca="1">IF(OR(tblRoster[[#This Row],[공무원구분]]&lt;&gt;"공무원",tblRoster[[#This Row],[나이]]=""),"",YEAR(TODAY())+(60-tblRoster[[#This Row],[나이]]))</f>
        <v>2044</v>
      </c>
      <c r="AH217" t="str">
        <f>IF(tblRoster[[#This Row],[직위]]="","일반","보직자")</f>
        <v>일반</v>
      </c>
      <c r="AI21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7" t="str">
        <f ca="1">IF(tblRoster[[#This Row],[복직예정일]]="","",TEXT(tblRoster[[#This Row],[복직예정일]],"yyyy-mm"))</f>
        <v/>
      </c>
      <c r="AM217" t="str">
        <f ca="1">IF(tblRoster[[#This Row],[복직예정일]]="","",tblRoster[[#This Row],[복직예정일]]-TODAY())</f>
        <v/>
      </c>
      <c r="AN217" t="str">
        <f ca="1">IF(tblRoster[[#This Row],[휴직잔여일수]]="","",IF(tblRoster[[#This Row],[휴직잔여일수]]&lt;=180,"6개월내","6개월이후"))</f>
        <v/>
      </c>
      <c r="AO21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8" spans="1:41" x14ac:dyDescent="0.3">
      <c r="A218">
        <v>900216</v>
      </c>
      <c r="B218" t="s">
        <v>429</v>
      </c>
      <c r="C218" t="s">
        <v>8</v>
      </c>
      <c r="D218">
        <v>25</v>
      </c>
      <c r="E218" t="s">
        <v>128</v>
      </c>
      <c r="F218" t="s">
        <v>171</v>
      </c>
      <c r="G218" t="s">
        <v>197</v>
      </c>
      <c r="H218" t="s">
        <v>430</v>
      </c>
      <c r="I218" t="s">
        <v>132</v>
      </c>
      <c r="J218" t="s">
        <v>133</v>
      </c>
      <c r="L218" t="s">
        <v>134</v>
      </c>
      <c r="M218" t="s">
        <v>135</v>
      </c>
      <c r="N218" s="1">
        <v>45323</v>
      </c>
      <c r="O218" s="1">
        <v>45323</v>
      </c>
      <c r="P218" s="1">
        <v>45323</v>
      </c>
      <c r="Q218" s="1">
        <v>45323</v>
      </c>
      <c r="R218">
        <v>2</v>
      </c>
      <c r="T21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18" t="str">
        <f>IF(tblRoster[[#This Row],[급수]]="4급(임기제)","4급",tblRoster[[#This Row],[급수]])</f>
        <v>대학회계계약직</v>
      </c>
      <c r="V21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1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18" t="str">
        <f>IF(OR(tblRoster[[#This Row],[교직원상세구분]]="사회복무요원",tblRoster[[#This Row],[교직원상세구분]]="인턴(수습)"),"제외","포함")</f>
        <v>포함</v>
      </c>
      <c r="Y218">
        <f>1</f>
        <v>1</v>
      </c>
      <c r="Z218">
        <f>IF(tblRoster[[#This Row],[재직상태구분]]="휴직",1,0)</f>
        <v>0</v>
      </c>
      <c r="AA21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18">
        <f ca="1">IF(tblRoster[[#This Row],[본교발령시작일자]]="","",DATEDIF(tblRoster[[#This Row],[본교발령시작일자]],TODAY(),"Y"))</f>
        <v>2</v>
      </c>
      <c r="AC218">
        <f ca="1">IF(tblRoster[[#This Row],[최초발령시작일자]]="","",DATEDIF(tblRoster[[#This Row],[최초발령시작일자]],TODAY(),"Y"))</f>
        <v>2</v>
      </c>
      <c r="AD21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18">
        <f ca="1">IF(tblRoster[[#This Row],[직급발령시작일자]]="","",ROUND(YEARFRAC(tblRoster[[#This Row],[직급발령시작일자]],TODAY()),1))</f>
        <v>2.6</v>
      </c>
      <c r="AF21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8" t="str">
        <f ca="1">IF(OR(tblRoster[[#This Row],[공무원구분]]&lt;&gt;"공무원",tblRoster[[#This Row],[나이]]=""),"",YEAR(TODAY())+(60-tblRoster[[#This Row],[나이]]))</f>
        <v/>
      </c>
      <c r="AH218" t="str">
        <f>IF(tblRoster[[#This Row],[직위]]="","일반","보직자")</f>
        <v>일반</v>
      </c>
      <c r="AI21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8" t="str">
        <f ca="1">IF(tblRoster[[#This Row],[복직예정일]]="","",TEXT(tblRoster[[#This Row],[복직예정일]],"yyyy-mm"))</f>
        <v/>
      </c>
      <c r="AM218" t="str">
        <f ca="1">IF(tblRoster[[#This Row],[복직예정일]]="","",tblRoster[[#This Row],[복직예정일]]-TODAY())</f>
        <v/>
      </c>
      <c r="AN218" t="str">
        <f ca="1">IF(tblRoster[[#This Row],[휴직잔여일수]]="","",IF(tblRoster[[#This Row],[휴직잔여일수]]&lt;=180,"6개월내","6개월이후"))</f>
        <v/>
      </c>
      <c r="AO21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19" spans="1:41" x14ac:dyDescent="0.3">
      <c r="A219">
        <v>900217</v>
      </c>
      <c r="B219" t="s">
        <v>431</v>
      </c>
      <c r="C219" t="s">
        <v>8</v>
      </c>
      <c r="D219">
        <v>42</v>
      </c>
      <c r="E219" t="s">
        <v>128</v>
      </c>
      <c r="F219" t="s">
        <v>147</v>
      </c>
      <c r="G219" t="s">
        <v>211</v>
      </c>
      <c r="H219" t="s">
        <v>175</v>
      </c>
      <c r="I219" t="s">
        <v>144</v>
      </c>
      <c r="J219" t="s">
        <v>145</v>
      </c>
      <c r="L219" t="s">
        <v>134</v>
      </c>
      <c r="M219" t="s">
        <v>135</v>
      </c>
      <c r="N219" s="1">
        <v>43160</v>
      </c>
      <c r="O219" s="1">
        <v>46296</v>
      </c>
      <c r="P219" s="1">
        <v>46296</v>
      </c>
      <c r="Q219" s="1">
        <v>46296</v>
      </c>
      <c r="T21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19" t="str">
        <f>IF(tblRoster[[#This Row],[급수]]="4급(임기제)","4급",tblRoster[[#This Row],[급수]])</f>
        <v>9급</v>
      </c>
      <c r="V21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1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19" t="str">
        <f>IF(OR(tblRoster[[#This Row],[교직원상세구분]]="사회복무요원",tblRoster[[#This Row],[교직원상세구분]]="인턴(수습)"),"제외","포함")</f>
        <v>포함</v>
      </c>
      <c r="Y219">
        <f>1</f>
        <v>1</v>
      </c>
      <c r="Z219">
        <f>IF(tblRoster[[#This Row],[재직상태구분]]="휴직",1,0)</f>
        <v>0</v>
      </c>
      <c r="AA21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19" t="e">
        <f ca="1">IF(tblRoster[[#This Row],[본교발령시작일자]]="","",DATEDIF(tblRoster[[#This Row],[본교발령시작일자]],TODAY(),"Y"))</f>
        <v>#NUM!</v>
      </c>
      <c r="AC219">
        <f ca="1">IF(tblRoster[[#This Row],[최초발령시작일자]]="","",DATEDIF(tblRoster[[#This Row],[최초발령시작일자]],TODAY(),"Y"))</f>
        <v>8</v>
      </c>
      <c r="AD21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19">
        <f ca="1">IF(tblRoster[[#This Row],[직급발령시작일자]]="","",ROUND(YEARFRAC(tblRoster[[#This Row],[직급발령시작일자]],TODAY()),1))</f>
        <v>0.1</v>
      </c>
      <c r="AF21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19">
        <f ca="1">IF(OR(tblRoster[[#This Row],[공무원구분]]&lt;&gt;"공무원",tblRoster[[#This Row],[나이]]=""),"",YEAR(TODAY())+(60-tblRoster[[#This Row],[나이]]))</f>
        <v>2044</v>
      </c>
      <c r="AH219" t="str">
        <f>IF(tblRoster[[#This Row],[직위]]="","일반","보직자")</f>
        <v>일반</v>
      </c>
      <c r="AI21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1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1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19" t="str">
        <f ca="1">IF(tblRoster[[#This Row],[복직예정일]]="","",TEXT(tblRoster[[#This Row],[복직예정일]],"yyyy-mm"))</f>
        <v/>
      </c>
      <c r="AM219" t="str">
        <f ca="1">IF(tblRoster[[#This Row],[복직예정일]]="","",tblRoster[[#This Row],[복직예정일]]-TODAY())</f>
        <v/>
      </c>
      <c r="AN219" t="str">
        <f ca="1">IF(tblRoster[[#This Row],[휴직잔여일수]]="","",IF(tblRoster[[#This Row],[휴직잔여일수]]&lt;=180,"6개월내","6개월이후"))</f>
        <v/>
      </c>
      <c r="AO21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0" spans="1:41" x14ac:dyDescent="0.3">
      <c r="A220">
        <v>900218</v>
      </c>
      <c r="B220" t="s">
        <v>432</v>
      </c>
      <c r="C220" t="s">
        <v>8</v>
      </c>
      <c r="D220">
        <v>40</v>
      </c>
      <c r="E220" t="s">
        <v>128</v>
      </c>
      <c r="F220" t="s">
        <v>147</v>
      </c>
      <c r="G220" t="s">
        <v>185</v>
      </c>
      <c r="H220" t="s">
        <v>180</v>
      </c>
      <c r="I220" t="s">
        <v>144</v>
      </c>
      <c r="J220" t="s">
        <v>145</v>
      </c>
      <c r="L220" t="s">
        <v>134</v>
      </c>
      <c r="M220" t="s">
        <v>135</v>
      </c>
      <c r="N220" s="1">
        <v>40725</v>
      </c>
      <c r="O220" s="1">
        <v>40725</v>
      </c>
      <c r="P220" s="1">
        <v>46143</v>
      </c>
      <c r="Q220" s="1">
        <v>46143</v>
      </c>
      <c r="R220">
        <v>16</v>
      </c>
      <c r="T22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20" t="str">
        <f>IF(tblRoster[[#This Row],[급수]]="4급(임기제)","4급",tblRoster[[#This Row],[급수]])</f>
        <v>7급</v>
      </c>
      <c r="V22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2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0" t="str">
        <f>IF(OR(tblRoster[[#This Row],[교직원상세구분]]="사회복무요원",tblRoster[[#This Row],[교직원상세구분]]="인턴(수습)"),"제외","포함")</f>
        <v>포함</v>
      </c>
      <c r="Y220">
        <f>1</f>
        <v>1</v>
      </c>
      <c r="Z220">
        <f>IF(tblRoster[[#This Row],[재직상태구분]]="휴직",1,0)</f>
        <v>0</v>
      </c>
      <c r="AA22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20">
        <f ca="1">IF(tblRoster[[#This Row],[본교발령시작일자]]="","",DATEDIF(tblRoster[[#This Row],[본교발령시작일자]],TODAY(),"Y"))</f>
        <v>15</v>
      </c>
      <c r="AC220">
        <f ca="1">IF(tblRoster[[#This Row],[최초발령시작일자]]="","",DATEDIF(tblRoster[[#This Row],[최초발령시작일자]],TODAY(),"Y"))</f>
        <v>15</v>
      </c>
      <c r="AD22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0">
        <f ca="1">IF(tblRoster[[#This Row],[직급발령시작일자]]="","",ROUND(YEARFRAC(tblRoster[[#This Row],[직급발령시작일자]],TODAY()),1))</f>
        <v>0.4</v>
      </c>
      <c r="AF22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20">
        <f ca="1">IF(OR(tblRoster[[#This Row],[공무원구분]]&lt;&gt;"공무원",tblRoster[[#This Row],[나이]]=""),"",YEAR(TODAY())+(60-tblRoster[[#This Row],[나이]]))</f>
        <v>2046</v>
      </c>
      <c r="AH220" t="str">
        <f>IF(tblRoster[[#This Row],[직위]]="","일반","보직자")</f>
        <v>일반</v>
      </c>
      <c r="AI22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0" t="str">
        <f ca="1">IF(tblRoster[[#This Row],[복직예정일]]="","",TEXT(tblRoster[[#This Row],[복직예정일]],"yyyy-mm"))</f>
        <v/>
      </c>
      <c r="AM220" t="str">
        <f ca="1">IF(tblRoster[[#This Row],[복직예정일]]="","",tblRoster[[#This Row],[복직예정일]]-TODAY())</f>
        <v/>
      </c>
      <c r="AN220" t="str">
        <f ca="1">IF(tblRoster[[#This Row],[휴직잔여일수]]="","",IF(tblRoster[[#This Row],[휴직잔여일수]]&lt;=180,"6개월내","6개월이후"))</f>
        <v/>
      </c>
      <c r="AO22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1" spans="1:41" x14ac:dyDescent="0.3">
      <c r="A221">
        <v>900219</v>
      </c>
      <c r="B221" t="s">
        <v>433</v>
      </c>
      <c r="C221" t="s">
        <v>8</v>
      </c>
      <c r="D221">
        <v>22</v>
      </c>
      <c r="E221" t="s">
        <v>150</v>
      </c>
      <c r="F221" t="s">
        <v>147</v>
      </c>
      <c r="G221" t="s">
        <v>173</v>
      </c>
      <c r="H221" t="s">
        <v>186</v>
      </c>
      <c r="I221" t="s">
        <v>186</v>
      </c>
      <c r="J221" t="s">
        <v>133</v>
      </c>
      <c r="L221" t="s">
        <v>134</v>
      </c>
      <c r="M221" t="s">
        <v>135</v>
      </c>
      <c r="N221" s="1">
        <v>46266</v>
      </c>
      <c r="O221" s="1">
        <v>46266</v>
      </c>
      <c r="P221" s="1">
        <v>46266</v>
      </c>
      <c r="Q221" s="1">
        <v>46266</v>
      </c>
      <c r="T22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221" t="str">
        <f>IF(tblRoster[[#This Row],[급수]]="4급(임기제)","4급",tblRoster[[#This Row],[급수]])</f>
        <v>사회복무요원</v>
      </c>
      <c r="V22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22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21" t="str">
        <f>IF(OR(tblRoster[[#This Row],[교직원상세구분]]="사회복무요원",tblRoster[[#This Row],[교직원상세구분]]="인턴(수습)"),"제외","포함")</f>
        <v>제외</v>
      </c>
      <c r="Y221">
        <f>1</f>
        <v>1</v>
      </c>
      <c r="Z221">
        <f>IF(tblRoster[[#This Row],[재직상태구분]]="휴직",1,0)</f>
        <v>0</v>
      </c>
      <c r="AA22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21">
        <f ca="1">IF(tblRoster[[#This Row],[본교발령시작일자]]="","",DATEDIF(tblRoster[[#This Row],[본교발령시작일자]],TODAY(),"Y"))</f>
        <v>0</v>
      </c>
      <c r="AC221">
        <f ca="1">IF(tblRoster[[#This Row],[최초발령시작일자]]="","",DATEDIF(tblRoster[[#This Row],[최초발령시작일자]],TODAY(),"Y"))</f>
        <v>0</v>
      </c>
      <c r="AD22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21">
        <f ca="1">IF(tblRoster[[#This Row],[직급발령시작일자]]="","",ROUND(YEARFRAC(tblRoster[[#This Row],[직급발령시작일자]],TODAY()),1))</f>
        <v>0</v>
      </c>
      <c r="AF22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21" t="str">
        <f ca="1">IF(OR(tblRoster[[#This Row],[공무원구분]]&lt;&gt;"공무원",tblRoster[[#This Row],[나이]]=""),"",YEAR(TODAY())+(60-tblRoster[[#This Row],[나이]]))</f>
        <v/>
      </c>
      <c r="AH221" t="str">
        <f>IF(tblRoster[[#This Row],[직위]]="","일반","보직자")</f>
        <v>일반</v>
      </c>
      <c r="AI22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1" t="str">
        <f ca="1">IF(tblRoster[[#This Row],[복직예정일]]="","",TEXT(tblRoster[[#This Row],[복직예정일]],"yyyy-mm"))</f>
        <v/>
      </c>
      <c r="AM221" t="str">
        <f ca="1">IF(tblRoster[[#This Row],[복직예정일]]="","",tblRoster[[#This Row],[복직예정일]]-TODAY())</f>
        <v/>
      </c>
      <c r="AN221" t="str">
        <f ca="1">IF(tblRoster[[#This Row],[휴직잔여일수]]="","",IF(tblRoster[[#This Row],[휴직잔여일수]]&lt;=180,"6개월내","6개월이후"))</f>
        <v/>
      </c>
      <c r="AO22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2" spans="1:41" x14ac:dyDescent="0.3">
      <c r="A222">
        <v>900220</v>
      </c>
      <c r="B222" t="s">
        <v>434</v>
      </c>
      <c r="C222" t="s">
        <v>8</v>
      </c>
      <c r="D222">
        <v>42</v>
      </c>
      <c r="E222" t="s">
        <v>128</v>
      </c>
      <c r="F222" t="s">
        <v>141</v>
      </c>
      <c r="G222" t="s">
        <v>207</v>
      </c>
      <c r="H222" t="s">
        <v>148</v>
      </c>
      <c r="I222" t="s">
        <v>132</v>
      </c>
      <c r="J222" t="s">
        <v>133</v>
      </c>
      <c r="L222" t="s">
        <v>134</v>
      </c>
      <c r="M222" t="s">
        <v>135</v>
      </c>
      <c r="N222" s="1">
        <v>40422</v>
      </c>
      <c r="O222" s="1">
        <v>40422</v>
      </c>
      <c r="P222" s="1">
        <v>41000</v>
      </c>
      <c r="Q222" s="1">
        <v>41000</v>
      </c>
      <c r="R222">
        <v>16</v>
      </c>
      <c r="T22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22" t="str">
        <f>IF(tblRoster[[#This Row],[급수]]="4급(임기제)","4급",tblRoster[[#This Row],[급수]])</f>
        <v>대학회계계약직</v>
      </c>
      <c r="V22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2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22" t="str">
        <f>IF(OR(tblRoster[[#This Row],[교직원상세구분]]="사회복무요원",tblRoster[[#This Row],[교직원상세구분]]="인턴(수습)"),"제외","포함")</f>
        <v>포함</v>
      </c>
      <c r="Y222">
        <f>1</f>
        <v>1</v>
      </c>
      <c r="Z222">
        <f>IF(tblRoster[[#This Row],[재직상태구분]]="휴직",1,0)</f>
        <v>0</v>
      </c>
      <c r="AA22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22">
        <f ca="1">IF(tblRoster[[#This Row],[본교발령시작일자]]="","",DATEDIF(tblRoster[[#This Row],[본교발령시작일자]],TODAY(),"Y"))</f>
        <v>16</v>
      </c>
      <c r="AC222">
        <f ca="1">IF(tblRoster[[#This Row],[최초발령시작일자]]="","",DATEDIF(tblRoster[[#This Row],[최초발령시작일자]],TODAY(),"Y"))</f>
        <v>16</v>
      </c>
      <c r="AD22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2">
        <f ca="1">IF(tblRoster[[#This Row],[직급발령시작일자]]="","",ROUND(YEARFRAC(tblRoster[[#This Row],[직급발령시작일자]],TODAY()),1))</f>
        <v>14.4</v>
      </c>
      <c r="AF22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22" t="str">
        <f ca="1">IF(OR(tblRoster[[#This Row],[공무원구분]]&lt;&gt;"공무원",tblRoster[[#This Row],[나이]]=""),"",YEAR(TODAY())+(60-tblRoster[[#This Row],[나이]]))</f>
        <v/>
      </c>
      <c r="AH222" t="str">
        <f>IF(tblRoster[[#This Row],[직위]]="","일반","보직자")</f>
        <v>일반</v>
      </c>
      <c r="AI22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2" t="str">
        <f ca="1">IF(tblRoster[[#This Row],[복직예정일]]="","",TEXT(tblRoster[[#This Row],[복직예정일]],"yyyy-mm"))</f>
        <v/>
      </c>
      <c r="AM222" t="str">
        <f ca="1">IF(tblRoster[[#This Row],[복직예정일]]="","",tblRoster[[#This Row],[복직예정일]]-TODAY())</f>
        <v/>
      </c>
      <c r="AN222" t="str">
        <f ca="1">IF(tblRoster[[#This Row],[휴직잔여일수]]="","",IF(tblRoster[[#This Row],[휴직잔여일수]]&lt;=180,"6개월내","6개월이후"))</f>
        <v/>
      </c>
      <c r="AO22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3" spans="1:41" x14ac:dyDescent="0.3">
      <c r="A223">
        <v>900221</v>
      </c>
      <c r="B223" t="s">
        <v>435</v>
      </c>
      <c r="C223" t="s">
        <v>8</v>
      </c>
      <c r="D223">
        <v>35</v>
      </c>
      <c r="E223" t="s">
        <v>128</v>
      </c>
      <c r="F223" t="s">
        <v>141</v>
      </c>
      <c r="G223" t="s">
        <v>138</v>
      </c>
      <c r="H223" t="s">
        <v>165</v>
      </c>
      <c r="I223" t="s">
        <v>144</v>
      </c>
      <c r="J223" t="s">
        <v>145</v>
      </c>
      <c r="L223" t="s">
        <v>134</v>
      </c>
      <c r="M223" t="s">
        <v>135</v>
      </c>
      <c r="N223" s="1">
        <v>42309</v>
      </c>
      <c r="O223" s="1">
        <v>42309</v>
      </c>
      <c r="P223" s="1">
        <v>42309</v>
      </c>
      <c r="Q223" s="1">
        <v>42309</v>
      </c>
      <c r="R223">
        <v>13</v>
      </c>
      <c r="T22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23" t="str">
        <f>IF(tblRoster[[#This Row],[급수]]="4급(임기제)","4급",tblRoster[[#This Row],[급수]])</f>
        <v>6급</v>
      </c>
      <c r="V22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2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3" t="str">
        <f>IF(OR(tblRoster[[#This Row],[교직원상세구분]]="사회복무요원",tblRoster[[#This Row],[교직원상세구분]]="인턴(수습)"),"제외","포함")</f>
        <v>포함</v>
      </c>
      <c r="Y223">
        <f>1</f>
        <v>1</v>
      </c>
      <c r="Z223">
        <f>IF(tblRoster[[#This Row],[재직상태구분]]="휴직",1,0)</f>
        <v>0</v>
      </c>
      <c r="AA22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23">
        <f ca="1">IF(tblRoster[[#This Row],[본교발령시작일자]]="","",DATEDIF(tblRoster[[#This Row],[본교발령시작일자]],TODAY(),"Y"))</f>
        <v>10</v>
      </c>
      <c r="AC223">
        <f ca="1">IF(tblRoster[[#This Row],[최초발령시작일자]]="","",DATEDIF(tblRoster[[#This Row],[최초발령시작일자]],TODAY(),"Y"))</f>
        <v>10</v>
      </c>
      <c r="AD22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3">
        <f ca="1">IF(tblRoster[[#This Row],[직급발령시작일자]]="","",ROUND(YEARFRAC(tblRoster[[#This Row],[직급발령시작일자]],TODAY()),1))</f>
        <v>10.9</v>
      </c>
      <c r="AF223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23">
        <f ca="1">IF(OR(tblRoster[[#This Row],[공무원구분]]&lt;&gt;"공무원",tblRoster[[#This Row],[나이]]=""),"",YEAR(TODAY())+(60-tblRoster[[#This Row],[나이]]))</f>
        <v>2051</v>
      </c>
      <c r="AH223" t="str">
        <f>IF(tblRoster[[#This Row],[직위]]="","일반","보직자")</f>
        <v>일반</v>
      </c>
      <c r="AI22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3" t="str">
        <f ca="1">IF(tblRoster[[#This Row],[복직예정일]]="","",TEXT(tblRoster[[#This Row],[복직예정일]],"yyyy-mm"))</f>
        <v/>
      </c>
      <c r="AM223" t="str">
        <f ca="1">IF(tblRoster[[#This Row],[복직예정일]]="","",tblRoster[[#This Row],[복직예정일]]-TODAY())</f>
        <v/>
      </c>
      <c r="AN223" t="str">
        <f ca="1">IF(tblRoster[[#This Row],[휴직잔여일수]]="","",IF(tblRoster[[#This Row],[휴직잔여일수]]&lt;=180,"6개월내","6개월이후"))</f>
        <v/>
      </c>
      <c r="AO22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4" spans="1:41" x14ac:dyDescent="0.3">
      <c r="A224">
        <v>900222</v>
      </c>
      <c r="B224" t="s">
        <v>436</v>
      </c>
      <c r="C224" t="s">
        <v>8</v>
      </c>
      <c r="D224">
        <v>27</v>
      </c>
      <c r="E224" t="s">
        <v>150</v>
      </c>
      <c r="F224" t="s">
        <v>141</v>
      </c>
      <c r="G224" t="s">
        <v>138</v>
      </c>
      <c r="H224" t="s">
        <v>180</v>
      </c>
      <c r="I224" t="s">
        <v>144</v>
      </c>
      <c r="J224" t="s">
        <v>145</v>
      </c>
      <c r="L224" t="s">
        <v>134</v>
      </c>
      <c r="M224" t="s">
        <v>135</v>
      </c>
      <c r="N224" s="1">
        <v>45870</v>
      </c>
      <c r="O224" s="1">
        <v>45870</v>
      </c>
      <c r="P224" s="1">
        <v>46143</v>
      </c>
      <c r="Q224" s="1">
        <v>46143</v>
      </c>
      <c r="T22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24" t="str">
        <f>IF(tblRoster[[#This Row],[급수]]="4급(임기제)","4급",tblRoster[[#This Row],[급수]])</f>
        <v>7급</v>
      </c>
      <c r="V22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2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4" t="str">
        <f>IF(OR(tblRoster[[#This Row],[교직원상세구분]]="사회복무요원",tblRoster[[#This Row],[교직원상세구분]]="인턴(수습)"),"제외","포함")</f>
        <v>포함</v>
      </c>
      <c r="Y224">
        <f>1</f>
        <v>1</v>
      </c>
      <c r="Z224">
        <f>IF(tblRoster[[#This Row],[재직상태구분]]="휴직",1,0)</f>
        <v>0</v>
      </c>
      <c r="AA22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24">
        <f ca="1">IF(tblRoster[[#This Row],[본교발령시작일자]]="","",DATEDIF(tblRoster[[#This Row],[본교발령시작일자]],TODAY(),"Y"))</f>
        <v>1</v>
      </c>
      <c r="AC224">
        <f ca="1">IF(tblRoster[[#This Row],[최초발령시작일자]]="","",DATEDIF(tblRoster[[#This Row],[최초발령시작일자]],TODAY(),"Y"))</f>
        <v>1</v>
      </c>
      <c r="AD22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24">
        <f ca="1">IF(tblRoster[[#This Row],[직급발령시작일자]]="","",ROUND(YEARFRAC(tblRoster[[#This Row],[직급발령시작일자]],TODAY()),1))</f>
        <v>0.4</v>
      </c>
      <c r="AF22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24">
        <f ca="1">IF(OR(tblRoster[[#This Row],[공무원구분]]&lt;&gt;"공무원",tblRoster[[#This Row],[나이]]=""),"",YEAR(TODAY())+(60-tblRoster[[#This Row],[나이]]))</f>
        <v>2059</v>
      </c>
      <c r="AH224" t="str">
        <f>IF(tblRoster[[#This Row],[직위]]="","일반","보직자")</f>
        <v>일반</v>
      </c>
      <c r="AI22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4" t="str">
        <f ca="1">IF(tblRoster[[#This Row],[복직예정일]]="","",TEXT(tblRoster[[#This Row],[복직예정일]],"yyyy-mm"))</f>
        <v/>
      </c>
      <c r="AM224" t="str">
        <f ca="1">IF(tblRoster[[#This Row],[복직예정일]]="","",tblRoster[[#This Row],[복직예정일]]-TODAY())</f>
        <v/>
      </c>
      <c r="AN224" t="str">
        <f ca="1">IF(tblRoster[[#This Row],[휴직잔여일수]]="","",IF(tblRoster[[#This Row],[휴직잔여일수]]&lt;=180,"6개월내","6개월이후"))</f>
        <v/>
      </c>
      <c r="AO22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5" spans="1:41" x14ac:dyDescent="0.3">
      <c r="A225">
        <v>900223</v>
      </c>
      <c r="B225" t="s">
        <v>54</v>
      </c>
      <c r="C225" t="s">
        <v>8</v>
      </c>
      <c r="D225">
        <v>54</v>
      </c>
      <c r="E225" t="s">
        <v>150</v>
      </c>
      <c r="F225" t="s">
        <v>184</v>
      </c>
      <c r="G225" t="s">
        <v>207</v>
      </c>
      <c r="H225" t="s">
        <v>200</v>
      </c>
      <c r="I225" t="s">
        <v>144</v>
      </c>
      <c r="J225" t="s">
        <v>145</v>
      </c>
      <c r="K225" t="s">
        <v>437</v>
      </c>
      <c r="L225" t="s">
        <v>134</v>
      </c>
      <c r="M225" t="s">
        <v>135</v>
      </c>
      <c r="N225" s="1">
        <v>40087</v>
      </c>
      <c r="O225" s="1">
        <v>40087</v>
      </c>
      <c r="P225" s="1">
        <v>42736</v>
      </c>
      <c r="Q225" s="1">
        <v>42736</v>
      </c>
      <c r="R225">
        <v>19</v>
      </c>
      <c r="S225" t="s">
        <v>438</v>
      </c>
      <c r="T22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25" t="str">
        <f>IF(tblRoster[[#This Row],[급수]]="4급(임기제)","4급",tblRoster[[#This Row],[급수]])</f>
        <v>5급</v>
      </c>
      <c r="V22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2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5" t="str">
        <f>IF(OR(tblRoster[[#This Row],[교직원상세구분]]="사회복무요원",tblRoster[[#This Row],[교직원상세구분]]="인턴(수습)"),"제외","포함")</f>
        <v>포함</v>
      </c>
      <c r="Y225">
        <f>1</f>
        <v>1</v>
      </c>
      <c r="Z225">
        <f>IF(tblRoster[[#This Row],[재직상태구분]]="휴직",1,0)</f>
        <v>0</v>
      </c>
      <c r="AA22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25">
        <f ca="1">IF(tblRoster[[#This Row],[본교발령시작일자]]="","",DATEDIF(tblRoster[[#This Row],[본교발령시작일자]],TODAY(),"Y"))</f>
        <v>16</v>
      </c>
      <c r="AC225">
        <f ca="1">IF(tblRoster[[#This Row],[최초발령시작일자]]="","",DATEDIF(tblRoster[[#This Row],[최초발령시작일자]],TODAY(),"Y"))</f>
        <v>16</v>
      </c>
      <c r="AD22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5">
        <f ca="1">IF(tblRoster[[#This Row],[직급발령시작일자]]="","",ROUND(YEARFRAC(tblRoster[[#This Row],[직급발령시작일자]],TODAY()),1))</f>
        <v>9.6999999999999993</v>
      </c>
      <c r="AF22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25">
        <f ca="1">IF(OR(tblRoster[[#This Row],[공무원구분]]&lt;&gt;"공무원",tblRoster[[#This Row],[나이]]=""),"",YEAR(TODAY())+(60-tblRoster[[#This Row],[나이]]))</f>
        <v>2032</v>
      </c>
      <c r="AH225" t="str">
        <f>IF(tblRoster[[#This Row],[직위]]="","일반","보직자")</f>
        <v>보직자</v>
      </c>
      <c r="AI22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5" t="str">
        <f ca="1">IF(tblRoster[[#This Row],[복직예정일]]="","",TEXT(tblRoster[[#This Row],[복직예정일]],"yyyy-mm"))</f>
        <v/>
      </c>
      <c r="AM225" t="str">
        <f ca="1">IF(tblRoster[[#This Row],[복직예정일]]="","",tblRoster[[#This Row],[복직예정일]]-TODAY())</f>
        <v/>
      </c>
      <c r="AN225" t="str">
        <f ca="1">IF(tblRoster[[#This Row],[휴직잔여일수]]="","",IF(tblRoster[[#This Row],[휴직잔여일수]]&lt;=180,"6개월내","6개월이후"))</f>
        <v/>
      </c>
      <c r="AO22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6" spans="1:41" x14ac:dyDescent="0.3">
      <c r="A226">
        <v>900224</v>
      </c>
      <c r="B226" t="s">
        <v>439</v>
      </c>
      <c r="C226" t="s">
        <v>8</v>
      </c>
      <c r="D226">
        <v>35</v>
      </c>
      <c r="E226" t="s">
        <v>128</v>
      </c>
      <c r="F226" t="s">
        <v>184</v>
      </c>
      <c r="G226" t="s">
        <v>185</v>
      </c>
      <c r="H226" t="s">
        <v>163</v>
      </c>
      <c r="I226" t="s">
        <v>144</v>
      </c>
      <c r="J226" t="s">
        <v>145</v>
      </c>
      <c r="L226" t="s">
        <v>135</v>
      </c>
      <c r="M226" t="s">
        <v>135</v>
      </c>
      <c r="N226" s="1">
        <v>41760</v>
      </c>
      <c r="O226" s="1">
        <v>41760</v>
      </c>
      <c r="P226" s="1">
        <v>41760</v>
      </c>
      <c r="Q226" s="1">
        <v>41760</v>
      </c>
      <c r="R226">
        <v>12</v>
      </c>
      <c r="T22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26" t="str">
        <f>IF(tblRoster[[#This Row],[급수]]="4급(임기제)","4급",tblRoster[[#This Row],[급수]])</f>
        <v>6급</v>
      </c>
      <c r="V22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2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6" t="str">
        <f>IF(OR(tblRoster[[#This Row],[교직원상세구분]]="사회복무요원",tblRoster[[#This Row],[교직원상세구분]]="인턴(수습)"),"제외","포함")</f>
        <v>포함</v>
      </c>
      <c r="Y226">
        <f>1</f>
        <v>1</v>
      </c>
      <c r="Z226">
        <f>IF(tblRoster[[#This Row],[재직상태구분]]="휴직",1,0)</f>
        <v>0</v>
      </c>
      <c r="AA22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26">
        <f ca="1">IF(tblRoster[[#This Row],[본교발령시작일자]]="","",DATEDIF(tblRoster[[#This Row],[본교발령시작일자]],TODAY(),"Y"))</f>
        <v>12</v>
      </c>
      <c r="AC226">
        <f ca="1">IF(tblRoster[[#This Row],[최초발령시작일자]]="","",DATEDIF(tblRoster[[#This Row],[최초발령시작일자]],TODAY(),"Y"))</f>
        <v>12</v>
      </c>
      <c r="AD22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6">
        <f ca="1">IF(tblRoster[[#This Row],[직급발령시작일자]]="","",ROUND(YEARFRAC(tblRoster[[#This Row],[직급발령시작일자]],TODAY()),1))</f>
        <v>12.4</v>
      </c>
      <c r="AF226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26">
        <f ca="1">IF(OR(tblRoster[[#This Row],[공무원구분]]&lt;&gt;"공무원",tblRoster[[#This Row],[나이]]=""),"",YEAR(TODAY())+(60-tblRoster[[#This Row],[나이]]))</f>
        <v>2051</v>
      </c>
      <c r="AH226" t="str">
        <f>IF(tblRoster[[#This Row],[직위]]="","일반","보직자")</f>
        <v>일반</v>
      </c>
      <c r="AI22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6" t="str">
        <f ca="1">IF(tblRoster[[#This Row],[복직예정일]]="","",TEXT(tblRoster[[#This Row],[복직예정일]],"yyyy-mm"))</f>
        <v/>
      </c>
      <c r="AM226" t="str">
        <f ca="1">IF(tblRoster[[#This Row],[복직예정일]]="","",tblRoster[[#This Row],[복직예정일]]-TODAY())</f>
        <v/>
      </c>
      <c r="AN226" t="str">
        <f ca="1">IF(tblRoster[[#This Row],[휴직잔여일수]]="","",IF(tblRoster[[#This Row],[휴직잔여일수]]&lt;=180,"6개월내","6개월이후"))</f>
        <v/>
      </c>
      <c r="AO22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7" spans="1:41" x14ac:dyDescent="0.3">
      <c r="A227">
        <v>900225</v>
      </c>
      <c r="B227" t="s">
        <v>440</v>
      </c>
      <c r="C227" t="s">
        <v>8</v>
      </c>
      <c r="D227">
        <v>58</v>
      </c>
      <c r="E227" t="s">
        <v>128</v>
      </c>
      <c r="F227" t="s">
        <v>158</v>
      </c>
      <c r="G227" t="s">
        <v>185</v>
      </c>
      <c r="H227" t="s">
        <v>200</v>
      </c>
      <c r="I227" t="s">
        <v>144</v>
      </c>
      <c r="J227" t="s">
        <v>145</v>
      </c>
      <c r="L227" t="s">
        <v>135</v>
      </c>
      <c r="M227" t="s">
        <v>135</v>
      </c>
      <c r="N227" s="1">
        <v>40422</v>
      </c>
      <c r="O227" s="1">
        <v>45962</v>
      </c>
      <c r="P227" s="1">
        <v>45962</v>
      </c>
      <c r="Q227" s="1">
        <v>45962</v>
      </c>
      <c r="R227">
        <v>16</v>
      </c>
      <c r="T22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27" t="str">
        <f>IF(tblRoster[[#This Row],[급수]]="4급(임기제)","4급",tblRoster[[#This Row],[급수]])</f>
        <v>5급</v>
      </c>
      <c r="V22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2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7" t="str">
        <f>IF(OR(tblRoster[[#This Row],[교직원상세구분]]="사회복무요원",tblRoster[[#This Row],[교직원상세구분]]="인턴(수습)"),"제외","포함")</f>
        <v>포함</v>
      </c>
      <c r="Y227">
        <f>1</f>
        <v>1</v>
      </c>
      <c r="Z227">
        <f>IF(tblRoster[[#This Row],[재직상태구분]]="휴직",1,0)</f>
        <v>0</v>
      </c>
      <c r="AA22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27">
        <f ca="1">IF(tblRoster[[#This Row],[본교발령시작일자]]="","",DATEDIF(tblRoster[[#This Row],[본교발령시작일자]],TODAY(),"Y"))</f>
        <v>0</v>
      </c>
      <c r="AC227">
        <f ca="1">IF(tblRoster[[#This Row],[최초발령시작일자]]="","",DATEDIF(tblRoster[[#This Row],[최초발령시작일자]],TODAY(),"Y"))</f>
        <v>16</v>
      </c>
      <c r="AD22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7">
        <f ca="1">IF(tblRoster[[#This Row],[직급발령시작일자]]="","",ROUND(YEARFRAC(tblRoster[[#This Row],[직급발령시작일자]],TODAY()),1))</f>
        <v>0.9</v>
      </c>
      <c r="AF22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27">
        <f ca="1">IF(OR(tblRoster[[#This Row],[공무원구분]]&lt;&gt;"공무원",tblRoster[[#This Row],[나이]]=""),"",YEAR(TODAY())+(60-tblRoster[[#This Row],[나이]]))</f>
        <v>2028</v>
      </c>
      <c r="AH227" t="str">
        <f>IF(tblRoster[[#This Row],[직위]]="","일반","보직자")</f>
        <v>일반</v>
      </c>
      <c r="AI22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7" t="str">
        <f ca="1">IF(tblRoster[[#This Row],[복직예정일]]="","",TEXT(tblRoster[[#This Row],[복직예정일]],"yyyy-mm"))</f>
        <v/>
      </c>
      <c r="AM227" t="str">
        <f ca="1">IF(tblRoster[[#This Row],[복직예정일]]="","",tblRoster[[#This Row],[복직예정일]]-TODAY())</f>
        <v/>
      </c>
      <c r="AN227" t="str">
        <f ca="1">IF(tblRoster[[#This Row],[휴직잔여일수]]="","",IF(tblRoster[[#This Row],[휴직잔여일수]]&lt;=180,"6개월내","6개월이후"))</f>
        <v/>
      </c>
      <c r="AO22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8" spans="1:41" x14ac:dyDescent="0.3">
      <c r="A228">
        <v>900226</v>
      </c>
      <c r="B228" t="s">
        <v>441</v>
      </c>
      <c r="C228" t="s">
        <v>8</v>
      </c>
      <c r="D228">
        <v>38</v>
      </c>
      <c r="E228" t="s">
        <v>150</v>
      </c>
      <c r="F228" t="s">
        <v>246</v>
      </c>
      <c r="G228" t="s">
        <v>182</v>
      </c>
      <c r="H228" t="s">
        <v>148</v>
      </c>
      <c r="I228" t="s">
        <v>132</v>
      </c>
      <c r="J228" t="s">
        <v>133</v>
      </c>
      <c r="L228" t="s">
        <v>134</v>
      </c>
      <c r="M228" t="s">
        <v>135</v>
      </c>
      <c r="N228" s="1">
        <v>40299</v>
      </c>
      <c r="O228" s="1">
        <v>40299</v>
      </c>
      <c r="P228" s="1">
        <v>41821</v>
      </c>
      <c r="Q228" s="1">
        <v>41821</v>
      </c>
      <c r="R228">
        <v>18</v>
      </c>
      <c r="T22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28" t="str">
        <f>IF(tblRoster[[#This Row],[급수]]="4급(임기제)","4급",tblRoster[[#This Row],[급수]])</f>
        <v>대학회계계약직</v>
      </c>
      <c r="V22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2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28" t="str">
        <f>IF(OR(tblRoster[[#This Row],[교직원상세구분]]="사회복무요원",tblRoster[[#This Row],[교직원상세구분]]="인턴(수습)"),"제외","포함")</f>
        <v>포함</v>
      </c>
      <c r="Y228">
        <f>1</f>
        <v>1</v>
      </c>
      <c r="Z228">
        <f>IF(tblRoster[[#This Row],[재직상태구분]]="휴직",1,0)</f>
        <v>0</v>
      </c>
      <c r="AA22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28">
        <f ca="1">IF(tblRoster[[#This Row],[본교발령시작일자]]="","",DATEDIF(tblRoster[[#This Row],[본교발령시작일자]],TODAY(),"Y"))</f>
        <v>16</v>
      </c>
      <c r="AC228">
        <f ca="1">IF(tblRoster[[#This Row],[최초발령시작일자]]="","",DATEDIF(tblRoster[[#This Row],[최초발령시작일자]],TODAY(),"Y"))</f>
        <v>16</v>
      </c>
      <c r="AD22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28">
        <f ca="1">IF(tblRoster[[#This Row],[직급발령시작일자]]="","",ROUND(YEARFRAC(tblRoster[[#This Row],[직급발령시작일자]],TODAY()),1))</f>
        <v>12.2</v>
      </c>
      <c r="AF22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28" t="str">
        <f ca="1">IF(OR(tblRoster[[#This Row],[공무원구분]]&lt;&gt;"공무원",tblRoster[[#This Row],[나이]]=""),"",YEAR(TODAY())+(60-tblRoster[[#This Row],[나이]]))</f>
        <v/>
      </c>
      <c r="AH228" t="str">
        <f>IF(tblRoster[[#This Row],[직위]]="","일반","보직자")</f>
        <v>일반</v>
      </c>
      <c r="AI22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2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2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28" t="str">
        <f ca="1">IF(tblRoster[[#This Row],[복직예정일]]="","",TEXT(tblRoster[[#This Row],[복직예정일]],"yyyy-mm"))</f>
        <v/>
      </c>
      <c r="AM228" t="str">
        <f ca="1">IF(tblRoster[[#This Row],[복직예정일]]="","",tblRoster[[#This Row],[복직예정일]]-TODAY())</f>
        <v/>
      </c>
      <c r="AN228" t="str">
        <f ca="1">IF(tblRoster[[#This Row],[휴직잔여일수]]="","",IF(tblRoster[[#This Row],[휴직잔여일수]]&lt;=180,"6개월내","6개월이후"))</f>
        <v/>
      </c>
      <c r="AO22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29" spans="1:41" x14ac:dyDescent="0.3">
      <c r="A229">
        <v>900227</v>
      </c>
      <c r="B229" t="s">
        <v>55</v>
      </c>
      <c r="C229" t="s">
        <v>16</v>
      </c>
      <c r="D229">
        <v>24</v>
      </c>
      <c r="E229" t="s">
        <v>128</v>
      </c>
      <c r="F229" t="s">
        <v>158</v>
      </c>
      <c r="G229" t="s">
        <v>202</v>
      </c>
      <c r="H229" t="s">
        <v>233</v>
      </c>
      <c r="I229" t="s">
        <v>144</v>
      </c>
      <c r="J229" t="s">
        <v>145</v>
      </c>
      <c r="L229" t="s">
        <v>134</v>
      </c>
      <c r="M229" t="s">
        <v>135</v>
      </c>
      <c r="N229" s="1">
        <v>45566</v>
      </c>
      <c r="O229" s="1">
        <v>45566</v>
      </c>
      <c r="P229" s="1">
        <v>45566</v>
      </c>
      <c r="Q229" s="1">
        <v>45566</v>
      </c>
      <c r="R229">
        <v>2</v>
      </c>
      <c r="S229" t="s">
        <v>442</v>
      </c>
      <c r="T22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29" t="str">
        <f>IF(tblRoster[[#This Row],[급수]]="4급(임기제)","4급",tblRoster[[#This Row],[급수]])</f>
        <v>8급</v>
      </c>
      <c r="V22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2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29" t="str">
        <f>IF(OR(tblRoster[[#This Row],[교직원상세구분]]="사회복무요원",tblRoster[[#This Row],[교직원상세구분]]="인턴(수습)"),"제외","포함")</f>
        <v>포함</v>
      </c>
      <c r="Y229">
        <f>1</f>
        <v>1</v>
      </c>
      <c r="Z229">
        <f>IF(tblRoster[[#This Row],[재직상태구분]]="휴직",1,0)</f>
        <v>1</v>
      </c>
      <c r="AA22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29">
        <f ca="1">IF(tblRoster[[#This Row],[본교발령시작일자]]="","",DATEDIF(tblRoster[[#This Row],[본교발령시작일자]],TODAY(),"Y"))</f>
        <v>1</v>
      </c>
      <c r="AC229">
        <f ca="1">IF(tblRoster[[#This Row],[최초발령시작일자]]="","",DATEDIF(tblRoster[[#This Row],[최초발령시작일자]],TODAY(),"Y"))</f>
        <v>1</v>
      </c>
      <c r="AD22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29">
        <f ca="1">IF(tblRoster[[#This Row],[직급발령시작일자]]="","",ROUND(YEARFRAC(tblRoster[[#This Row],[직급발령시작일자]],TODAY()),1))</f>
        <v>1.9</v>
      </c>
      <c r="AF22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29">
        <f ca="1">IF(OR(tblRoster[[#This Row],[공무원구분]]&lt;&gt;"공무원",tblRoster[[#This Row],[나이]]=""),"",YEAR(TODAY())+(60-tblRoster[[#This Row],[나이]]))</f>
        <v>2062</v>
      </c>
      <c r="AH229" t="str">
        <f>IF(tblRoster[[#This Row],[직위]]="","일반","보직자")</f>
        <v>일반</v>
      </c>
      <c r="AI229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46243</v>
      </c>
      <c r="AJ22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229" s="1">
        <f ca="1">IF(tblRoster[[#This Row],[현재휴직시작일]]="","",IFERROR(INDEX(tblLeave[종료일],MATCH(tblRoster[[#This Row],[교직원번호]]&amp;"|"&amp;tblRoster[[#This Row],[현재휴직시작일]],tblLeave[매칭키],0)),""))</f>
        <v>46792</v>
      </c>
      <c r="AL229" t="str">
        <f ca="1">IF(tblRoster[[#This Row],[복직예정일]]="","",TEXT(tblRoster[[#This Row],[복직예정일]],"yyyy-mm"))</f>
        <v>2028-02</v>
      </c>
      <c r="AM229">
        <f ca="1">IF(tblRoster[[#This Row],[복직예정일]]="","",tblRoster[[#This Row],[복직예정일]]-TODAY())</f>
        <v>520</v>
      </c>
      <c r="AN229" t="str">
        <f ca="1">IF(tblRoster[[#This Row],[휴직잔여일수]]="","",IF(tblRoster[[#This Row],[휴직잔여일수]]&lt;=180,"6개월내","6개월이후"))</f>
        <v>6개월이후</v>
      </c>
      <c r="AO22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0" spans="1:41" x14ac:dyDescent="0.3">
      <c r="A230">
        <v>900228</v>
      </c>
      <c r="B230" t="s">
        <v>443</v>
      </c>
      <c r="C230" t="s">
        <v>8</v>
      </c>
      <c r="D230">
        <v>50</v>
      </c>
      <c r="E230" t="s">
        <v>150</v>
      </c>
      <c r="F230" t="s">
        <v>168</v>
      </c>
      <c r="G230" t="s">
        <v>197</v>
      </c>
      <c r="H230" t="s">
        <v>180</v>
      </c>
      <c r="I230" t="s">
        <v>144</v>
      </c>
      <c r="J230" t="s">
        <v>145</v>
      </c>
      <c r="L230" t="s">
        <v>134</v>
      </c>
      <c r="M230" t="s">
        <v>135</v>
      </c>
      <c r="N230" s="1">
        <v>40057</v>
      </c>
      <c r="O230" s="1">
        <v>40057</v>
      </c>
      <c r="P230" s="1">
        <v>45566</v>
      </c>
      <c r="Q230" s="1">
        <v>45566</v>
      </c>
      <c r="R230">
        <v>17</v>
      </c>
      <c r="T23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30" t="str">
        <f>IF(tblRoster[[#This Row],[급수]]="4급(임기제)","4급",tblRoster[[#This Row],[급수]])</f>
        <v>7급</v>
      </c>
      <c r="V23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3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30" t="str">
        <f>IF(OR(tblRoster[[#This Row],[교직원상세구분]]="사회복무요원",tblRoster[[#This Row],[교직원상세구분]]="인턴(수습)"),"제외","포함")</f>
        <v>포함</v>
      </c>
      <c r="Y230">
        <f>1</f>
        <v>1</v>
      </c>
      <c r="Z230">
        <f>IF(tblRoster[[#This Row],[재직상태구분]]="휴직",1,0)</f>
        <v>0</v>
      </c>
      <c r="AA23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30">
        <f ca="1">IF(tblRoster[[#This Row],[본교발령시작일자]]="","",DATEDIF(tblRoster[[#This Row],[본교발령시작일자]],TODAY(),"Y"))</f>
        <v>17</v>
      </c>
      <c r="AC230">
        <f ca="1">IF(tblRoster[[#This Row],[최초발령시작일자]]="","",DATEDIF(tblRoster[[#This Row],[최초발령시작일자]],TODAY(),"Y"))</f>
        <v>17</v>
      </c>
      <c r="AD23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30">
        <f ca="1">IF(tblRoster[[#This Row],[직급발령시작일자]]="","",ROUND(YEARFRAC(tblRoster[[#This Row],[직급발령시작일자]],TODAY()),1))</f>
        <v>1.9</v>
      </c>
      <c r="AF23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0">
        <f ca="1">IF(OR(tblRoster[[#This Row],[공무원구분]]&lt;&gt;"공무원",tblRoster[[#This Row],[나이]]=""),"",YEAR(TODAY())+(60-tblRoster[[#This Row],[나이]]))</f>
        <v>2036</v>
      </c>
      <c r="AH230" t="str">
        <f>IF(tblRoster[[#This Row],[직위]]="","일반","보직자")</f>
        <v>일반</v>
      </c>
      <c r="AI23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0" t="str">
        <f ca="1">IF(tblRoster[[#This Row],[복직예정일]]="","",TEXT(tblRoster[[#This Row],[복직예정일]],"yyyy-mm"))</f>
        <v/>
      </c>
      <c r="AM230" t="str">
        <f ca="1">IF(tblRoster[[#This Row],[복직예정일]]="","",tblRoster[[#This Row],[복직예정일]]-TODAY())</f>
        <v/>
      </c>
      <c r="AN230" t="str">
        <f ca="1">IF(tblRoster[[#This Row],[휴직잔여일수]]="","",IF(tblRoster[[#This Row],[휴직잔여일수]]&lt;=180,"6개월내","6개월이후"))</f>
        <v/>
      </c>
      <c r="AO23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1" spans="1:41" x14ac:dyDescent="0.3">
      <c r="A231">
        <v>900229</v>
      </c>
      <c r="B231" t="s">
        <v>444</v>
      </c>
      <c r="C231" t="s">
        <v>8</v>
      </c>
      <c r="D231">
        <v>54</v>
      </c>
      <c r="E231" t="s">
        <v>128</v>
      </c>
      <c r="F231" t="s">
        <v>236</v>
      </c>
      <c r="G231" t="s">
        <v>197</v>
      </c>
      <c r="H231" t="s">
        <v>445</v>
      </c>
      <c r="I231" t="s">
        <v>144</v>
      </c>
      <c r="J231" t="s">
        <v>145</v>
      </c>
      <c r="L231" t="s">
        <v>135</v>
      </c>
      <c r="M231" t="s">
        <v>135</v>
      </c>
      <c r="N231" s="1">
        <v>40299</v>
      </c>
      <c r="O231" s="1">
        <v>40299</v>
      </c>
      <c r="P231" s="1">
        <v>42064</v>
      </c>
      <c r="Q231" s="1">
        <v>42064</v>
      </c>
      <c r="R231">
        <v>16</v>
      </c>
      <c r="T23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4급(임기제)</v>
      </c>
      <c r="U231" t="str">
        <f>IF(tblRoster[[#This Row],[급수]]="4급(임기제)","4급",tblRoster[[#This Row],[급수]])</f>
        <v>4급</v>
      </c>
      <c r="V23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2</v>
      </c>
      <c r="W23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31" t="str">
        <f>IF(OR(tblRoster[[#This Row],[교직원상세구분]]="사회복무요원",tblRoster[[#This Row],[교직원상세구분]]="인턴(수습)"),"제외","포함")</f>
        <v>포함</v>
      </c>
      <c r="Y231">
        <f>1</f>
        <v>1</v>
      </c>
      <c r="Z231">
        <f>IF(tblRoster[[#This Row],[재직상태구분]]="휴직",1,0)</f>
        <v>0</v>
      </c>
      <c r="AA23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31">
        <f ca="1">IF(tblRoster[[#This Row],[본교발령시작일자]]="","",DATEDIF(tblRoster[[#This Row],[본교발령시작일자]],TODAY(),"Y"))</f>
        <v>16</v>
      </c>
      <c r="AC231">
        <f ca="1">IF(tblRoster[[#This Row],[최초발령시작일자]]="","",DATEDIF(tblRoster[[#This Row],[최초발령시작일자]],TODAY(),"Y"))</f>
        <v>16</v>
      </c>
      <c r="AD23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31">
        <f ca="1">IF(tblRoster[[#This Row],[직급발령시작일자]]="","",ROUND(YEARFRAC(tblRoster[[#This Row],[직급발령시작일자]],TODAY()),1))</f>
        <v>11.5</v>
      </c>
      <c r="AF23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31">
        <f ca="1">IF(OR(tblRoster[[#This Row],[공무원구분]]&lt;&gt;"공무원",tblRoster[[#This Row],[나이]]=""),"",YEAR(TODAY())+(60-tblRoster[[#This Row],[나이]]))</f>
        <v>2032</v>
      </c>
      <c r="AH231" t="str">
        <f>IF(tblRoster[[#This Row],[직위]]="","일반","보직자")</f>
        <v>일반</v>
      </c>
      <c r="AI23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1" t="str">
        <f ca="1">IF(tblRoster[[#This Row],[복직예정일]]="","",TEXT(tblRoster[[#This Row],[복직예정일]],"yyyy-mm"))</f>
        <v/>
      </c>
      <c r="AM231" t="str">
        <f ca="1">IF(tblRoster[[#This Row],[복직예정일]]="","",tblRoster[[#This Row],[복직예정일]]-TODAY())</f>
        <v/>
      </c>
      <c r="AN231" t="str">
        <f ca="1">IF(tblRoster[[#This Row],[휴직잔여일수]]="","",IF(tblRoster[[#This Row],[휴직잔여일수]]&lt;=180,"6개월내","6개월이후"))</f>
        <v/>
      </c>
      <c r="AO23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2" spans="1:41" x14ac:dyDescent="0.3">
      <c r="A232">
        <v>900230</v>
      </c>
      <c r="B232" t="s">
        <v>56</v>
      </c>
      <c r="C232" t="s">
        <v>8</v>
      </c>
      <c r="D232">
        <v>33</v>
      </c>
      <c r="E232" t="s">
        <v>150</v>
      </c>
      <c r="F232" t="s">
        <v>168</v>
      </c>
      <c r="G232" t="s">
        <v>142</v>
      </c>
      <c r="H232" t="s">
        <v>238</v>
      </c>
      <c r="I232" t="s">
        <v>239</v>
      </c>
      <c r="J232" t="s">
        <v>133</v>
      </c>
      <c r="L232" t="s">
        <v>134</v>
      </c>
      <c r="M232" t="s">
        <v>135</v>
      </c>
      <c r="N232" s="1">
        <v>42217</v>
      </c>
      <c r="O232" s="1">
        <v>42217</v>
      </c>
      <c r="P232" s="1">
        <v>42217</v>
      </c>
      <c r="Q232" s="1">
        <v>42217</v>
      </c>
      <c r="R232">
        <v>12</v>
      </c>
      <c r="S232" t="s">
        <v>446</v>
      </c>
      <c r="T23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32" t="str">
        <f>IF(tblRoster[[#This Row],[급수]]="4급(임기제)","4급",tblRoster[[#This Row],[급수]])</f>
        <v>대학회계직</v>
      </c>
      <c r="V23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3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32" t="str">
        <f>IF(OR(tblRoster[[#This Row],[교직원상세구분]]="사회복무요원",tblRoster[[#This Row],[교직원상세구분]]="인턴(수습)"),"제외","포함")</f>
        <v>포함</v>
      </c>
      <c r="Y232">
        <f>1</f>
        <v>1</v>
      </c>
      <c r="Z232">
        <f>IF(tblRoster[[#This Row],[재직상태구분]]="휴직",1,0)</f>
        <v>0</v>
      </c>
      <c r="AA23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32">
        <f ca="1">IF(tblRoster[[#This Row],[본교발령시작일자]]="","",DATEDIF(tblRoster[[#This Row],[본교발령시작일자]],TODAY(),"Y"))</f>
        <v>11</v>
      </c>
      <c r="AC232">
        <f ca="1">IF(tblRoster[[#This Row],[최초발령시작일자]]="","",DATEDIF(tblRoster[[#This Row],[최초발령시작일자]],TODAY(),"Y"))</f>
        <v>11</v>
      </c>
      <c r="AD23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32">
        <f ca="1">IF(tblRoster[[#This Row],[직급발령시작일자]]="","",ROUND(YEARFRAC(tblRoster[[#This Row],[직급발령시작일자]],TODAY()),1))</f>
        <v>11.1</v>
      </c>
      <c r="AF23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32" t="str">
        <f ca="1">IF(OR(tblRoster[[#This Row],[공무원구분]]&lt;&gt;"공무원",tblRoster[[#This Row],[나이]]=""),"",YEAR(TODAY())+(60-tblRoster[[#This Row],[나이]]))</f>
        <v/>
      </c>
      <c r="AH232" t="str">
        <f>IF(tblRoster[[#This Row],[직위]]="","일반","보직자")</f>
        <v>일반</v>
      </c>
      <c r="AI23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2" t="str">
        <f ca="1">IF(tblRoster[[#This Row],[복직예정일]]="","",TEXT(tblRoster[[#This Row],[복직예정일]],"yyyy-mm"))</f>
        <v/>
      </c>
      <c r="AM232" t="str">
        <f ca="1">IF(tblRoster[[#This Row],[복직예정일]]="","",tblRoster[[#This Row],[복직예정일]]-TODAY())</f>
        <v/>
      </c>
      <c r="AN232" t="str">
        <f ca="1">IF(tblRoster[[#This Row],[휴직잔여일수]]="","",IF(tblRoster[[#This Row],[휴직잔여일수]]&lt;=180,"6개월내","6개월이후"))</f>
        <v/>
      </c>
      <c r="AO23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3" spans="1:41" x14ac:dyDescent="0.3">
      <c r="A233">
        <v>900231</v>
      </c>
      <c r="B233" t="s">
        <v>447</v>
      </c>
      <c r="C233" t="s">
        <v>8</v>
      </c>
      <c r="D233">
        <v>33</v>
      </c>
      <c r="E233" t="s">
        <v>150</v>
      </c>
      <c r="F233" t="s">
        <v>158</v>
      </c>
      <c r="G233" t="s">
        <v>169</v>
      </c>
      <c r="H233" t="s">
        <v>148</v>
      </c>
      <c r="I233" t="s">
        <v>132</v>
      </c>
      <c r="J233" t="s">
        <v>133</v>
      </c>
      <c r="L233" t="s">
        <v>134</v>
      </c>
      <c r="M233" t="s">
        <v>135</v>
      </c>
      <c r="N233" s="1">
        <v>42064</v>
      </c>
      <c r="O233" s="1">
        <v>42064</v>
      </c>
      <c r="P233" s="1">
        <v>43040</v>
      </c>
      <c r="Q233" s="1">
        <v>43040</v>
      </c>
      <c r="R233">
        <v>13</v>
      </c>
      <c r="T23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33" t="str">
        <f>IF(tblRoster[[#This Row],[급수]]="4급(임기제)","4급",tblRoster[[#This Row],[급수]])</f>
        <v>대학회계계약직</v>
      </c>
      <c r="V23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3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33" t="str">
        <f>IF(OR(tblRoster[[#This Row],[교직원상세구분]]="사회복무요원",tblRoster[[#This Row],[교직원상세구분]]="인턴(수습)"),"제외","포함")</f>
        <v>포함</v>
      </c>
      <c r="Y233">
        <f>1</f>
        <v>1</v>
      </c>
      <c r="Z233">
        <f>IF(tblRoster[[#This Row],[재직상태구분]]="휴직",1,0)</f>
        <v>0</v>
      </c>
      <c r="AA23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33">
        <f ca="1">IF(tblRoster[[#This Row],[본교발령시작일자]]="","",DATEDIF(tblRoster[[#This Row],[본교발령시작일자]],TODAY(),"Y"))</f>
        <v>11</v>
      </c>
      <c r="AC233">
        <f ca="1">IF(tblRoster[[#This Row],[최초발령시작일자]]="","",DATEDIF(tblRoster[[#This Row],[최초발령시작일자]],TODAY(),"Y"))</f>
        <v>11</v>
      </c>
      <c r="AD23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33">
        <f ca="1">IF(tblRoster[[#This Row],[직급발령시작일자]]="","",ROUND(YEARFRAC(tblRoster[[#This Row],[직급발령시작일자]],TODAY()),1))</f>
        <v>8.9</v>
      </c>
      <c r="AF23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33" t="str">
        <f ca="1">IF(OR(tblRoster[[#This Row],[공무원구분]]&lt;&gt;"공무원",tblRoster[[#This Row],[나이]]=""),"",YEAR(TODAY())+(60-tblRoster[[#This Row],[나이]]))</f>
        <v/>
      </c>
      <c r="AH233" t="str">
        <f>IF(tblRoster[[#This Row],[직위]]="","일반","보직자")</f>
        <v>일반</v>
      </c>
      <c r="AI23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3" t="str">
        <f ca="1">IF(tblRoster[[#This Row],[복직예정일]]="","",TEXT(tblRoster[[#This Row],[복직예정일]],"yyyy-mm"))</f>
        <v/>
      </c>
      <c r="AM233" t="str">
        <f ca="1">IF(tblRoster[[#This Row],[복직예정일]]="","",tblRoster[[#This Row],[복직예정일]]-TODAY())</f>
        <v/>
      </c>
      <c r="AN233" t="str">
        <f ca="1">IF(tblRoster[[#This Row],[휴직잔여일수]]="","",IF(tblRoster[[#This Row],[휴직잔여일수]]&lt;=180,"6개월내","6개월이후"))</f>
        <v/>
      </c>
      <c r="AO23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4" spans="1:41" x14ac:dyDescent="0.3">
      <c r="A234">
        <v>900232</v>
      </c>
      <c r="B234" t="s">
        <v>448</v>
      </c>
      <c r="C234" t="s">
        <v>8</v>
      </c>
      <c r="D234">
        <v>24</v>
      </c>
      <c r="E234" t="s">
        <v>128</v>
      </c>
      <c r="F234" t="s">
        <v>189</v>
      </c>
      <c r="G234" t="s">
        <v>142</v>
      </c>
      <c r="H234" t="s">
        <v>186</v>
      </c>
      <c r="I234" t="s">
        <v>186</v>
      </c>
      <c r="J234" t="s">
        <v>133</v>
      </c>
      <c r="L234" t="s">
        <v>134</v>
      </c>
      <c r="M234" t="s">
        <v>135</v>
      </c>
      <c r="N234" s="1">
        <v>45839</v>
      </c>
      <c r="O234" s="1">
        <v>45962</v>
      </c>
      <c r="P234" s="1">
        <v>45962</v>
      </c>
      <c r="Q234" s="1">
        <v>45962</v>
      </c>
      <c r="T23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234" t="str">
        <f>IF(tblRoster[[#This Row],[급수]]="4급(임기제)","4급",tblRoster[[#This Row],[급수]])</f>
        <v>사회복무요원</v>
      </c>
      <c r="V23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23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34" t="str">
        <f>IF(OR(tblRoster[[#This Row],[교직원상세구분]]="사회복무요원",tblRoster[[#This Row],[교직원상세구분]]="인턴(수습)"),"제외","포함")</f>
        <v>제외</v>
      </c>
      <c r="Y234">
        <f>1</f>
        <v>1</v>
      </c>
      <c r="Z234">
        <f>IF(tblRoster[[#This Row],[재직상태구분]]="휴직",1,0)</f>
        <v>0</v>
      </c>
      <c r="AA23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34">
        <f ca="1">IF(tblRoster[[#This Row],[본교발령시작일자]]="","",DATEDIF(tblRoster[[#This Row],[본교발령시작일자]],TODAY(),"Y"))</f>
        <v>0</v>
      </c>
      <c r="AC234">
        <f ca="1">IF(tblRoster[[#This Row],[최초발령시작일자]]="","",DATEDIF(tblRoster[[#This Row],[최초발령시작일자]],TODAY(),"Y"))</f>
        <v>1</v>
      </c>
      <c r="AD23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34">
        <f ca="1">IF(tblRoster[[#This Row],[직급발령시작일자]]="","",ROUND(YEARFRAC(tblRoster[[#This Row],[직급발령시작일자]],TODAY()),1))</f>
        <v>0.9</v>
      </c>
      <c r="AF23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4" t="str">
        <f ca="1">IF(OR(tblRoster[[#This Row],[공무원구분]]&lt;&gt;"공무원",tblRoster[[#This Row],[나이]]=""),"",YEAR(TODAY())+(60-tblRoster[[#This Row],[나이]]))</f>
        <v/>
      </c>
      <c r="AH234" t="str">
        <f>IF(tblRoster[[#This Row],[직위]]="","일반","보직자")</f>
        <v>일반</v>
      </c>
      <c r="AI23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4" t="str">
        <f ca="1">IF(tblRoster[[#This Row],[복직예정일]]="","",TEXT(tblRoster[[#This Row],[복직예정일]],"yyyy-mm"))</f>
        <v/>
      </c>
      <c r="AM234" t="str">
        <f ca="1">IF(tblRoster[[#This Row],[복직예정일]]="","",tblRoster[[#This Row],[복직예정일]]-TODAY())</f>
        <v/>
      </c>
      <c r="AN234" t="str">
        <f ca="1">IF(tblRoster[[#This Row],[휴직잔여일수]]="","",IF(tblRoster[[#This Row],[휴직잔여일수]]&lt;=180,"6개월내","6개월이후"))</f>
        <v/>
      </c>
      <c r="AO23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5" spans="1:41" x14ac:dyDescent="0.3">
      <c r="A235">
        <v>900233</v>
      </c>
      <c r="B235" t="s">
        <v>449</v>
      </c>
      <c r="C235" t="s">
        <v>8</v>
      </c>
      <c r="D235">
        <v>25</v>
      </c>
      <c r="E235" t="s">
        <v>128</v>
      </c>
      <c r="F235" t="s">
        <v>184</v>
      </c>
      <c r="G235" t="s">
        <v>169</v>
      </c>
      <c r="H235" t="s">
        <v>212</v>
      </c>
      <c r="I235" t="s">
        <v>213</v>
      </c>
      <c r="J235" t="s">
        <v>133</v>
      </c>
      <c r="L235" t="s">
        <v>134</v>
      </c>
      <c r="M235" t="s">
        <v>135</v>
      </c>
      <c r="N235" s="1">
        <v>45383</v>
      </c>
      <c r="O235" s="1">
        <v>44287</v>
      </c>
      <c r="P235" s="1">
        <v>44682</v>
      </c>
      <c r="Q235" s="1">
        <v>44682</v>
      </c>
      <c r="T23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235" t="str">
        <f>IF(tblRoster[[#This Row],[급수]]="4급(임기제)","4급",tblRoster[[#This Row],[급수]])</f>
        <v>인턴</v>
      </c>
      <c r="V23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23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35" t="str">
        <f>IF(OR(tblRoster[[#This Row],[교직원상세구분]]="사회복무요원",tblRoster[[#This Row],[교직원상세구분]]="인턴(수습)"),"제외","포함")</f>
        <v>제외</v>
      </c>
      <c r="Y235">
        <f>1</f>
        <v>1</v>
      </c>
      <c r="Z235">
        <f>IF(tblRoster[[#This Row],[재직상태구분]]="휴직",1,0)</f>
        <v>0</v>
      </c>
      <c r="AA23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35">
        <f ca="1">IF(tblRoster[[#This Row],[본교발령시작일자]]="","",DATEDIF(tblRoster[[#This Row],[본교발령시작일자]],TODAY(),"Y"))</f>
        <v>5</v>
      </c>
      <c r="AC235">
        <f ca="1">IF(tblRoster[[#This Row],[최초발령시작일자]]="","",DATEDIF(tblRoster[[#This Row],[최초발령시작일자]],TODAY(),"Y"))</f>
        <v>2</v>
      </c>
      <c r="AD23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35">
        <f ca="1">IF(tblRoster[[#This Row],[직급발령시작일자]]="","",ROUND(YEARFRAC(tblRoster[[#This Row],[직급발령시작일자]],TODAY()),1))</f>
        <v>4.4000000000000004</v>
      </c>
      <c r="AF23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5" t="str">
        <f ca="1">IF(OR(tblRoster[[#This Row],[공무원구분]]&lt;&gt;"공무원",tblRoster[[#This Row],[나이]]=""),"",YEAR(TODAY())+(60-tblRoster[[#This Row],[나이]]))</f>
        <v/>
      </c>
      <c r="AH235" t="str">
        <f>IF(tblRoster[[#This Row],[직위]]="","일반","보직자")</f>
        <v>일반</v>
      </c>
      <c r="AI23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5" t="str">
        <f ca="1">IF(tblRoster[[#This Row],[복직예정일]]="","",TEXT(tblRoster[[#This Row],[복직예정일]],"yyyy-mm"))</f>
        <v/>
      </c>
      <c r="AM235" t="str">
        <f ca="1">IF(tblRoster[[#This Row],[복직예정일]]="","",tblRoster[[#This Row],[복직예정일]]-TODAY())</f>
        <v/>
      </c>
      <c r="AN235" t="str">
        <f ca="1">IF(tblRoster[[#This Row],[휴직잔여일수]]="","",IF(tblRoster[[#This Row],[휴직잔여일수]]&lt;=180,"6개월내","6개월이후"))</f>
        <v/>
      </c>
      <c r="AO23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6" spans="1:41" x14ac:dyDescent="0.3">
      <c r="A236">
        <v>900234</v>
      </c>
      <c r="B236" t="s">
        <v>450</v>
      </c>
      <c r="C236" t="s">
        <v>8</v>
      </c>
      <c r="D236">
        <v>29</v>
      </c>
      <c r="E236" t="s">
        <v>128</v>
      </c>
      <c r="F236" t="s">
        <v>246</v>
      </c>
      <c r="G236" t="s">
        <v>211</v>
      </c>
      <c r="H236" t="s">
        <v>212</v>
      </c>
      <c r="I236" t="s">
        <v>213</v>
      </c>
      <c r="J236" t="s">
        <v>133</v>
      </c>
      <c r="L236" t="s">
        <v>134</v>
      </c>
      <c r="M236" t="s">
        <v>135</v>
      </c>
      <c r="N236" s="1">
        <v>44927</v>
      </c>
      <c r="O236" s="1">
        <v>46174</v>
      </c>
      <c r="P236" s="1">
        <v>46235</v>
      </c>
      <c r="Q236" s="1">
        <v>46235</v>
      </c>
      <c r="T23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236" t="str">
        <f>IF(tblRoster[[#This Row],[급수]]="4급(임기제)","4급",tblRoster[[#This Row],[급수]])</f>
        <v>인턴</v>
      </c>
      <c r="V23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23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36" t="str">
        <f>IF(OR(tblRoster[[#This Row],[교직원상세구분]]="사회복무요원",tblRoster[[#This Row],[교직원상세구분]]="인턴(수습)"),"제외","포함")</f>
        <v>제외</v>
      </c>
      <c r="Y236">
        <f>1</f>
        <v>1</v>
      </c>
      <c r="Z236">
        <f>IF(tblRoster[[#This Row],[재직상태구분]]="휴직",1,0)</f>
        <v>0</v>
      </c>
      <c r="AA23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36">
        <f ca="1">IF(tblRoster[[#This Row],[본교발령시작일자]]="","",DATEDIF(tblRoster[[#This Row],[본교발령시작일자]],TODAY(),"Y"))</f>
        <v>0</v>
      </c>
      <c r="AC236">
        <f ca="1">IF(tblRoster[[#This Row],[최초발령시작일자]]="","",DATEDIF(tblRoster[[#This Row],[최초발령시작일자]],TODAY(),"Y"))</f>
        <v>3</v>
      </c>
      <c r="AD23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36">
        <f ca="1">IF(tblRoster[[#This Row],[직급발령시작일자]]="","",ROUND(YEARFRAC(tblRoster[[#This Row],[직급발령시작일자]],TODAY()),1))</f>
        <v>0.1</v>
      </c>
      <c r="AF23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6" t="str">
        <f ca="1">IF(OR(tblRoster[[#This Row],[공무원구분]]&lt;&gt;"공무원",tblRoster[[#This Row],[나이]]=""),"",YEAR(TODAY())+(60-tblRoster[[#This Row],[나이]]))</f>
        <v/>
      </c>
      <c r="AH236" t="str">
        <f>IF(tblRoster[[#This Row],[직위]]="","일반","보직자")</f>
        <v>일반</v>
      </c>
      <c r="AI23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6" t="str">
        <f ca="1">IF(tblRoster[[#This Row],[복직예정일]]="","",TEXT(tblRoster[[#This Row],[복직예정일]],"yyyy-mm"))</f>
        <v/>
      </c>
      <c r="AM236" t="str">
        <f ca="1">IF(tblRoster[[#This Row],[복직예정일]]="","",tblRoster[[#This Row],[복직예정일]]-TODAY())</f>
        <v/>
      </c>
      <c r="AN236" t="str">
        <f ca="1">IF(tblRoster[[#This Row],[휴직잔여일수]]="","",IF(tblRoster[[#This Row],[휴직잔여일수]]&lt;=180,"6개월내","6개월이후"))</f>
        <v/>
      </c>
      <c r="AO23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7" spans="1:41" x14ac:dyDescent="0.3">
      <c r="A237">
        <v>900235</v>
      </c>
      <c r="B237" t="s">
        <v>57</v>
      </c>
      <c r="C237" t="s">
        <v>8</v>
      </c>
      <c r="D237">
        <v>50</v>
      </c>
      <c r="E237" t="s">
        <v>128</v>
      </c>
      <c r="F237" t="s">
        <v>266</v>
      </c>
      <c r="G237" t="s">
        <v>182</v>
      </c>
      <c r="H237" t="s">
        <v>230</v>
      </c>
      <c r="I237" t="s">
        <v>144</v>
      </c>
      <c r="J237" t="s">
        <v>145</v>
      </c>
      <c r="L237" t="s">
        <v>134</v>
      </c>
      <c r="M237" t="s">
        <v>135</v>
      </c>
      <c r="N237" s="1">
        <v>44378</v>
      </c>
      <c r="O237" s="1">
        <v>45413</v>
      </c>
      <c r="P237" s="1">
        <v>45413</v>
      </c>
      <c r="Q237" s="1">
        <v>45413</v>
      </c>
      <c r="R237">
        <v>6</v>
      </c>
      <c r="S237" t="s">
        <v>451</v>
      </c>
      <c r="T23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37" t="str">
        <f>IF(tblRoster[[#This Row],[급수]]="4급(임기제)","4급",tblRoster[[#This Row],[급수]])</f>
        <v>6급</v>
      </c>
      <c r="V23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3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37" t="str">
        <f>IF(OR(tblRoster[[#This Row],[교직원상세구분]]="사회복무요원",tblRoster[[#This Row],[교직원상세구분]]="인턴(수습)"),"제외","포함")</f>
        <v>포함</v>
      </c>
      <c r="Y237">
        <f>1</f>
        <v>1</v>
      </c>
      <c r="Z237">
        <f>IF(tblRoster[[#This Row],[재직상태구분]]="휴직",1,0)</f>
        <v>0</v>
      </c>
      <c r="AA23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37">
        <f ca="1">IF(tblRoster[[#This Row],[본교발령시작일자]]="","",DATEDIF(tblRoster[[#This Row],[본교발령시작일자]],TODAY(),"Y"))</f>
        <v>2</v>
      </c>
      <c r="AC237">
        <f ca="1">IF(tblRoster[[#This Row],[최초발령시작일자]]="","",DATEDIF(tblRoster[[#This Row],[최초발령시작일자]],TODAY(),"Y"))</f>
        <v>5</v>
      </c>
      <c r="AD23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37">
        <f ca="1">IF(tblRoster[[#This Row],[직급발령시작일자]]="","",ROUND(YEARFRAC(tblRoster[[#This Row],[직급발령시작일자]],TODAY()),1))</f>
        <v>2.4</v>
      </c>
      <c r="AF23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7">
        <f ca="1">IF(OR(tblRoster[[#This Row],[공무원구분]]&lt;&gt;"공무원",tblRoster[[#This Row],[나이]]=""),"",YEAR(TODAY())+(60-tblRoster[[#This Row],[나이]]))</f>
        <v>2036</v>
      </c>
      <c r="AH237" t="str">
        <f>IF(tblRoster[[#This Row],[직위]]="","일반","보직자")</f>
        <v>일반</v>
      </c>
      <c r="AI23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7" t="str">
        <f ca="1">IF(tblRoster[[#This Row],[복직예정일]]="","",TEXT(tblRoster[[#This Row],[복직예정일]],"yyyy-mm"))</f>
        <v/>
      </c>
      <c r="AM237" t="str">
        <f ca="1">IF(tblRoster[[#This Row],[복직예정일]]="","",tblRoster[[#This Row],[복직예정일]]-TODAY())</f>
        <v/>
      </c>
      <c r="AN237" t="str">
        <f ca="1">IF(tblRoster[[#This Row],[휴직잔여일수]]="","",IF(tblRoster[[#This Row],[휴직잔여일수]]&lt;=180,"6개월내","6개월이후"))</f>
        <v/>
      </c>
      <c r="AO23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8" spans="1:41" x14ac:dyDescent="0.3">
      <c r="A238">
        <v>900236</v>
      </c>
      <c r="B238" t="s">
        <v>452</v>
      </c>
      <c r="C238" t="s">
        <v>8</v>
      </c>
      <c r="D238">
        <v>49</v>
      </c>
      <c r="E238" t="s">
        <v>128</v>
      </c>
      <c r="F238" t="s">
        <v>236</v>
      </c>
      <c r="G238" t="s">
        <v>130</v>
      </c>
      <c r="H238" t="s">
        <v>163</v>
      </c>
      <c r="I238" t="s">
        <v>144</v>
      </c>
      <c r="J238" t="s">
        <v>145</v>
      </c>
      <c r="L238" t="s">
        <v>135</v>
      </c>
      <c r="M238" t="s">
        <v>135</v>
      </c>
      <c r="N238" s="1">
        <v>41061</v>
      </c>
      <c r="O238" s="1">
        <v>41061</v>
      </c>
      <c r="P238" s="1">
        <v>42186</v>
      </c>
      <c r="Q238" s="1">
        <v>42186</v>
      </c>
      <c r="R238">
        <v>17</v>
      </c>
      <c r="T23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38" t="str">
        <f>IF(tblRoster[[#This Row],[급수]]="4급(임기제)","4급",tblRoster[[#This Row],[급수]])</f>
        <v>6급</v>
      </c>
      <c r="V23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3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38" t="str">
        <f>IF(OR(tblRoster[[#This Row],[교직원상세구분]]="사회복무요원",tblRoster[[#This Row],[교직원상세구분]]="인턴(수습)"),"제외","포함")</f>
        <v>포함</v>
      </c>
      <c r="Y238">
        <f>1</f>
        <v>1</v>
      </c>
      <c r="Z238">
        <f>IF(tblRoster[[#This Row],[재직상태구분]]="휴직",1,0)</f>
        <v>0</v>
      </c>
      <c r="AA23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38">
        <f ca="1">IF(tblRoster[[#This Row],[본교발령시작일자]]="","",DATEDIF(tblRoster[[#This Row],[본교발령시작일자]],TODAY(),"Y"))</f>
        <v>14</v>
      </c>
      <c r="AC238">
        <f ca="1">IF(tblRoster[[#This Row],[최초발령시작일자]]="","",DATEDIF(tblRoster[[#This Row],[최초발령시작일자]],TODAY(),"Y"))</f>
        <v>14</v>
      </c>
      <c r="AD23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38">
        <f ca="1">IF(tblRoster[[#This Row],[직급발령시작일자]]="","",ROUND(YEARFRAC(tblRoster[[#This Row],[직급발령시작일자]],TODAY()),1))</f>
        <v>11.2</v>
      </c>
      <c r="AF23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38">
        <f ca="1">IF(OR(tblRoster[[#This Row],[공무원구분]]&lt;&gt;"공무원",tblRoster[[#This Row],[나이]]=""),"",YEAR(TODAY())+(60-tblRoster[[#This Row],[나이]]))</f>
        <v>2037</v>
      </c>
      <c r="AH238" t="str">
        <f>IF(tblRoster[[#This Row],[직위]]="","일반","보직자")</f>
        <v>일반</v>
      </c>
      <c r="AI23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8" t="str">
        <f ca="1">IF(tblRoster[[#This Row],[복직예정일]]="","",TEXT(tblRoster[[#This Row],[복직예정일]],"yyyy-mm"))</f>
        <v/>
      </c>
      <c r="AM238" t="str">
        <f ca="1">IF(tblRoster[[#This Row],[복직예정일]]="","",tblRoster[[#This Row],[복직예정일]]-TODAY())</f>
        <v/>
      </c>
      <c r="AN238" t="str">
        <f ca="1">IF(tblRoster[[#This Row],[휴직잔여일수]]="","",IF(tblRoster[[#This Row],[휴직잔여일수]]&lt;=180,"6개월내","6개월이후"))</f>
        <v/>
      </c>
      <c r="AO23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39" spans="1:41" x14ac:dyDescent="0.3">
      <c r="A239">
        <v>900237</v>
      </c>
      <c r="B239" t="s">
        <v>453</v>
      </c>
      <c r="C239" t="s">
        <v>8</v>
      </c>
      <c r="D239">
        <v>46</v>
      </c>
      <c r="E239" t="s">
        <v>128</v>
      </c>
      <c r="F239" t="s">
        <v>158</v>
      </c>
      <c r="G239" t="s">
        <v>185</v>
      </c>
      <c r="H239" t="s">
        <v>148</v>
      </c>
      <c r="I239" t="s">
        <v>132</v>
      </c>
      <c r="J239" t="s">
        <v>133</v>
      </c>
      <c r="L239" t="s">
        <v>134</v>
      </c>
      <c r="M239" t="s">
        <v>135</v>
      </c>
      <c r="N239" s="1">
        <v>43922</v>
      </c>
      <c r="O239" s="1">
        <v>43922</v>
      </c>
      <c r="P239" s="1">
        <v>46023</v>
      </c>
      <c r="Q239" s="1">
        <v>46023</v>
      </c>
      <c r="R239">
        <v>9</v>
      </c>
      <c r="T23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39" t="str">
        <f>IF(tblRoster[[#This Row],[급수]]="4급(임기제)","4급",tblRoster[[#This Row],[급수]])</f>
        <v>대학회계계약직</v>
      </c>
      <c r="V23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3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39" t="str">
        <f>IF(OR(tblRoster[[#This Row],[교직원상세구분]]="사회복무요원",tblRoster[[#This Row],[교직원상세구분]]="인턴(수습)"),"제외","포함")</f>
        <v>포함</v>
      </c>
      <c r="Y239">
        <f>1</f>
        <v>1</v>
      </c>
      <c r="Z239">
        <f>IF(tblRoster[[#This Row],[재직상태구분]]="휴직",1,0)</f>
        <v>0</v>
      </c>
      <c r="AA23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39">
        <f ca="1">IF(tblRoster[[#This Row],[본교발령시작일자]]="","",DATEDIF(tblRoster[[#This Row],[본교발령시작일자]],TODAY(),"Y"))</f>
        <v>6</v>
      </c>
      <c r="AC239">
        <f ca="1">IF(tblRoster[[#This Row],[최초발령시작일자]]="","",DATEDIF(tblRoster[[#This Row],[최초발령시작일자]],TODAY(),"Y"))</f>
        <v>6</v>
      </c>
      <c r="AD23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39">
        <f ca="1">IF(tblRoster[[#This Row],[직급발령시작일자]]="","",ROUND(YEARFRAC(tblRoster[[#This Row],[직급발령시작일자]],TODAY()),1))</f>
        <v>0.7</v>
      </c>
      <c r="AF23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39" t="str">
        <f ca="1">IF(OR(tblRoster[[#This Row],[공무원구분]]&lt;&gt;"공무원",tblRoster[[#This Row],[나이]]=""),"",YEAR(TODAY())+(60-tblRoster[[#This Row],[나이]]))</f>
        <v/>
      </c>
      <c r="AH239" t="str">
        <f>IF(tblRoster[[#This Row],[직위]]="","일반","보직자")</f>
        <v>일반</v>
      </c>
      <c r="AI23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3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3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39" t="str">
        <f ca="1">IF(tblRoster[[#This Row],[복직예정일]]="","",TEXT(tblRoster[[#This Row],[복직예정일]],"yyyy-mm"))</f>
        <v/>
      </c>
      <c r="AM239" t="str">
        <f ca="1">IF(tblRoster[[#This Row],[복직예정일]]="","",tblRoster[[#This Row],[복직예정일]]-TODAY())</f>
        <v/>
      </c>
      <c r="AN239" t="str">
        <f ca="1">IF(tblRoster[[#This Row],[휴직잔여일수]]="","",IF(tblRoster[[#This Row],[휴직잔여일수]]&lt;=180,"6개월내","6개월이후"))</f>
        <v/>
      </c>
      <c r="AO23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0" spans="1:41" x14ac:dyDescent="0.3">
      <c r="A240">
        <v>900238</v>
      </c>
      <c r="B240" t="s">
        <v>454</v>
      </c>
      <c r="C240" t="s">
        <v>8</v>
      </c>
      <c r="D240">
        <v>23</v>
      </c>
      <c r="E240" t="s">
        <v>128</v>
      </c>
      <c r="F240" t="s">
        <v>154</v>
      </c>
      <c r="G240" t="s">
        <v>197</v>
      </c>
      <c r="H240" t="s">
        <v>186</v>
      </c>
      <c r="I240" t="s">
        <v>186</v>
      </c>
      <c r="J240" t="s">
        <v>133</v>
      </c>
      <c r="L240" t="s">
        <v>135</v>
      </c>
      <c r="M240" t="s">
        <v>135</v>
      </c>
      <c r="N240" s="1">
        <v>46204</v>
      </c>
      <c r="O240" s="1">
        <v>46204</v>
      </c>
      <c r="P240" s="1">
        <v>46204</v>
      </c>
      <c r="Q240" s="1">
        <v>46204</v>
      </c>
      <c r="T24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240" t="str">
        <f>IF(tblRoster[[#This Row],[급수]]="4급(임기제)","4급",tblRoster[[#This Row],[급수]])</f>
        <v>사회복무요원</v>
      </c>
      <c r="V24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24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240" t="str">
        <f>IF(OR(tblRoster[[#This Row],[교직원상세구분]]="사회복무요원",tblRoster[[#This Row],[교직원상세구분]]="인턴(수습)"),"제외","포함")</f>
        <v>제외</v>
      </c>
      <c r="Y240">
        <f>1</f>
        <v>1</v>
      </c>
      <c r="Z240">
        <f>IF(tblRoster[[#This Row],[재직상태구분]]="휴직",1,0)</f>
        <v>0</v>
      </c>
      <c r="AA24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40">
        <f ca="1">IF(tblRoster[[#This Row],[본교발령시작일자]]="","",DATEDIF(tblRoster[[#This Row],[본교발령시작일자]],TODAY(),"Y"))</f>
        <v>0</v>
      </c>
      <c r="AC240">
        <f ca="1">IF(tblRoster[[#This Row],[최초발령시작일자]]="","",DATEDIF(tblRoster[[#This Row],[최초발령시작일자]],TODAY(),"Y"))</f>
        <v>0</v>
      </c>
      <c r="AD24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40">
        <f ca="1">IF(tblRoster[[#This Row],[직급발령시작일자]]="","",ROUND(YEARFRAC(tblRoster[[#This Row],[직급발령시작일자]],TODAY()),1))</f>
        <v>0.2</v>
      </c>
      <c r="AF24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40" t="str">
        <f ca="1">IF(OR(tblRoster[[#This Row],[공무원구분]]&lt;&gt;"공무원",tblRoster[[#This Row],[나이]]=""),"",YEAR(TODAY())+(60-tblRoster[[#This Row],[나이]]))</f>
        <v/>
      </c>
      <c r="AH240" t="str">
        <f>IF(tblRoster[[#This Row],[직위]]="","일반","보직자")</f>
        <v>일반</v>
      </c>
      <c r="AI24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0" t="str">
        <f ca="1">IF(tblRoster[[#This Row],[복직예정일]]="","",TEXT(tblRoster[[#This Row],[복직예정일]],"yyyy-mm"))</f>
        <v/>
      </c>
      <c r="AM240" t="str">
        <f ca="1">IF(tblRoster[[#This Row],[복직예정일]]="","",tblRoster[[#This Row],[복직예정일]]-TODAY())</f>
        <v/>
      </c>
      <c r="AN240" t="str">
        <f ca="1">IF(tblRoster[[#This Row],[휴직잔여일수]]="","",IF(tblRoster[[#This Row],[휴직잔여일수]]&lt;=180,"6개월내","6개월이후"))</f>
        <v/>
      </c>
      <c r="AO24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1" spans="1:41" x14ac:dyDescent="0.3">
      <c r="A241">
        <v>900239</v>
      </c>
      <c r="B241" t="s">
        <v>455</v>
      </c>
      <c r="C241" t="s">
        <v>8</v>
      </c>
      <c r="D241">
        <v>45</v>
      </c>
      <c r="E241" t="s">
        <v>150</v>
      </c>
      <c r="F241" t="s">
        <v>129</v>
      </c>
      <c r="G241" t="s">
        <v>202</v>
      </c>
      <c r="H241" t="s">
        <v>260</v>
      </c>
      <c r="I241" t="s">
        <v>239</v>
      </c>
      <c r="J241" t="s">
        <v>133</v>
      </c>
      <c r="L241" t="s">
        <v>135</v>
      </c>
      <c r="M241" t="s">
        <v>135</v>
      </c>
      <c r="N241" s="1">
        <v>40969</v>
      </c>
      <c r="O241" s="1">
        <v>45139</v>
      </c>
      <c r="P241" s="1">
        <v>45200</v>
      </c>
      <c r="Q241" s="1">
        <v>45200</v>
      </c>
      <c r="R241">
        <v>16</v>
      </c>
      <c r="T24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41" t="str">
        <f>IF(tblRoster[[#This Row],[급수]]="4급(임기제)","4급",tblRoster[[#This Row],[급수]])</f>
        <v>대학회계직</v>
      </c>
      <c r="V24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4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41" t="str">
        <f>IF(OR(tblRoster[[#This Row],[교직원상세구분]]="사회복무요원",tblRoster[[#This Row],[교직원상세구분]]="인턴(수습)"),"제외","포함")</f>
        <v>포함</v>
      </c>
      <c r="Y241">
        <f>1</f>
        <v>1</v>
      </c>
      <c r="Z241">
        <f>IF(tblRoster[[#This Row],[재직상태구분]]="휴직",1,0)</f>
        <v>0</v>
      </c>
      <c r="AA24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41">
        <f ca="1">IF(tblRoster[[#This Row],[본교발령시작일자]]="","",DATEDIF(tblRoster[[#This Row],[본교발령시작일자]],TODAY(),"Y"))</f>
        <v>3</v>
      </c>
      <c r="AC241">
        <f ca="1">IF(tblRoster[[#This Row],[최초발령시작일자]]="","",DATEDIF(tblRoster[[#This Row],[최초발령시작일자]],TODAY(),"Y"))</f>
        <v>14</v>
      </c>
      <c r="AD24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41">
        <f ca="1">IF(tblRoster[[#This Row],[직급발령시작일자]]="","",ROUND(YEARFRAC(tblRoster[[#This Row],[직급발령시작일자]],TODAY()),1))</f>
        <v>2.9</v>
      </c>
      <c r="AF24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41" t="str">
        <f ca="1">IF(OR(tblRoster[[#This Row],[공무원구분]]&lt;&gt;"공무원",tblRoster[[#This Row],[나이]]=""),"",YEAR(TODAY())+(60-tblRoster[[#This Row],[나이]]))</f>
        <v/>
      </c>
      <c r="AH241" t="str">
        <f>IF(tblRoster[[#This Row],[직위]]="","일반","보직자")</f>
        <v>일반</v>
      </c>
      <c r="AI24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1" t="str">
        <f ca="1">IF(tblRoster[[#This Row],[복직예정일]]="","",TEXT(tblRoster[[#This Row],[복직예정일]],"yyyy-mm"))</f>
        <v/>
      </c>
      <c r="AM241" t="str">
        <f ca="1">IF(tblRoster[[#This Row],[복직예정일]]="","",tblRoster[[#This Row],[복직예정일]]-TODAY())</f>
        <v/>
      </c>
      <c r="AN241" t="str">
        <f ca="1">IF(tblRoster[[#This Row],[휴직잔여일수]]="","",IF(tblRoster[[#This Row],[휴직잔여일수]]&lt;=180,"6개월내","6개월이후"))</f>
        <v/>
      </c>
      <c r="AO24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2" spans="1:41" x14ac:dyDescent="0.3">
      <c r="A242">
        <v>900240</v>
      </c>
      <c r="B242" t="s">
        <v>456</v>
      </c>
      <c r="C242" t="s">
        <v>8</v>
      </c>
      <c r="D242">
        <v>25</v>
      </c>
      <c r="E242" t="s">
        <v>128</v>
      </c>
      <c r="F242" t="s">
        <v>266</v>
      </c>
      <c r="G242" t="s">
        <v>138</v>
      </c>
      <c r="H242" t="s">
        <v>223</v>
      </c>
      <c r="I242" t="s">
        <v>144</v>
      </c>
      <c r="J242" t="s">
        <v>145</v>
      </c>
      <c r="L242" t="s">
        <v>134</v>
      </c>
      <c r="M242" t="s">
        <v>135</v>
      </c>
      <c r="N242" s="1">
        <v>45839</v>
      </c>
      <c r="O242" s="1">
        <v>45839</v>
      </c>
      <c r="P242" s="1">
        <v>45839</v>
      </c>
      <c r="Q242" s="1">
        <v>45839</v>
      </c>
      <c r="R242">
        <v>1</v>
      </c>
      <c r="T24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42" t="str">
        <f>IF(tblRoster[[#This Row],[급수]]="4급(임기제)","4급",tblRoster[[#This Row],[급수]])</f>
        <v>8급</v>
      </c>
      <c r="V24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4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42" t="str">
        <f>IF(OR(tblRoster[[#This Row],[교직원상세구분]]="사회복무요원",tblRoster[[#This Row],[교직원상세구분]]="인턴(수습)"),"제외","포함")</f>
        <v>포함</v>
      </c>
      <c r="Y242">
        <f>1</f>
        <v>1</v>
      </c>
      <c r="Z242">
        <f>IF(tblRoster[[#This Row],[재직상태구분]]="휴직",1,0)</f>
        <v>0</v>
      </c>
      <c r="AA24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42">
        <f ca="1">IF(tblRoster[[#This Row],[본교발령시작일자]]="","",DATEDIF(tblRoster[[#This Row],[본교발령시작일자]],TODAY(),"Y"))</f>
        <v>1</v>
      </c>
      <c r="AC242">
        <f ca="1">IF(tblRoster[[#This Row],[최초발령시작일자]]="","",DATEDIF(tblRoster[[#This Row],[최초발령시작일자]],TODAY(),"Y"))</f>
        <v>1</v>
      </c>
      <c r="AD24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42">
        <f ca="1">IF(tblRoster[[#This Row],[직급발령시작일자]]="","",ROUND(YEARFRAC(tblRoster[[#This Row],[직급발령시작일자]],TODAY()),1))</f>
        <v>1.2</v>
      </c>
      <c r="AF24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42">
        <f ca="1">IF(OR(tblRoster[[#This Row],[공무원구분]]&lt;&gt;"공무원",tblRoster[[#This Row],[나이]]=""),"",YEAR(TODAY())+(60-tblRoster[[#This Row],[나이]]))</f>
        <v>2061</v>
      </c>
      <c r="AH242" t="str">
        <f>IF(tblRoster[[#This Row],[직위]]="","일반","보직자")</f>
        <v>일반</v>
      </c>
      <c r="AI24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2" t="str">
        <f ca="1">IF(tblRoster[[#This Row],[복직예정일]]="","",TEXT(tblRoster[[#This Row],[복직예정일]],"yyyy-mm"))</f>
        <v/>
      </c>
      <c r="AM242" t="str">
        <f ca="1">IF(tblRoster[[#This Row],[복직예정일]]="","",tblRoster[[#This Row],[복직예정일]]-TODAY())</f>
        <v/>
      </c>
      <c r="AN242" t="str">
        <f ca="1">IF(tblRoster[[#This Row],[휴직잔여일수]]="","",IF(tblRoster[[#This Row],[휴직잔여일수]]&lt;=180,"6개월내","6개월이후"))</f>
        <v/>
      </c>
      <c r="AO24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3" spans="1:41" x14ac:dyDescent="0.3">
      <c r="A243">
        <v>900241</v>
      </c>
      <c r="B243" t="s">
        <v>292</v>
      </c>
      <c r="C243" t="s">
        <v>8</v>
      </c>
      <c r="D243">
        <v>43</v>
      </c>
      <c r="E243" t="s">
        <v>128</v>
      </c>
      <c r="F243" t="s">
        <v>162</v>
      </c>
      <c r="G243" t="s">
        <v>202</v>
      </c>
      <c r="H243" t="s">
        <v>233</v>
      </c>
      <c r="I243" t="s">
        <v>144</v>
      </c>
      <c r="J243" t="s">
        <v>145</v>
      </c>
      <c r="L243" t="s">
        <v>134</v>
      </c>
      <c r="M243" t="s">
        <v>135</v>
      </c>
      <c r="N243" s="1">
        <v>38565</v>
      </c>
      <c r="O243" s="1">
        <v>38565</v>
      </c>
      <c r="P243" s="1">
        <v>40940</v>
      </c>
      <c r="Q243" s="1">
        <v>40940</v>
      </c>
      <c r="R243">
        <v>24</v>
      </c>
      <c r="T24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43" t="str">
        <f>IF(tblRoster[[#This Row],[급수]]="4급(임기제)","4급",tblRoster[[#This Row],[급수]])</f>
        <v>8급</v>
      </c>
      <c r="V24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4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43" t="str">
        <f>IF(OR(tblRoster[[#This Row],[교직원상세구분]]="사회복무요원",tblRoster[[#This Row],[교직원상세구분]]="인턴(수습)"),"제외","포함")</f>
        <v>포함</v>
      </c>
      <c r="Y243">
        <f>1</f>
        <v>1</v>
      </c>
      <c r="Z243">
        <f>IF(tblRoster[[#This Row],[재직상태구분]]="휴직",1,0)</f>
        <v>0</v>
      </c>
      <c r="AA24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43">
        <f ca="1">IF(tblRoster[[#This Row],[본교발령시작일자]]="","",DATEDIF(tblRoster[[#This Row],[본교발령시작일자]],TODAY(),"Y"))</f>
        <v>21</v>
      </c>
      <c r="AC243">
        <f ca="1">IF(tblRoster[[#This Row],[최초발령시작일자]]="","",DATEDIF(tblRoster[[#This Row],[최초발령시작일자]],TODAY(),"Y"))</f>
        <v>21</v>
      </c>
      <c r="AD24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43">
        <f ca="1">IF(tblRoster[[#This Row],[직급발령시작일자]]="","",ROUND(YEARFRAC(tblRoster[[#This Row],[직급발령시작일자]],TODAY()),1))</f>
        <v>14.6</v>
      </c>
      <c r="AF243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43">
        <f ca="1">IF(OR(tblRoster[[#This Row],[공무원구분]]&lt;&gt;"공무원",tblRoster[[#This Row],[나이]]=""),"",YEAR(TODAY())+(60-tblRoster[[#This Row],[나이]]))</f>
        <v>2043</v>
      </c>
      <c r="AH243" t="str">
        <f>IF(tblRoster[[#This Row],[직위]]="","일반","보직자")</f>
        <v>일반</v>
      </c>
      <c r="AI24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3" t="str">
        <f ca="1">IF(tblRoster[[#This Row],[복직예정일]]="","",TEXT(tblRoster[[#This Row],[복직예정일]],"yyyy-mm"))</f>
        <v/>
      </c>
      <c r="AM243" t="str">
        <f ca="1">IF(tblRoster[[#This Row],[복직예정일]]="","",tblRoster[[#This Row],[복직예정일]]-TODAY())</f>
        <v/>
      </c>
      <c r="AN243" t="str">
        <f ca="1">IF(tblRoster[[#This Row],[휴직잔여일수]]="","",IF(tblRoster[[#This Row],[휴직잔여일수]]&lt;=180,"6개월내","6개월이후"))</f>
        <v/>
      </c>
      <c r="AO24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4" spans="1:41" x14ac:dyDescent="0.3">
      <c r="A244">
        <v>900242</v>
      </c>
      <c r="B244" t="s">
        <v>457</v>
      </c>
      <c r="C244" t="s">
        <v>8</v>
      </c>
      <c r="D244">
        <v>39</v>
      </c>
      <c r="E244" t="s">
        <v>128</v>
      </c>
      <c r="F244" t="s">
        <v>179</v>
      </c>
      <c r="G244" t="s">
        <v>155</v>
      </c>
      <c r="H244" t="s">
        <v>296</v>
      </c>
      <c r="I244" t="s">
        <v>132</v>
      </c>
      <c r="J244" t="s">
        <v>133</v>
      </c>
      <c r="L244" t="s">
        <v>134</v>
      </c>
      <c r="M244" t="s">
        <v>135</v>
      </c>
      <c r="N244" s="1">
        <v>42917</v>
      </c>
      <c r="O244" s="1">
        <v>45200</v>
      </c>
      <c r="P244" s="1">
        <v>45200</v>
      </c>
      <c r="Q244" s="1">
        <v>45200</v>
      </c>
      <c r="R244">
        <v>11</v>
      </c>
      <c r="T24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44" t="str">
        <f>IF(tblRoster[[#This Row],[급수]]="4급(임기제)","4급",tblRoster[[#This Row],[급수]])</f>
        <v>대학회계계약직</v>
      </c>
      <c r="V24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4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44" t="str">
        <f>IF(OR(tblRoster[[#This Row],[교직원상세구분]]="사회복무요원",tblRoster[[#This Row],[교직원상세구분]]="인턴(수습)"),"제외","포함")</f>
        <v>포함</v>
      </c>
      <c r="Y244">
        <f>1</f>
        <v>1</v>
      </c>
      <c r="Z244">
        <f>IF(tblRoster[[#This Row],[재직상태구분]]="휴직",1,0)</f>
        <v>0</v>
      </c>
      <c r="AA24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44">
        <f ca="1">IF(tblRoster[[#This Row],[본교발령시작일자]]="","",DATEDIF(tblRoster[[#This Row],[본교발령시작일자]],TODAY(),"Y"))</f>
        <v>2</v>
      </c>
      <c r="AC244">
        <f ca="1">IF(tblRoster[[#This Row],[최초발령시작일자]]="","",DATEDIF(tblRoster[[#This Row],[최초발령시작일자]],TODAY(),"Y"))</f>
        <v>9</v>
      </c>
      <c r="AD24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44">
        <f ca="1">IF(tblRoster[[#This Row],[직급발령시작일자]]="","",ROUND(YEARFRAC(tblRoster[[#This Row],[직급발령시작일자]],TODAY()),1))</f>
        <v>2.9</v>
      </c>
      <c r="AF24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44" t="str">
        <f ca="1">IF(OR(tblRoster[[#This Row],[공무원구분]]&lt;&gt;"공무원",tblRoster[[#This Row],[나이]]=""),"",YEAR(TODAY())+(60-tblRoster[[#This Row],[나이]]))</f>
        <v/>
      </c>
      <c r="AH244" t="str">
        <f>IF(tblRoster[[#This Row],[직위]]="","일반","보직자")</f>
        <v>일반</v>
      </c>
      <c r="AI24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4" t="str">
        <f ca="1">IF(tblRoster[[#This Row],[복직예정일]]="","",TEXT(tblRoster[[#This Row],[복직예정일]],"yyyy-mm"))</f>
        <v/>
      </c>
      <c r="AM244" t="str">
        <f ca="1">IF(tblRoster[[#This Row],[복직예정일]]="","",tblRoster[[#This Row],[복직예정일]]-TODAY())</f>
        <v/>
      </c>
      <c r="AN244" t="str">
        <f ca="1">IF(tblRoster[[#This Row],[휴직잔여일수]]="","",IF(tblRoster[[#This Row],[휴직잔여일수]]&lt;=180,"6개월내","6개월이후"))</f>
        <v/>
      </c>
      <c r="AO24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5" spans="1:41" x14ac:dyDescent="0.3">
      <c r="A245">
        <v>900243</v>
      </c>
      <c r="B245" t="s">
        <v>458</v>
      </c>
      <c r="C245" t="s">
        <v>8</v>
      </c>
      <c r="D245">
        <v>47</v>
      </c>
      <c r="E245" t="s">
        <v>150</v>
      </c>
      <c r="F245" t="s">
        <v>147</v>
      </c>
      <c r="G245" t="s">
        <v>130</v>
      </c>
      <c r="H245" t="s">
        <v>392</v>
      </c>
      <c r="I245" t="s">
        <v>144</v>
      </c>
      <c r="J245" t="s">
        <v>145</v>
      </c>
      <c r="L245" t="s">
        <v>134</v>
      </c>
      <c r="M245" t="s">
        <v>135</v>
      </c>
      <c r="N245" s="1">
        <v>41518</v>
      </c>
      <c r="O245" s="1">
        <v>41518</v>
      </c>
      <c r="P245" s="1">
        <v>43374</v>
      </c>
      <c r="Q245" s="1">
        <v>43374</v>
      </c>
      <c r="R245">
        <v>14</v>
      </c>
      <c r="T24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45" t="str">
        <f>IF(tblRoster[[#This Row],[급수]]="4급(임기제)","4급",tblRoster[[#This Row],[급수]])</f>
        <v>9급</v>
      </c>
      <c r="V24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4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45" t="str">
        <f>IF(OR(tblRoster[[#This Row],[교직원상세구분]]="사회복무요원",tblRoster[[#This Row],[교직원상세구분]]="인턴(수습)"),"제외","포함")</f>
        <v>포함</v>
      </c>
      <c r="Y245">
        <f>1</f>
        <v>1</v>
      </c>
      <c r="Z245">
        <f>IF(tblRoster[[#This Row],[재직상태구분]]="휴직",1,0)</f>
        <v>0</v>
      </c>
      <c r="AA24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45">
        <f ca="1">IF(tblRoster[[#This Row],[본교발령시작일자]]="","",DATEDIF(tblRoster[[#This Row],[본교발령시작일자]],TODAY(),"Y"))</f>
        <v>13</v>
      </c>
      <c r="AC245">
        <f ca="1">IF(tblRoster[[#This Row],[최초발령시작일자]]="","",DATEDIF(tblRoster[[#This Row],[최초발령시작일자]],TODAY(),"Y"))</f>
        <v>13</v>
      </c>
      <c r="AD24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45">
        <f ca="1">IF(tblRoster[[#This Row],[직급발령시작일자]]="","",ROUND(YEARFRAC(tblRoster[[#This Row],[직급발령시작일자]],TODAY()),1))</f>
        <v>7.9</v>
      </c>
      <c r="AF24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45">
        <f ca="1">IF(OR(tblRoster[[#This Row],[공무원구분]]&lt;&gt;"공무원",tblRoster[[#This Row],[나이]]=""),"",YEAR(TODAY())+(60-tblRoster[[#This Row],[나이]]))</f>
        <v>2039</v>
      </c>
      <c r="AH245" t="str">
        <f>IF(tblRoster[[#This Row],[직위]]="","일반","보직자")</f>
        <v>일반</v>
      </c>
      <c r="AI24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5" t="str">
        <f ca="1">IF(tblRoster[[#This Row],[복직예정일]]="","",TEXT(tblRoster[[#This Row],[복직예정일]],"yyyy-mm"))</f>
        <v/>
      </c>
      <c r="AM245" t="str">
        <f ca="1">IF(tblRoster[[#This Row],[복직예정일]]="","",tblRoster[[#This Row],[복직예정일]]-TODAY())</f>
        <v/>
      </c>
      <c r="AN245" t="str">
        <f ca="1">IF(tblRoster[[#This Row],[휴직잔여일수]]="","",IF(tblRoster[[#This Row],[휴직잔여일수]]&lt;=180,"6개월내","6개월이후"))</f>
        <v/>
      </c>
      <c r="AO24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6" spans="1:41" x14ac:dyDescent="0.3">
      <c r="A246">
        <v>900244</v>
      </c>
      <c r="B246" t="s">
        <v>58</v>
      </c>
      <c r="C246" t="s">
        <v>16</v>
      </c>
      <c r="D246">
        <v>24</v>
      </c>
      <c r="E246" t="s">
        <v>150</v>
      </c>
      <c r="F246" t="s">
        <v>154</v>
      </c>
      <c r="G246" t="s">
        <v>207</v>
      </c>
      <c r="H246" t="s">
        <v>223</v>
      </c>
      <c r="I246" t="s">
        <v>144</v>
      </c>
      <c r="J246" t="s">
        <v>145</v>
      </c>
      <c r="L246" t="s">
        <v>134</v>
      </c>
      <c r="M246" t="s">
        <v>135</v>
      </c>
      <c r="N246" s="1">
        <v>45444</v>
      </c>
      <c r="O246" s="1">
        <v>45444</v>
      </c>
      <c r="P246" s="1">
        <v>45444</v>
      </c>
      <c r="Q246" s="1">
        <v>45444</v>
      </c>
      <c r="R246">
        <v>4</v>
      </c>
      <c r="S246" t="s">
        <v>459</v>
      </c>
      <c r="T24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46" t="str">
        <f>IF(tblRoster[[#This Row],[급수]]="4급(임기제)","4급",tblRoster[[#This Row],[급수]])</f>
        <v>8급</v>
      </c>
      <c r="V24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4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46" t="str">
        <f>IF(OR(tblRoster[[#This Row],[교직원상세구분]]="사회복무요원",tblRoster[[#This Row],[교직원상세구분]]="인턴(수습)"),"제외","포함")</f>
        <v>포함</v>
      </c>
      <c r="Y246">
        <f>1</f>
        <v>1</v>
      </c>
      <c r="Z246">
        <f>IF(tblRoster[[#This Row],[재직상태구분]]="휴직",1,0)</f>
        <v>1</v>
      </c>
      <c r="AA24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46">
        <f ca="1">IF(tblRoster[[#This Row],[본교발령시작일자]]="","",DATEDIF(tblRoster[[#This Row],[본교발령시작일자]],TODAY(),"Y"))</f>
        <v>2</v>
      </c>
      <c r="AC246">
        <f ca="1">IF(tblRoster[[#This Row],[최초발령시작일자]]="","",DATEDIF(tblRoster[[#This Row],[최초발령시작일자]],TODAY(),"Y"))</f>
        <v>2</v>
      </c>
      <c r="AD24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46">
        <f ca="1">IF(tblRoster[[#This Row],[직급발령시작일자]]="","",ROUND(YEARFRAC(tblRoster[[#This Row],[직급발령시작일자]],TODAY()),1))</f>
        <v>2.2999999999999998</v>
      </c>
      <c r="AF24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46">
        <f ca="1">IF(OR(tblRoster[[#This Row],[공무원구분]]&lt;&gt;"공무원",tblRoster[[#This Row],[나이]]=""),"",YEAR(TODAY())+(60-tblRoster[[#This Row],[나이]]))</f>
        <v>2062</v>
      </c>
      <c r="AH246" t="str">
        <f>IF(tblRoster[[#This Row],[직위]]="","일반","보직자")</f>
        <v>일반</v>
      </c>
      <c r="AI246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45963</v>
      </c>
      <c r="AJ24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가족돌봄휴직</v>
      </c>
      <c r="AK246" s="1">
        <f ca="1">IF(tblRoster[[#This Row],[현재휴직시작일]]="","",IFERROR(INDEX(tblLeave[종료일],MATCH(tblRoster[[#This Row],[교직원번호]]&amp;"|"&amp;tblRoster[[#This Row],[현재휴직시작일]],tblLeave[매칭키],0)),""))</f>
        <v>46328</v>
      </c>
      <c r="AL246" t="str">
        <f ca="1">IF(tblRoster[[#This Row],[복직예정일]]="","",TEXT(tblRoster[[#This Row],[복직예정일]],"yyyy-mm"))</f>
        <v>2026-11</v>
      </c>
      <c r="AM246">
        <f ca="1">IF(tblRoster[[#This Row],[복직예정일]]="","",tblRoster[[#This Row],[복직예정일]]-TODAY())</f>
        <v>56</v>
      </c>
      <c r="AN246" t="str">
        <f ca="1">IF(tblRoster[[#This Row],[휴직잔여일수]]="","",IF(tblRoster[[#This Row],[휴직잔여일수]]&lt;=180,"6개월내","6개월이후"))</f>
        <v>6개월내</v>
      </c>
      <c r="AO24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7" spans="1:41" x14ac:dyDescent="0.3">
      <c r="A247">
        <v>900245</v>
      </c>
      <c r="B247" t="s">
        <v>460</v>
      </c>
      <c r="C247" t="s">
        <v>8</v>
      </c>
      <c r="D247">
        <v>55</v>
      </c>
      <c r="E247" t="s">
        <v>128</v>
      </c>
      <c r="F247" t="s">
        <v>189</v>
      </c>
      <c r="G247" t="s">
        <v>182</v>
      </c>
      <c r="H247" t="s">
        <v>163</v>
      </c>
      <c r="I247" t="s">
        <v>144</v>
      </c>
      <c r="J247" t="s">
        <v>145</v>
      </c>
      <c r="L247" t="s">
        <v>134</v>
      </c>
      <c r="M247" t="s">
        <v>135</v>
      </c>
      <c r="N247" s="1">
        <v>37926</v>
      </c>
      <c r="O247" s="1">
        <v>37926</v>
      </c>
      <c r="P247" s="1">
        <v>44348</v>
      </c>
      <c r="Q247" s="1">
        <v>44348</v>
      </c>
      <c r="R247">
        <v>23</v>
      </c>
      <c r="T24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47" t="str">
        <f>IF(tblRoster[[#This Row],[급수]]="4급(임기제)","4급",tblRoster[[#This Row],[급수]])</f>
        <v>6급</v>
      </c>
      <c r="V24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4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47" t="str">
        <f>IF(OR(tblRoster[[#This Row],[교직원상세구분]]="사회복무요원",tblRoster[[#This Row],[교직원상세구분]]="인턴(수습)"),"제외","포함")</f>
        <v>포함</v>
      </c>
      <c r="Y247">
        <f>1</f>
        <v>1</v>
      </c>
      <c r="Z247">
        <f>IF(tblRoster[[#This Row],[재직상태구분]]="휴직",1,0)</f>
        <v>0</v>
      </c>
      <c r="AA24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47">
        <f ca="1">IF(tblRoster[[#This Row],[본교발령시작일자]]="","",DATEDIF(tblRoster[[#This Row],[본교발령시작일자]],TODAY(),"Y"))</f>
        <v>22</v>
      </c>
      <c r="AC247">
        <f ca="1">IF(tblRoster[[#This Row],[최초발령시작일자]]="","",DATEDIF(tblRoster[[#This Row],[최초발령시작일자]],TODAY(),"Y"))</f>
        <v>22</v>
      </c>
      <c r="AD24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47">
        <f ca="1">IF(tblRoster[[#This Row],[직급발령시작일자]]="","",ROUND(YEARFRAC(tblRoster[[#This Row],[직급발령시작일자]],TODAY()),1))</f>
        <v>5.3</v>
      </c>
      <c r="AF247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47">
        <f ca="1">IF(OR(tblRoster[[#This Row],[공무원구분]]&lt;&gt;"공무원",tblRoster[[#This Row],[나이]]=""),"",YEAR(TODAY())+(60-tblRoster[[#This Row],[나이]]))</f>
        <v>2031</v>
      </c>
      <c r="AH247" t="str">
        <f>IF(tblRoster[[#This Row],[직위]]="","일반","보직자")</f>
        <v>일반</v>
      </c>
      <c r="AI24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7" t="str">
        <f ca="1">IF(tblRoster[[#This Row],[복직예정일]]="","",TEXT(tblRoster[[#This Row],[복직예정일]],"yyyy-mm"))</f>
        <v/>
      </c>
      <c r="AM247" t="str">
        <f ca="1">IF(tblRoster[[#This Row],[복직예정일]]="","",tblRoster[[#This Row],[복직예정일]]-TODAY())</f>
        <v/>
      </c>
      <c r="AN247" t="str">
        <f ca="1">IF(tblRoster[[#This Row],[휴직잔여일수]]="","",IF(tblRoster[[#This Row],[휴직잔여일수]]&lt;=180,"6개월내","6개월이후"))</f>
        <v/>
      </c>
      <c r="AO24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8" spans="1:41" x14ac:dyDescent="0.3">
      <c r="A248">
        <v>900246</v>
      </c>
      <c r="B248" t="s">
        <v>461</v>
      </c>
      <c r="C248" t="s">
        <v>8</v>
      </c>
      <c r="D248">
        <v>48</v>
      </c>
      <c r="E248" t="s">
        <v>128</v>
      </c>
      <c r="F248" t="s">
        <v>189</v>
      </c>
      <c r="G248" t="s">
        <v>222</v>
      </c>
      <c r="H248" t="s">
        <v>148</v>
      </c>
      <c r="I248" t="s">
        <v>132</v>
      </c>
      <c r="J248" t="s">
        <v>133</v>
      </c>
      <c r="L248" t="s">
        <v>135</v>
      </c>
      <c r="M248" t="s">
        <v>135</v>
      </c>
      <c r="N248" s="1">
        <v>39479</v>
      </c>
      <c r="O248" s="1">
        <v>39479</v>
      </c>
      <c r="P248" s="1">
        <v>43009</v>
      </c>
      <c r="Q248" s="1">
        <v>43009</v>
      </c>
      <c r="R248">
        <v>20</v>
      </c>
      <c r="T24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48" t="str">
        <f>IF(tblRoster[[#This Row],[급수]]="4급(임기제)","4급",tblRoster[[#This Row],[급수]])</f>
        <v>대학회계계약직</v>
      </c>
      <c r="V24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4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48" t="str">
        <f>IF(OR(tblRoster[[#This Row],[교직원상세구분]]="사회복무요원",tblRoster[[#This Row],[교직원상세구분]]="인턴(수습)"),"제외","포함")</f>
        <v>포함</v>
      </c>
      <c r="Y248">
        <f>1</f>
        <v>1</v>
      </c>
      <c r="Z248">
        <f>IF(tblRoster[[#This Row],[재직상태구분]]="휴직",1,0)</f>
        <v>0</v>
      </c>
      <c r="AA24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48">
        <f ca="1">IF(tblRoster[[#This Row],[본교발령시작일자]]="","",DATEDIF(tblRoster[[#This Row],[본교발령시작일자]],TODAY(),"Y"))</f>
        <v>18</v>
      </c>
      <c r="AC248">
        <f ca="1">IF(tblRoster[[#This Row],[최초발령시작일자]]="","",DATEDIF(tblRoster[[#This Row],[최초발령시작일자]],TODAY(),"Y"))</f>
        <v>18</v>
      </c>
      <c r="AD24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48">
        <f ca="1">IF(tblRoster[[#This Row],[직급발령시작일자]]="","",ROUND(YEARFRAC(tblRoster[[#This Row],[직급발령시작일자]],TODAY()),1))</f>
        <v>8.9</v>
      </c>
      <c r="AF24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48" t="str">
        <f ca="1">IF(OR(tblRoster[[#This Row],[공무원구분]]&lt;&gt;"공무원",tblRoster[[#This Row],[나이]]=""),"",YEAR(TODAY())+(60-tblRoster[[#This Row],[나이]]))</f>
        <v/>
      </c>
      <c r="AH248" t="str">
        <f>IF(tblRoster[[#This Row],[직위]]="","일반","보직자")</f>
        <v>일반</v>
      </c>
      <c r="AI24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8" t="str">
        <f ca="1">IF(tblRoster[[#This Row],[복직예정일]]="","",TEXT(tblRoster[[#This Row],[복직예정일]],"yyyy-mm"))</f>
        <v/>
      </c>
      <c r="AM248" t="str">
        <f ca="1">IF(tblRoster[[#This Row],[복직예정일]]="","",tblRoster[[#This Row],[복직예정일]]-TODAY())</f>
        <v/>
      </c>
      <c r="AN248" t="str">
        <f ca="1">IF(tblRoster[[#This Row],[휴직잔여일수]]="","",IF(tblRoster[[#This Row],[휴직잔여일수]]&lt;=180,"6개월내","6개월이후"))</f>
        <v/>
      </c>
      <c r="AO24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49" spans="1:41" x14ac:dyDescent="0.3">
      <c r="A249">
        <v>900247</v>
      </c>
      <c r="B249" t="s">
        <v>462</v>
      </c>
      <c r="C249" t="s">
        <v>8</v>
      </c>
      <c r="D249">
        <v>30</v>
      </c>
      <c r="E249" t="s">
        <v>150</v>
      </c>
      <c r="F249" t="s">
        <v>216</v>
      </c>
      <c r="G249" t="s">
        <v>155</v>
      </c>
      <c r="H249" t="s">
        <v>131</v>
      </c>
      <c r="I249" t="s">
        <v>132</v>
      </c>
      <c r="J249" t="s">
        <v>133</v>
      </c>
      <c r="L249" t="s">
        <v>134</v>
      </c>
      <c r="M249" t="s">
        <v>135</v>
      </c>
      <c r="N249" s="1">
        <v>44228</v>
      </c>
      <c r="O249" s="1">
        <v>44228</v>
      </c>
      <c r="P249" s="1">
        <v>44228</v>
      </c>
      <c r="Q249" s="1">
        <v>44228</v>
      </c>
      <c r="T24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49" t="str">
        <f>IF(tblRoster[[#This Row],[급수]]="4급(임기제)","4급",tblRoster[[#This Row],[급수]])</f>
        <v>대학회계계약직</v>
      </c>
      <c r="V24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4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49" t="str">
        <f>IF(OR(tblRoster[[#This Row],[교직원상세구분]]="사회복무요원",tblRoster[[#This Row],[교직원상세구분]]="인턴(수습)"),"제외","포함")</f>
        <v>포함</v>
      </c>
      <c r="Y249">
        <f>1</f>
        <v>1</v>
      </c>
      <c r="Z249">
        <f>IF(tblRoster[[#This Row],[재직상태구분]]="휴직",1,0)</f>
        <v>0</v>
      </c>
      <c r="AA24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49">
        <f ca="1">IF(tblRoster[[#This Row],[본교발령시작일자]]="","",DATEDIF(tblRoster[[#This Row],[본교발령시작일자]],TODAY(),"Y"))</f>
        <v>5</v>
      </c>
      <c r="AC249">
        <f ca="1">IF(tblRoster[[#This Row],[최초발령시작일자]]="","",DATEDIF(tblRoster[[#This Row],[최초발령시작일자]],TODAY(),"Y"))</f>
        <v>5</v>
      </c>
      <c r="AD24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49">
        <f ca="1">IF(tblRoster[[#This Row],[직급발령시작일자]]="","",ROUND(YEARFRAC(tblRoster[[#This Row],[직급발령시작일자]],TODAY()),1))</f>
        <v>5.6</v>
      </c>
      <c r="AF24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49" t="str">
        <f ca="1">IF(OR(tblRoster[[#This Row],[공무원구분]]&lt;&gt;"공무원",tblRoster[[#This Row],[나이]]=""),"",YEAR(TODAY())+(60-tblRoster[[#This Row],[나이]]))</f>
        <v/>
      </c>
      <c r="AH249" t="str">
        <f>IF(tblRoster[[#This Row],[직위]]="","일반","보직자")</f>
        <v>일반</v>
      </c>
      <c r="AI24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4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4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49" t="str">
        <f ca="1">IF(tblRoster[[#This Row],[복직예정일]]="","",TEXT(tblRoster[[#This Row],[복직예정일]],"yyyy-mm"))</f>
        <v/>
      </c>
      <c r="AM249" t="str">
        <f ca="1">IF(tblRoster[[#This Row],[복직예정일]]="","",tblRoster[[#This Row],[복직예정일]]-TODAY())</f>
        <v/>
      </c>
      <c r="AN249" t="str">
        <f ca="1">IF(tblRoster[[#This Row],[휴직잔여일수]]="","",IF(tblRoster[[#This Row],[휴직잔여일수]]&lt;=180,"6개월내","6개월이후"))</f>
        <v/>
      </c>
      <c r="AO24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0" spans="1:41" x14ac:dyDescent="0.3">
      <c r="A250">
        <v>900248</v>
      </c>
      <c r="B250" t="s">
        <v>463</v>
      </c>
      <c r="C250" t="s">
        <v>8</v>
      </c>
      <c r="D250">
        <v>51</v>
      </c>
      <c r="E250" t="s">
        <v>128</v>
      </c>
      <c r="F250" t="s">
        <v>129</v>
      </c>
      <c r="G250" t="s">
        <v>202</v>
      </c>
      <c r="H250" t="s">
        <v>152</v>
      </c>
      <c r="I250" t="s">
        <v>144</v>
      </c>
      <c r="J250" t="s">
        <v>145</v>
      </c>
      <c r="L250" t="s">
        <v>134</v>
      </c>
      <c r="M250" t="s">
        <v>135</v>
      </c>
      <c r="N250" s="1">
        <v>43586</v>
      </c>
      <c r="O250" s="1">
        <v>43586</v>
      </c>
      <c r="P250" s="1">
        <v>45200</v>
      </c>
      <c r="Q250" s="1">
        <v>45200</v>
      </c>
      <c r="R250">
        <v>10</v>
      </c>
      <c r="T25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전문경력관</v>
      </c>
      <c r="U250" t="str">
        <f>IF(tblRoster[[#This Row],[급수]]="4급(임기제)","4급",tblRoster[[#This Row],[급수]])</f>
        <v>전문경력관</v>
      </c>
      <c r="V25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9</v>
      </c>
      <c r="W25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0" t="str">
        <f>IF(OR(tblRoster[[#This Row],[교직원상세구분]]="사회복무요원",tblRoster[[#This Row],[교직원상세구분]]="인턴(수습)"),"제외","포함")</f>
        <v>포함</v>
      </c>
      <c r="Y250">
        <f>1</f>
        <v>1</v>
      </c>
      <c r="Z250">
        <f>IF(tblRoster[[#This Row],[재직상태구분]]="휴직",1,0)</f>
        <v>0</v>
      </c>
      <c r="AA25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50">
        <f ca="1">IF(tblRoster[[#This Row],[본교발령시작일자]]="","",DATEDIF(tblRoster[[#This Row],[본교발령시작일자]],TODAY(),"Y"))</f>
        <v>7</v>
      </c>
      <c r="AC250">
        <f ca="1">IF(tblRoster[[#This Row],[최초발령시작일자]]="","",DATEDIF(tblRoster[[#This Row],[최초발령시작일자]],TODAY(),"Y"))</f>
        <v>7</v>
      </c>
      <c r="AD25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50">
        <f ca="1">IF(tblRoster[[#This Row],[직급발령시작일자]]="","",ROUND(YEARFRAC(tblRoster[[#This Row],[직급발령시작일자]],TODAY()),1))</f>
        <v>2.9</v>
      </c>
      <c r="AF25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0">
        <f ca="1">IF(OR(tblRoster[[#This Row],[공무원구분]]&lt;&gt;"공무원",tblRoster[[#This Row],[나이]]=""),"",YEAR(TODAY())+(60-tblRoster[[#This Row],[나이]]))</f>
        <v>2035</v>
      </c>
      <c r="AH250" t="str">
        <f>IF(tblRoster[[#This Row],[직위]]="","일반","보직자")</f>
        <v>일반</v>
      </c>
      <c r="AI25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0" t="str">
        <f ca="1">IF(tblRoster[[#This Row],[복직예정일]]="","",TEXT(tblRoster[[#This Row],[복직예정일]],"yyyy-mm"))</f>
        <v/>
      </c>
      <c r="AM250" t="str">
        <f ca="1">IF(tblRoster[[#This Row],[복직예정일]]="","",tblRoster[[#This Row],[복직예정일]]-TODAY())</f>
        <v/>
      </c>
      <c r="AN250" t="str">
        <f ca="1">IF(tblRoster[[#This Row],[휴직잔여일수]]="","",IF(tblRoster[[#This Row],[휴직잔여일수]]&lt;=180,"6개월내","6개월이후"))</f>
        <v/>
      </c>
      <c r="AO25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1" spans="1:41" x14ac:dyDescent="0.3">
      <c r="A251">
        <v>900249</v>
      </c>
      <c r="B251" t="s">
        <v>464</v>
      </c>
      <c r="C251" t="s">
        <v>8</v>
      </c>
      <c r="D251">
        <v>50</v>
      </c>
      <c r="E251" t="s">
        <v>128</v>
      </c>
      <c r="F251" t="s">
        <v>179</v>
      </c>
      <c r="G251" t="s">
        <v>211</v>
      </c>
      <c r="H251" t="s">
        <v>175</v>
      </c>
      <c r="I251" t="s">
        <v>144</v>
      </c>
      <c r="J251" t="s">
        <v>145</v>
      </c>
      <c r="L251" t="s">
        <v>135</v>
      </c>
      <c r="M251" t="s">
        <v>135</v>
      </c>
      <c r="N251" s="1">
        <v>36678</v>
      </c>
      <c r="O251" s="1">
        <v>44197</v>
      </c>
      <c r="P251" s="1">
        <v>44378</v>
      </c>
      <c r="Q251" s="1">
        <v>44378</v>
      </c>
      <c r="R251">
        <v>28</v>
      </c>
      <c r="T25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51" t="str">
        <f>IF(tblRoster[[#This Row],[급수]]="4급(임기제)","4급",tblRoster[[#This Row],[급수]])</f>
        <v>9급</v>
      </c>
      <c r="V25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5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1" t="str">
        <f>IF(OR(tblRoster[[#This Row],[교직원상세구분]]="사회복무요원",tblRoster[[#This Row],[교직원상세구분]]="인턴(수습)"),"제외","포함")</f>
        <v>포함</v>
      </c>
      <c r="Y251">
        <f>1</f>
        <v>1</v>
      </c>
      <c r="Z251">
        <f>IF(tblRoster[[#This Row],[재직상태구분]]="휴직",1,0)</f>
        <v>0</v>
      </c>
      <c r="AA25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51">
        <f ca="1">IF(tblRoster[[#This Row],[본교발령시작일자]]="","",DATEDIF(tblRoster[[#This Row],[본교발령시작일자]],TODAY(),"Y"))</f>
        <v>5</v>
      </c>
      <c r="AC251">
        <f ca="1">IF(tblRoster[[#This Row],[최초발령시작일자]]="","",DATEDIF(tblRoster[[#This Row],[최초발령시작일자]],TODAY(),"Y"))</f>
        <v>26</v>
      </c>
      <c r="AD25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51">
        <f ca="1">IF(tblRoster[[#This Row],[직급발령시작일자]]="","",ROUND(YEARFRAC(tblRoster[[#This Row],[직급발령시작일자]],TODAY()),1))</f>
        <v>5.2</v>
      </c>
      <c r="AF25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51">
        <f ca="1">IF(OR(tblRoster[[#This Row],[공무원구분]]&lt;&gt;"공무원",tblRoster[[#This Row],[나이]]=""),"",YEAR(TODAY())+(60-tblRoster[[#This Row],[나이]]))</f>
        <v>2036</v>
      </c>
      <c r="AH251" t="str">
        <f>IF(tblRoster[[#This Row],[직위]]="","일반","보직자")</f>
        <v>일반</v>
      </c>
      <c r="AI25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1" t="str">
        <f ca="1">IF(tblRoster[[#This Row],[복직예정일]]="","",TEXT(tblRoster[[#This Row],[복직예정일]],"yyyy-mm"))</f>
        <v/>
      </c>
      <c r="AM251" t="str">
        <f ca="1">IF(tblRoster[[#This Row],[복직예정일]]="","",tblRoster[[#This Row],[복직예정일]]-TODAY())</f>
        <v/>
      </c>
      <c r="AN251" t="str">
        <f ca="1">IF(tblRoster[[#This Row],[휴직잔여일수]]="","",IF(tblRoster[[#This Row],[휴직잔여일수]]&lt;=180,"6개월내","6개월이후"))</f>
        <v/>
      </c>
      <c r="AO25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2" spans="1:41" x14ac:dyDescent="0.3">
      <c r="A252">
        <v>900250</v>
      </c>
      <c r="B252" t="s">
        <v>465</v>
      </c>
      <c r="C252" t="s">
        <v>8</v>
      </c>
      <c r="D252">
        <v>26</v>
      </c>
      <c r="E252" t="s">
        <v>128</v>
      </c>
      <c r="F252" t="s">
        <v>179</v>
      </c>
      <c r="G252" t="s">
        <v>202</v>
      </c>
      <c r="H252" t="s">
        <v>223</v>
      </c>
      <c r="I252" t="s">
        <v>144</v>
      </c>
      <c r="J252" t="s">
        <v>145</v>
      </c>
      <c r="L252" t="s">
        <v>134</v>
      </c>
      <c r="M252" t="s">
        <v>135</v>
      </c>
      <c r="N252" s="1">
        <v>45717</v>
      </c>
      <c r="O252" s="1">
        <v>45717</v>
      </c>
      <c r="P252" s="1">
        <v>45717</v>
      </c>
      <c r="Q252" s="1">
        <v>45717</v>
      </c>
      <c r="R252">
        <v>1</v>
      </c>
      <c r="T25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52" t="str">
        <f>IF(tblRoster[[#This Row],[급수]]="4급(임기제)","4급",tblRoster[[#This Row],[급수]])</f>
        <v>8급</v>
      </c>
      <c r="V25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5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2" t="str">
        <f>IF(OR(tblRoster[[#This Row],[교직원상세구분]]="사회복무요원",tblRoster[[#This Row],[교직원상세구분]]="인턴(수습)"),"제외","포함")</f>
        <v>포함</v>
      </c>
      <c r="Y252">
        <f>1</f>
        <v>1</v>
      </c>
      <c r="Z252">
        <f>IF(tblRoster[[#This Row],[재직상태구분]]="휴직",1,0)</f>
        <v>0</v>
      </c>
      <c r="AA25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52">
        <f ca="1">IF(tblRoster[[#This Row],[본교발령시작일자]]="","",DATEDIF(tblRoster[[#This Row],[본교발령시작일자]],TODAY(),"Y"))</f>
        <v>1</v>
      </c>
      <c r="AC252">
        <f ca="1">IF(tblRoster[[#This Row],[최초발령시작일자]]="","",DATEDIF(tblRoster[[#This Row],[최초발령시작일자]],TODAY(),"Y"))</f>
        <v>1</v>
      </c>
      <c r="AD25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52">
        <f ca="1">IF(tblRoster[[#This Row],[직급발령시작일자]]="","",ROUND(YEARFRAC(tblRoster[[#This Row],[직급발령시작일자]],TODAY()),1))</f>
        <v>1.5</v>
      </c>
      <c r="AF25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2">
        <f ca="1">IF(OR(tblRoster[[#This Row],[공무원구분]]&lt;&gt;"공무원",tblRoster[[#This Row],[나이]]=""),"",YEAR(TODAY())+(60-tblRoster[[#This Row],[나이]]))</f>
        <v>2060</v>
      </c>
      <c r="AH252" t="str">
        <f>IF(tblRoster[[#This Row],[직위]]="","일반","보직자")</f>
        <v>일반</v>
      </c>
      <c r="AI25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2" t="str">
        <f ca="1">IF(tblRoster[[#This Row],[복직예정일]]="","",TEXT(tblRoster[[#This Row],[복직예정일]],"yyyy-mm"))</f>
        <v/>
      </c>
      <c r="AM252" t="str">
        <f ca="1">IF(tblRoster[[#This Row],[복직예정일]]="","",tblRoster[[#This Row],[복직예정일]]-TODAY())</f>
        <v/>
      </c>
      <c r="AN252" t="str">
        <f ca="1">IF(tblRoster[[#This Row],[휴직잔여일수]]="","",IF(tblRoster[[#This Row],[휴직잔여일수]]&lt;=180,"6개월내","6개월이후"))</f>
        <v/>
      </c>
      <c r="AO25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3" spans="1:41" x14ac:dyDescent="0.3">
      <c r="A253">
        <v>900251</v>
      </c>
      <c r="B253" t="s">
        <v>466</v>
      </c>
      <c r="C253" t="s">
        <v>8</v>
      </c>
      <c r="D253">
        <v>51</v>
      </c>
      <c r="E253" t="s">
        <v>150</v>
      </c>
      <c r="F253" t="s">
        <v>147</v>
      </c>
      <c r="G253" t="s">
        <v>142</v>
      </c>
      <c r="H253" t="s">
        <v>148</v>
      </c>
      <c r="I253" t="s">
        <v>132</v>
      </c>
      <c r="J253" t="s">
        <v>133</v>
      </c>
      <c r="L253" t="s">
        <v>135</v>
      </c>
      <c r="M253" t="s">
        <v>135</v>
      </c>
      <c r="N253" s="1">
        <v>39934</v>
      </c>
      <c r="O253" s="1">
        <v>46023</v>
      </c>
      <c r="P253" s="1">
        <v>46023</v>
      </c>
      <c r="Q253" s="1">
        <v>46023</v>
      </c>
      <c r="R253">
        <v>18</v>
      </c>
      <c r="T25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53" t="str">
        <f>IF(tblRoster[[#This Row],[급수]]="4급(임기제)","4급",tblRoster[[#This Row],[급수]])</f>
        <v>대학회계계약직</v>
      </c>
      <c r="V25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5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53" t="str">
        <f>IF(OR(tblRoster[[#This Row],[교직원상세구분]]="사회복무요원",tblRoster[[#This Row],[교직원상세구분]]="인턴(수습)"),"제외","포함")</f>
        <v>포함</v>
      </c>
      <c r="Y253">
        <f>1</f>
        <v>1</v>
      </c>
      <c r="Z253">
        <f>IF(tblRoster[[#This Row],[재직상태구분]]="휴직",1,0)</f>
        <v>0</v>
      </c>
      <c r="AA25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53">
        <f ca="1">IF(tblRoster[[#This Row],[본교발령시작일자]]="","",DATEDIF(tblRoster[[#This Row],[본교발령시작일자]],TODAY(),"Y"))</f>
        <v>0</v>
      </c>
      <c r="AC253">
        <f ca="1">IF(tblRoster[[#This Row],[최초발령시작일자]]="","",DATEDIF(tblRoster[[#This Row],[최초발령시작일자]],TODAY(),"Y"))</f>
        <v>17</v>
      </c>
      <c r="AD25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53">
        <f ca="1">IF(tblRoster[[#This Row],[직급발령시작일자]]="","",ROUND(YEARFRAC(tblRoster[[#This Row],[직급발령시작일자]],TODAY()),1))</f>
        <v>0.7</v>
      </c>
      <c r="AF25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3" t="str">
        <f ca="1">IF(OR(tblRoster[[#This Row],[공무원구분]]&lt;&gt;"공무원",tblRoster[[#This Row],[나이]]=""),"",YEAR(TODAY())+(60-tblRoster[[#This Row],[나이]]))</f>
        <v/>
      </c>
      <c r="AH253" t="str">
        <f>IF(tblRoster[[#This Row],[직위]]="","일반","보직자")</f>
        <v>일반</v>
      </c>
      <c r="AI25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3" t="str">
        <f ca="1">IF(tblRoster[[#This Row],[복직예정일]]="","",TEXT(tblRoster[[#This Row],[복직예정일]],"yyyy-mm"))</f>
        <v/>
      </c>
      <c r="AM253" t="str">
        <f ca="1">IF(tblRoster[[#This Row],[복직예정일]]="","",tblRoster[[#This Row],[복직예정일]]-TODAY())</f>
        <v/>
      </c>
      <c r="AN253" t="str">
        <f ca="1">IF(tblRoster[[#This Row],[휴직잔여일수]]="","",IF(tblRoster[[#This Row],[휴직잔여일수]]&lt;=180,"6개월내","6개월이후"))</f>
        <v/>
      </c>
      <c r="AO25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4" spans="1:41" x14ac:dyDescent="0.3">
      <c r="A254">
        <v>900252</v>
      </c>
      <c r="B254" t="s">
        <v>467</v>
      </c>
      <c r="C254" t="s">
        <v>8</v>
      </c>
      <c r="D254">
        <v>27</v>
      </c>
      <c r="E254" t="s">
        <v>150</v>
      </c>
      <c r="F254" t="s">
        <v>184</v>
      </c>
      <c r="G254" t="s">
        <v>142</v>
      </c>
      <c r="H254" t="s">
        <v>275</v>
      </c>
      <c r="I254" t="s">
        <v>144</v>
      </c>
      <c r="J254" t="s">
        <v>145</v>
      </c>
      <c r="L254" t="s">
        <v>135</v>
      </c>
      <c r="M254" t="s">
        <v>135</v>
      </c>
      <c r="N254" s="1">
        <v>44409</v>
      </c>
      <c r="O254" s="1">
        <v>44470</v>
      </c>
      <c r="P254" s="1">
        <v>44470</v>
      </c>
      <c r="Q254" s="1">
        <v>44470</v>
      </c>
      <c r="R254">
        <v>7</v>
      </c>
      <c r="T25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54" t="str">
        <f>IF(tblRoster[[#This Row],[급수]]="4급(임기제)","4급",tblRoster[[#This Row],[급수]])</f>
        <v>7급</v>
      </c>
      <c r="V25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5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4" t="str">
        <f>IF(OR(tblRoster[[#This Row],[교직원상세구분]]="사회복무요원",tblRoster[[#This Row],[교직원상세구분]]="인턴(수습)"),"제외","포함")</f>
        <v>포함</v>
      </c>
      <c r="Y254">
        <f>1</f>
        <v>1</v>
      </c>
      <c r="Z254">
        <f>IF(tblRoster[[#This Row],[재직상태구분]]="휴직",1,0)</f>
        <v>0</v>
      </c>
      <c r="AA25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54">
        <f ca="1">IF(tblRoster[[#This Row],[본교발령시작일자]]="","",DATEDIF(tblRoster[[#This Row],[본교발령시작일자]],TODAY(),"Y"))</f>
        <v>4</v>
      </c>
      <c r="AC254">
        <f ca="1">IF(tblRoster[[#This Row],[최초발령시작일자]]="","",DATEDIF(tblRoster[[#This Row],[최초발령시작일자]],TODAY(),"Y"))</f>
        <v>5</v>
      </c>
      <c r="AD25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54">
        <f ca="1">IF(tblRoster[[#This Row],[직급발령시작일자]]="","",ROUND(YEARFRAC(tblRoster[[#This Row],[직급발령시작일자]],TODAY()),1))</f>
        <v>4.9000000000000004</v>
      </c>
      <c r="AF25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4">
        <f ca="1">IF(OR(tblRoster[[#This Row],[공무원구분]]&lt;&gt;"공무원",tblRoster[[#This Row],[나이]]=""),"",YEAR(TODAY())+(60-tblRoster[[#This Row],[나이]]))</f>
        <v>2059</v>
      </c>
      <c r="AH254" t="str">
        <f>IF(tblRoster[[#This Row],[직위]]="","일반","보직자")</f>
        <v>일반</v>
      </c>
      <c r="AI25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4" t="str">
        <f ca="1">IF(tblRoster[[#This Row],[복직예정일]]="","",TEXT(tblRoster[[#This Row],[복직예정일]],"yyyy-mm"))</f>
        <v/>
      </c>
      <c r="AM254" t="str">
        <f ca="1">IF(tblRoster[[#This Row],[복직예정일]]="","",tblRoster[[#This Row],[복직예정일]]-TODAY())</f>
        <v/>
      </c>
      <c r="AN254" t="str">
        <f ca="1">IF(tblRoster[[#This Row],[휴직잔여일수]]="","",IF(tblRoster[[#This Row],[휴직잔여일수]]&lt;=180,"6개월내","6개월이후"))</f>
        <v/>
      </c>
      <c r="AO25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5" spans="1:41" x14ac:dyDescent="0.3">
      <c r="A255">
        <v>900253</v>
      </c>
      <c r="B255" t="s">
        <v>468</v>
      </c>
      <c r="C255" t="s">
        <v>8</v>
      </c>
      <c r="D255">
        <v>44</v>
      </c>
      <c r="E255" t="s">
        <v>128</v>
      </c>
      <c r="F255" t="s">
        <v>236</v>
      </c>
      <c r="G255" t="s">
        <v>222</v>
      </c>
      <c r="H255" t="s">
        <v>301</v>
      </c>
      <c r="I255" t="s">
        <v>132</v>
      </c>
      <c r="J255" t="s">
        <v>133</v>
      </c>
      <c r="L255" t="s">
        <v>135</v>
      </c>
      <c r="M255" t="s">
        <v>135</v>
      </c>
      <c r="N255" s="1">
        <v>40452</v>
      </c>
      <c r="O255" s="1">
        <v>46266</v>
      </c>
      <c r="P255" s="1">
        <v>46266</v>
      </c>
      <c r="Q255" s="1">
        <v>46266</v>
      </c>
      <c r="R255">
        <v>18</v>
      </c>
      <c r="T25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55" t="str">
        <f>IF(tblRoster[[#This Row],[급수]]="4급(임기제)","4급",tblRoster[[#This Row],[급수]])</f>
        <v>대학회계계약직</v>
      </c>
      <c r="V25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5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55" t="str">
        <f>IF(OR(tblRoster[[#This Row],[교직원상세구분]]="사회복무요원",tblRoster[[#This Row],[교직원상세구분]]="인턴(수습)"),"제외","포함")</f>
        <v>포함</v>
      </c>
      <c r="Y255">
        <f>1</f>
        <v>1</v>
      </c>
      <c r="Z255">
        <f>IF(tblRoster[[#This Row],[재직상태구분]]="휴직",1,0)</f>
        <v>0</v>
      </c>
      <c r="AA25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55">
        <f ca="1">IF(tblRoster[[#This Row],[본교발령시작일자]]="","",DATEDIF(tblRoster[[#This Row],[본교발령시작일자]],TODAY(),"Y"))</f>
        <v>0</v>
      </c>
      <c r="AC255">
        <f ca="1">IF(tblRoster[[#This Row],[최초발령시작일자]]="","",DATEDIF(tblRoster[[#This Row],[최초발령시작일자]],TODAY(),"Y"))</f>
        <v>15</v>
      </c>
      <c r="AD25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55">
        <f ca="1">IF(tblRoster[[#This Row],[직급발령시작일자]]="","",ROUND(YEARFRAC(tblRoster[[#This Row],[직급발령시작일자]],TODAY()),1))</f>
        <v>0</v>
      </c>
      <c r="AF25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5" t="str">
        <f ca="1">IF(OR(tblRoster[[#This Row],[공무원구분]]&lt;&gt;"공무원",tblRoster[[#This Row],[나이]]=""),"",YEAR(TODAY())+(60-tblRoster[[#This Row],[나이]]))</f>
        <v/>
      </c>
      <c r="AH255" t="str">
        <f>IF(tblRoster[[#This Row],[직위]]="","일반","보직자")</f>
        <v>일반</v>
      </c>
      <c r="AI25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5" t="str">
        <f ca="1">IF(tblRoster[[#This Row],[복직예정일]]="","",TEXT(tblRoster[[#This Row],[복직예정일]],"yyyy-mm"))</f>
        <v/>
      </c>
      <c r="AM255" t="str">
        <f ca="1">IF(tblRoster[[#This Row],[복직예정일]]="","",tblRoster[[#This Row],[복직예정일]]-TODAY())</f>
        <v/>
      </c>
      <c r="AN255" t="str">
        <f ca="1">IF(tblRoster[[#This Row],[휴직잔여일수]]="","",IF(tblRoster[[#This Row],[휴직잔여일수]]&lt;=180,"6개월내","6개월이후"))</f>
        <v/>
      </c>
      <c r="AO25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6" spans="1:41" x14ac:dyDescent="0.3">
      <c r="A256">
        <v>900254</v>
      </c>
      <c r="B256" t="s">
        <v>469</v>
      </c>
      <c r="C256" t="s">
        <v>8</v>
      </c>
      <c r="D256">
        <v>39</v>
      </c>
      <c r="E256" t="s">
        <v>150</v>
      </c>
      <c r="F256" t="s">
        <v>158</v>
      </c>
      <c r="G256" t="s">
        <v>185</v>
      </c>
      <c r="H256" t="s">
        <v>337</v>
      </c>
      <c r="I256" t="s">
        <v>239</v>
      </c>
      <c r="J256" t="s">
        <v>133</v>
      </c>
      <c r="L256" t="s">
        <v>134</v>
      </c>
      <c r="M256" t="s">
        <v>135</v>
      </c>
      <c r="N256" s="1">
        <v>40057</v>
      </c>
      <c r="O256" s="1">
        <v>40057</v>
      </c>
      <c r="P256" s="1">
        <v>44378</v>
      </c>
      <c r="Q256" s="1">
        <v>44378</v>
      </c>
      <c r="R256">
        <v>18</v>
      </c>
      <c r="T25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56" t="str">
        <f>IF(tblRoster[[#This Row],[급수]]="4급(임기제)","4급",tblRoster[[#This Row],[급수]])</f>
        <v>대학회계직</v>
      </c>
      <c r="V25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5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56" t="str">
        <f>IF(OR(tblRoster[[#This Row],[교직원상세구분]]="사회복무요원",tblRoster[[#This Row],[교직원상세구분]]="인턴(수습)"),"제외","포함")</f>
        <v>포함</v>
      </c>
      <c r="Y256">
        <f>1</f>
        <v>1</v>
      </c>
      <c r="Z256">
        <f>IF(tblRoster[[#This Row],[재직상태구분]]="휴직",1,0)</f>
        <v>0</v>
      </c>
      <c r="AA25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56">
        <f ca="1">IF(tblRoster[[#This Row],[본교발령시작일자]]="","",DATEDIF(tblRoster[[#This Row],[본교발령시작일자]],TODAY(),"Y"))</f>
        <v>17</v>
      </c>
      <c r="AC256">
        <f ca="1">IF(tblRoster[[#This Row],[최초발령시작일자]]="","",DATEDIF(tblRoster[[#This Row],[최초발령시작일자]],TODAY(),"Y"))</f>
        <v>17</v>
      </c>
      <c r="AD25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56">
        <f ca="1">IF(tblRoster[[#This Row],[직급발령시작일자]]="","",ROUND(YEARFRAC(tblRoster[[#This Row],[직급발령시작일자]],TODAY()),1))</f>
        <v>5.2</v>
      </c>
      <c r="AF25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56" t="str">
        <f ca="1">IF(OR(tblRoster[[#This Row],[공무원구분]]&lt;&gt;"공무원",tblRoster[[#This Row],[나이]]=""),"",YEAR(TODAY())+(60-tblRoster[[#This Row],[나이]]))</f>
        <v/>
      </c>
      <c r="AH256" t="str">
        <f>IF(tblRoster[[#This Row],[직위]]="","일반","보직자")</f>
        <v>일반</v>
      </c>
      <c r="AI25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6" t="str">
        <f ca="1">IF(tblRoster[[#This Row],[복직예정일]]="","",TEXT(tblRoster[[#This Row],[복직예정일]],"yyyy-mm"))</f>
        <v/>
      </c>
      <c r="AM256" t="str">
        <f ca="1">IF(tblRoster[[#This Row],[복직예정일]]="","",tblRoster[[#This Row],[복직예정일]]-TODAY())</f>
        <v/>
      </c>
      <c r="AN256" t="str">
        <f ca="1">IF(tblRoster[[#This Row],[휴직잔여일수]]="","",IF(tblRoster[[#This Row],[휴직잔여일수]]&lt;=180,"6개월내","6개월이후"))</f>
        <v/>
      </c>
      <c r="AO25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7" spans="1:41" x14ac:dyDescent="0.3">
      <c r="A257">
        <v>900255</v>
      </c>
      <c r="B257" t="s">
        <v>470</v>
      </c>
      <c r="C257" t="s">
        <v>8</v>
      </c>
      <c r="D257">
        <v>54</v>
      </c>
      <c r="E257" t="s">
        <v>128</v>
      </c>
      <c r="F257" t="s">
        <v>129</v>
      </c>
      <c r="G257" t="s">
        <v>130</v>
      </c>
      <c r="H257" t="s">
        <v>209</v>
      </c>
      <c r="I257" t="s">
        <v>144</v>
      </c>
      <c r="J257" t="s">
        <v>145</v>
      </c>
      <c r="L257" t="s">
        <v>134</v>
      </c>
      <c r="M257" t="s">
        <v>135</v>
      </c>
      <c r="N257" s="1">
        <v>36647</v>
      </c>
      <c r="O257" s="1">
        <v>36647</v>
      </c>
      <c r="P257" s="1">
        <v>45931</v>
      </c>
      <c r="Q257" s="1">
        <v>45931</v>
      </c>
      <c r="R257">
        <v>29</v>
      </c>
      <c r="T25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57" t="str">
        <f>IF(tblRoster[[#This Row],[급수]]="4급(임기제)","4급",tblRoster[[#This Row],[급수]])</f>
        <v>6급</v>
      </c>
      <c r="V25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5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7" t="str">
        <f>IF(OR(tblRoster[[#This Row],[교직원상세구분]]="사회복무요원",tblRoster[[#This Row],[교직원상세구분]]="인턴(수습)"),"제외","포함")</f>
        <v>포함</v>
      </c>
      <c r="Y257">
        <f>1</f>
        <v>1</v>
      </c>
      <c r="Z257">
        <f>IF(tblRoster[[#This Row],[재직상태구분]]="휴직",1,0)</f>
        <v>0</v>
      </c>
      <c r="AA25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57">
        <f ca="1">IF(tblRoster[[#This Row],[본교발령시작일자]]="","",DATEDIF(tblRoster[[#This Row],[본교발령시작일자]],TODAY(),"Y"))</f>
        <v>26</v>
      </c>
      <c r="AC257">
        <f ca="1">IF(tblRoster[[#This Row],[최초발령시작일자]]="","",DATEDIF(tblRoster[[#This Row],[최초발령시작일자]],TODAY(),"Y"))</f>
        <v>26</v>
      </c>
      <c r="AD25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57">
        <f ca="1">IF(tblRoster[[#This Row],[직급발령시작일자]]="","",ROUND(YEARFRAC(tblRoster[[#This Row],[직급발령시작일자]],TODAY()),1))</f>
        <v>0.9</v>
      </c>
      <c r="AF25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7">
        <f ca="1">IF(OR(tblRoster[[#This Row],[공무원구분]]&lt;&gt;"공무원",tblRoster[[#This Row],[나이]]=""),"",YEAR(TODAY())+(60-tblRoster[[#This Row],[나이]]))</f>
        <v>2032</v>
      </c>
      <c r="AH257" t="str">
        <f>IF(tblRoster[[#This Row],[직위]]="","일반","보직자")</f>
        <v>일반</v>
      </c>
      <c r="AI25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7" t="str">
        <f ca="1">IF(tblRoster[[#This Row],[복직예정일]]="","",TEXT(tblRoster[[#This Row],[복직예정일]],"yyyy-mm"))</f>
        <v/>
      </c>
      <c r="AM257" t="str">
        <f ca="1">IF(tblRoster[[#This Row],[복직예정일]]="","",tblRoster[[#This Row],[복직예정일]]-TODAY())</f>
        <v/>
      </c>
      <c r="AN257" t="str">
        <f ca="1">IF(tblRoster[[#This Row],[휴직잔여일수]]="","",IF(tblRoster[[#This Row],[휴직잔여일수]]&lt;=180,"6개월내","6개월이후"))</f>
        <v/>
      </c>
      <c r="AO25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8" spans="1:41" x14ac:dyDescent="0.3">
      <c r="A258">
        <v>900256</v>
      </c>
      <c r="B258" t="s">
        <v>471</v>
      </c>
      <c r="C258" t="s">
        <v>8</v>
      </c>
      <c r="D258">
        <v>49</v>
      </c>
      <c r="E258" t="s">
        <v>150</v>
      </c>
      <c r="F258" t="s">
        <v>137</v>
      </c>
      <c r="G258" t="s">
        <v>169</v>
      </c>
      <c r="H258" t="s">
        <v>219</v>
      </c>
      <c r="I258" t="s">
        <v>144</v>
      </c>
      <c r="J258" t="s">
        <v>145</v>
      </c>
      <c r="L258" t="s">
        <v>134</v>
      </c>
      <c r="M258" t="s">
        <v>135</v>
      </c>
      <c r="N258" s="1">
        <v>36526</v>
      </c>
      <c r="O258" s="1">
        <v>36526</v>
      </c>
      <c r="P258" s="1">
        <v>46143</v>
      </c>
      <c r="Q258" s="1">
        <v>46143</v>
      </c>
      <c r="R258">
        <v>28</v>
      </c>
      <c r="T25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58" t="str">
        <f>IF(tblRoster[[#This Row],[급수]]="4급(임기제)","4급",tblRoster[[#This Row],[급수]])</f>
        <v>8급</v>
      </c>
      <c r="V25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5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58" t="str">
        <f>IF(OR(tblRoster[[#This Row],[교직원상세구분]]="사회복무요원",tblRoster[[#This Row],[교직원상세구분]]="인턴(수습)"),"제외","포함")</f>
        <v>포함</v>
      </c>
      <c r="Y258">
        <f>1</f>
        <v>1</v>
      </c>
      <c r="Z258">
        <f>IF(tblRoster[[#This Row],[재직상태구분]]="휴직",1,0)</f>
        <v>0</v>
      </c>
      <c r="AA25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58">
        <f ca="1">IF(tblRoster[[#This Row],[본교발령시작일자]]="","",DATEDIF(tblRoster[[#This Row],[본교발령시작일자]],TODAY(),"Y"))</f>
        <v>26</v>
      </c>
      <c r="AC258">
        <f ca="1">IF(tblRoster[[#This Row],[최초발령시작일자]]="","",DATEDIF(tblRoster[[#This Row],[최초발령시작일자]],TODAY(),"Y"))</f>
        <v>26</v>
      </c>
      <c r="AD25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58">
        <f ca="1">IF(tblRoster[[#This Row],[직급발령시작일자]]="","",ROUND(YEARFRAC(tblRoster[[#This Row],[직급발령시작일자]],TODAY()),1))</f>
        <v>0.4</v>
      </c>
      <c r="AF25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58">
        <f ca="1">IF(OR(tblRoster[[#This Row],[공무원구분]]&lt;&gt;"공무원",tblRoster[[#This Row],[나이]]=""),"",YEAR(TODAY())+(60-tblRoster[[#This Row],[나이]]))</f>
        <v>2037</v>
      </c>
      <c r="AH258" t="str">
        <f>IF(tblRoster[[#This Row],[직위]]="","일반","보직자")</f>
        <v>일반</v>
      </c>
      <c r="AI25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8" t="str">
        <f ca="1">IF(tblRoster[[#This Row],[복직예정일]]="","",TEXT(tblRoster[[#This Row],[복직예정일]],"yyyy-mm"))</f>
        <v/>
      </c>
      <c r="AM258" t="str">
        <f ca="1">IF(tblRoster[[#This Row],[복직예정일]]="","",tblRoster[[#This Row],[복직예정일]]-TODAY())</f>
        <v/>
      </c>
      <c r="AN258" t="str">
        <f ca="1">IF(tblRoster[[#This Row],[휴직잔여일수]]="","",IF(tblRoster[[#This Row],[휴직잔여일수]]&lt;=180,"6개월내","6개월이후"))</f>
        <v/>
      </c>
      <c r="AO25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59" spans="1:41" x14ac:dyDescent="0.3">
      <c r="A259">
        <v>900257</v>
      </c>
      <c r="B259" t="s">
        <v>472</v>
      </c>
      <c r="C259" t="s">
        <v>8</v>
      </c>
      <c r="D259">
        <v>41</v>
      </c>
      <c r="E259" t="s">
        <v>128</v>
      </c>
      <c r="F259" t="s">
        <v>171</v>
      </c>
      <c r="G259" t="s">
        <v>182</v>
      </c>
      <c r="H259" t="s">
        <v>384</v>
      </c>
      <c r="I259" t="s">
        <v>132</v>
      </c>
      <c r="J259" t="s">
        <v>133</v>
      </c>
      <c r="L259" t="s">
        <v>135</v>
      </c>
      <c r="M259" t="s">
        <v>135</v>
      </c>
      <c r="N259" s="1">
        <v>42522</v>
      </c>
      <c r="O259" s="1">
        <v>42522</v>
      </c>
      <c r="P259" s="1">
        <v>42522</v>
      </c>
      <c r="Q259" s="1">
        <v>42522</v>
      </c>
      <c r="R259">
        <v>10</v>
      </c>
      <c r="T25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59" t="str">
        <f>IF(tblRoster[[#This Row],[급수]]="4급(임기제)","4급",tblRoster[[#This Row],[급수]])</f>
        <v>대학회계계약직</v>
      </c>
      <c r="V25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5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59" t="str">
        <f>IF(OR(tblRoster[[#This Row],[교직원상세구분]]="사회복무요원",tblRoster[[#This Row],[교직원상세구분]]="인턴(수습)"),"제외","포함")</f>
        <v>포함</v>
      </c>
      <c r="Y259">
        <f>1</f>
        <v>1</v>
      </c>
      <c r="Z259">
        <f>IF(tblRoster[[#This Row],[재직상태구분]]="휴직",1,0)</f>
        <v>0</v>
      </c>
      <c r="AA25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59">
        <f ca="1">IF(tblRoster[[#This Row],[본교발령시작일자]]="","",DATEDIF(tblRoster[[#This Row],[본교발령시작일자]],TODAY(),"Y"))</f>
        <v>10</v>
      </c>
      <c r="AC259">
        <f ca="1">IF(tblRoster[[#This Row],[최초발령시작일자]]="","",DATEDIF(tblRoster[[#This Row],[최초발령시작일자]],TODAY(),"Y"))</f>
        <v>10</v>
      </c>
      <c r="AD25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59">
        <f ca="1">IF(tblRoster[[#This Row],[직급발령시작일자]]="","",ROUND(YEARFRAC(tblRoster[[#This Row],[직급발령시작일자]],TODAY()),1))</f>
        <v>10.3</v>
      </c>
      <c r="AF25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59" t="str">
        <f ca="1">IF(OR(tblRoster[[#This Row],[공무원구분]]&lt;&gt;"공무원",tblRoster[[#This Row],[나이]]=""),"",YEAR(TODAY())+(60-tblRoster[[#This Row],[나이]]))</f>
        <v/>
      </c>
      <c r="AH259" t="str">
        <f>IF(tblRoster[[#This Row],[직위]]="","일반","보직자")</f>
        <v>일반</v>
      </c>
      <c r="AI25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5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5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59" t="str">
        <f ca="1">IF(tblRoster[[#This Row],[복직예정일]]="","",TEXT(tblRoster[[#This Row],[복직예정일]],"yyyy-mm"))</f>
        <v/>
      </c>
      <c r="AM259" t="str">
        <f ca="1">IF(tblRoster[[#This Row],[복직예정일]]="","",tblRoster[[#This Row],[복직예정일]]-TODAY())</f>
        <v/>
      </c>
      <c r="AN259" t="str">
        <f ca="1">IF(tblRoster[[#This Row],[휴직잔여일수]]="","",IF(tblRoster[[#This Row],[휴직잔여일수]]&lt;=180,"6개월내","6개월이후"))</f>
        <v/>
      </c>
      <c r="AO25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0" spans="1:41" x14ac:dyDescent="0.3">
      <c r="A260">
        <v>900258</v>
      </c>
      <c r="B260" t="s">
        <v>473</v>
      </c>
      <c r="C260" t="s">
        <v>8</v>
      </c>
      <c r="D260">
        <v>25</v>
      </c>
      <c r="E260" t="s">
        <v>150</v>
      </c>
      <c r="F260" t="s">
        <v>129</v>
      </c>
      <c r="G260" t="s">
        <v>197</v>
      </c>
      <c r="H260" t="s">
        <v>219</v>
      </c>
      <c r="I260" t="s">
        <v>144</v>
      </c>
      <c r="J260" t="s">
        <v>145</v>
      </c>
      <c r="L260" t="s">
        <v>134</v>
      </c>
      <c r="M260" t="s">
        <v>135</v>
      </c>
      <c r="N260" s="1">
        <v>45047</v>
      </c>
      <c r="O260" s="1">
        <v>45047</v>
      </c>
      <c r="P260" s="1">
        <v>45047</v>
      </c>
      <c r="Q260" s="1">
        <v>45047</v>
      </c>
      <c r="R260">
        <v>6</v>
      </c>
      <c r="T26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60" t="str">
        <f>IF(tblRoster[[#This Row],[급수]]="4급(임기제)","4급",tblRoster[[#This Row],[급수]])</f>
        <v>8급</v>
      </c>
      <c r="V26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6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0" t="str">
        <f>IF(OR(tblRoster[[#This Row],[교직원상세구분]]="사회복무요원",tblRoster[[#This Row],[교직원상세구분]]="인턴(수습)"),"제외","포함")</f>
        <v>포함</v>
      </c>
      <c r="Y260">
        <f>1</f>
        <v>1</v>
      </c>
      <c r="Z260">
        <f>IF(tblRoster[[#This Row],[재직상태구분]]="휴직",1,0)</f>
        <v>0</v>
      </c>
      <c r="AA26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60">
        <f ca="1">IF(tblRoster[[#This Row],[본교발령시작일자]]="","",DATEDIF(tblRoster[[#This Row],[본교발령시작일자]],TODAY(),"Y"))</f>
        <v>3</v>
      </c>
      <c r="AC260">
        <f ca="1">IF(tblRoster[[#This Row],[최초발령시작일자]]="","",DATEDIF(tblRoster[[#This Row],[최초발령시작일자]],TODAY(),"Y"))</f>
        <v>3</v>
      </c>
      <c r="AD26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60">
        <f ca="1">IF(tblRoster[[#This Row],[직급발령시작일자]]="","",ROUND(YEARFRAC(tblRoster[[#This Row],[직급발령시작일자]],TODAY()),1))</f>
        <v>3.4</v>
      </c>
      <c r="AF26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0">
        <f ca="1">IF(OR(tblRoster[[#This Row],[공무원구분]]&lt;&gt;"공무원",tblRoster[[#This Row],[나이]]=""),"",YEAR(TODAY())+(60-tblRoster[[#This Row],[나이]]))</f>
        <v>2061</v>
      </c>
      <c r="AH260" t="str">
        <f>IF(tblRoster[[#This Row],[직위]]="","일반","보직자")</f>
        <v>일반</v>
      </c>
      <c r="AI26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0" t="str">
        <f ca="1">IF(tblRoster[[#This Row],[복직예정일]]="","",TEXT(tblRoster[[#This Row],[복직예정일]],"yyyy-mm"))</f>
        <v/>
      </c>
      <c r="AM260" t="str">
        <f ca="1">IF(tblRoster[[#This Row],[복직예정일]]="","",tblRoster[[#This Row],[복직예정일]]-TODAY())</f>
        <v/>
      </c>
      <c r="AN260" t="str">
        <f ca="1">IF(tblRoster[[#This Row],[휴직잔여일수]]="","",IF(tblRoster[[#This Row],[휴직잔여일수]]&lt;=180,"6개월내","6개월이후"))</f>
        <v/>
      </c>
      <c r="AO26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1" spans="1:41" x14ac:dyDescent="0.3">
      <c r="A261">
        <v>900259</v>
      </c>
      <c r="B261" t="s">
        <v>59</v>
      </c>
      <c r="C261" t="s">
        <v>16</v>
      </c>
      <c r="D261">
        <v>52</v>
      </c>
      <c r="E261" t="s">
        <v>128</v>
      </c>
      <c r="F261" t="s">
        <v>162</v>
      </c>
      <c r="G261" t="s">
        <v>197</v>
      </c>
      <c r="H261" t="s">
        <v>148</v>
      </c>
      <c r="I261" t="s">
        <v>132</v>
      </c>
      <c r="J261" t="s">
        <v>133</v>
      </c>
      <c r="L261" t="s">
        <v>135</v>
      </c>
      <c r="M261" t="s">
        <v>135</v>
      </c>
      <c r="N261" s="1">
        <v>38626</v>
      </c>
      <c r="O261" s="1">
        <v>38626</v>
      </c>
      <c r="P261" s="1">
        <v>40940</v>
      </c>
      <c r="Q261" s="1">
        <v>40940</v>
      </c>
      <c r="R261">
        <v>24</v>
      </c>
      <c r="S261" t="s">
        <v>474</v>
      </c>
      <c r="T26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61" t="str">
        <f>IF(tblRoster[[#This Row],[급수]]="4급(임기제)","4급",tblRoster[[#This Row],[급수]])</f>
        <v>대학회계계약직</v>
      </c>
      <c r="V26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6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61" t="str">
        <f>IF(OR(tblRoster[[#This Row],[교직원상세구분]]="사회복무요원",tblRoster[[#This Row],[교직원상세구분]]="인턴(수습)"),"제외","포함")</f>
        <v>포함</v>
      </c>
      <c r="Y261">
        <f>1</f>
        <v>1</v>
      </c>
      <c r="Z261">
        <f>IF(tblRoster[[#This Row],[재직상태구분]]="휴직",1,0)</f>
        <v>1</v>
      </c>
      <c r="AA26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61">
        <f ca="1">IF(tblRoster[[#This Row],[본교발령시작일자]]="","",DATEDIF(tblRoster[[#This Row],[본교발령시작일자]],TODAY(),"Y"))</f>
        <v>20</v>
      </c>
      <c r="AC261">
        <f ca="1">IF(tblRoster[[#This Row],[최초발령시작일자]]="","",DATEDIF(tblRoster[[#This Row],[최초발령시작일자]],TODAY(),"Y"))</f>
        <v>20</v>
      </c>
      <c r="AD26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61">
        <f ca="1">IF(tblRoster[[#This Row],[직급발령시작일자]]="","",ROUND(YEARFRAC(tblRoster[[#This Row],[직급발령시작일자]],TODAY()),1))</f>
        <v>14.6</v>
      </c>
      <c r="AF26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61" t="str">
        <f ca="1">IF(OR(tblRoster[[#This Row],[공무원구분]]&lt;&gt;"공무원",tblRoster[[#This Row],[나이]]=""),"",YEAR(TODAY())+(60-tblRoster[[#This Row],[나이]]))</f>
        <v/>
      </c>
      <c r="AH261" t="str">
        <f>IF(tblRoster[[#This Row],[직위]]="","일반","보직자")</f>
        <v>일반</v>
      </c>
      <c r="AI261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46160</v>
      </c>
      <c r="AJ26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261" s="1">
        <f ca="1">IF(tblRoster[[#This Row],[현재휴직시작일]]="","",IFERROR(INDEX(tblLeave[종료일],MATCH(tblRoster[[#This Row],[교직원번호]]&amp;"|"&amp;tblRoster[[#This Row],[현재휴직시작일]],tblLeave[매칭키],0)),""))</f>
        <v>46891</v>
      </c>
      <c r="AL261" t="str">
        <f ca="1">IF(tblRoster[[#This Row],[복직예정일]]="","",TEXT(tblRoster[[#This Row],[복직예정일]],"yyyy-mm"))</f>
        <v>2028-05</v>
      </c>
      <c r="AM261">
        <f ca="1">IF(tblRoster[[#This Row],[복직예정일]]="","",tblRoster[[#This Row],[복직예정일]]-TODAY())</f>
        <v>619</v>
      </c>
      <c r="AN261" t="str">
        <f ca="1">IF(tblRoster[[#This Row],[휴직잔여일수]]="","",IF(tblRoster[[#This Row],[휴직잔여일수]]&lt;=180,"6개월내","6개월이후"))</f>
        <v>6개월이후</v>
      </c>
      <c r="AO26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2" spans="1:41" x14ac:dyDescent="0.3">
      <c r="A262">
        <v>900260</v>
      </c>
      <c r="B262" t="s">
        <v>60</v>
      </c>
      <c r="C262" t="s">
        <v>8</v>
      </c>
      <c r="D262">
        <v>47</v>
      </c>
      <c r="E262" t="s">
        <v>128</v>
      </c>
      <c r="F262" t="s">
        <v>162</v>
      </c>
      <c r="G262" t="s">
        <v>169</v>
      </c>
      <c r="H262" t="s">
        <v>384</v>
      </c>
      <c r="I262" t="s">
        <v>132</v>
      </c>
      <c r="J262" t="s">
        <v>133</v>
      </c>
      <c r="L262" t="s">
        <v>134</v>
      </c>
      <c r="M262" t="s">
        <v>135</v>
      </c>
      <c r="N262" s="1">
        <v>38749</v>
      </c>
      <c r="O262" s="1">
        <v>45139</v>
      </c>
      <c r="P262" s="1">
        <v>45139</v>
      </c>
      <c r="Q262" s="1">
        <v>45139</v>
      </c>
      <c r="R262">
        <v>23</v>
      </c>
      <c r="S262" t="s">
        <v>475</v>
      </c>
      <c r="T26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62" t="str">
        <f>IF(tblRoster[[#This Row],[급수]]="4급(임기제)","4급",tblRoster[[#This Row],[급수]])</f>
        <v>대학회계계약직</v>
      </c>
      <c r="V26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6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62" t="str">
        <f>IF(OR(tblRoster[[#This Row],[교직원상세구분]]="사회복무요원",tblRoster[[#This Row],[교직원상세구분]]="인턴(수습)"),"제외","포함")</f>
        <v>포함</v>
      </c>
      <c r="Y262">
        <f>1</f>
        <v>1</v>
      </c>
      <c r="Z262">
        <f>IF(tblRoster[[#This Row],[재직상태구분]]="휴직",1,0)</f>
        <v>0</v>
      </c>
      <c r="AA26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62">
        <f ca="1">IF(tblRoster[[#This Row],[본교발령시작일자]]="","",DATEDIF(tblRoster[[#This Row],[본교발령시작일자]],TODAY(),"Y"))</f>
        <v>3</v>
      </c>
      <c r="AC262">
        <f ca="1">IF(tblRoster[[#This Row],[최초발령시작일자]]="","",DATEDIF(tblRoster[[#This Row],[최초발령시작일자]],TODAY(),"Y"))</f>
        <v>20</v>
      </c>
      <c r="AD26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62">
        <f ca="1">IF(tblRoster[[#This Row],[직급발령시작일자]]="","",ROUND(YEARFRAC(tblRoster[[#This Row],[직급발령시작일자]],TODAY()),1))</f>
        <v>3.1</v>
      </c>
      <c r="AF26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2" t="str">
        <f ca="1">IF(OR(tblRoster[[#This Row],[공무원구분]]&lt;&gt;"공무원",tblRoster[[#This Row],[나이]]=""),"",YEAR(TODAY())+(60-tblRoster[[#This Row],[나이]]))</f>
        <v/>
      </c>
      <c r="AH262" t="str">
        <f>IF(tblRoster[[#This Row],[직위]]="","일반","보직자")</f>
        <v>일반</v>
      </c>
      <c r="AI26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2" t="str">
        <f ca="1">IF(tblRoster[[#This Row],[복직예정일]]="","",TEXT(tblRoster[[#This Row],[복직예정일]],"yyyy-mm"))</f>
        <v/>
      </c>
      <c r="AM262" t="str">
        <f ca="1">IF(tblRoster[[#This Row],[복직예정일]]="","",tblRoster[[#This Row],[복직예정일]]-TODAY())</f>
        <v/>
      </c>
      <c r="AN262" t="str">
        <f ca="1">IF(tblRoster[[#This Row],[휴직잔여일수]]="","",IF(tblRoster[[#This Row],[휴직잔여일수]]&lt;=180,"6개월내","6개월이후"))</f>
        <v/>
      </c>
      <c r="AO26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3" spans="1:41" x14ac:dyDescent="0.3">
      <c r="A263">
        <v>900261</v>
      </c>
      <c r="B263" t="s">
        <v>476</v>
      </c>
      <c r="C263" t="s">
        <v>8</v>
      </c>
      <c r="D263">
        <v>50</v>
      </c>
      <c r="E263" t="s">
        <v>128</v>
      </c>
      <c r="F263" t="s">
        <v>168</v>
      </c>
      <c r="G263" t="s">
        <v>182</v>
      </c>
      <c r="H263" t="s">
        <v>200</v>
      </c>
      <c r="I263" t="s">
        <v>144</v>
      </c>
      <c r="J263" t="s">
        <v>145</v>
      </c>
      <c r="L263" t="s">
        <v>134</v>
      </c>
      <c r="M263" t="s">
        <v>135</v>
      </c>
      <c r="N263" s="1">
        <v>36678</v>
      </c>
      <c r="O263" s="1">
        <v>36678</v>
      </c>
      <c r="P263" s="1">
        <v>42156</v>
      </c>
      <c r="Q263" s="1">
        <v>42156</v>
      </c>
      <c r="R263">
        <v>29</v>
      </c>
      <c r="T26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63" t="str">
        <f>IF(tblRoster[[#This Row],[급수]]="4급(임기제)","4급",tblRoster[[#This Row],[급수]])</f>
        <v>5급</v>
      </c>
      <c r="V26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6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3" t="str">
        <f>IF(OR(tblRoster[[#This Row],[교직원상세구분]]="사회복무요원",tblRoster[[#This Row],[교직원상세구분]]="인턴(수습)"),"제외","포함")</f>
        <v>포함</v>
      </c>
      <c r="Y263">
        <f>1</f>
        <v>1</v>
      </c>
      <c r="Z263">
        <f>IF(tblRoster[[#This Row],[재직상태구분]]="휴직",1,0)</f>
        <v>0</v>
      </c>
      <c r="AA26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63">
        <f ca="1">IF(tblRoster[[#This Row],[본교발령시작일자]]="","",DATEDIF(tblRoster[[#This Row],[본교발령시작일자]],TODAY(),"Y"))</f>
        <v>26</v>
      </c>
      <c r="AC263">
        <f ca="1">IF(tblRoster[[#This Row],[최초발령시작일자]]="","",DATEDIF(tblRoster[[#This Row],[최초발령시작일자]],TODAY(),"Y"))</f>
        <v>26</v>
      </c>
      <c r="AD26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63">
        <f ca="1">IF(tblRoster[[#This Row],[직급발령시작일자]]="","",ROUND(YEARFRAC(tblRoster[[#This Row],[직급발령시작일자]],TODAY()),1))</f>
        <v>11.3</v>
      </c>
      <c r="AF263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63">
        <f ca="1">IF(OR(tblRoster[[#This Row],[공무원구분]]&lt;&gt;"공무원",tblRoster[[#This Row],[나이]]=""),"",YEAR(TODAY())+(60-tblRoster[[#This Row],[나이]]))</f>
        <v>2036</v>
      </c>
      <c r="AH263" t="str">
        <f>IF(tblRoster[[#This Row],[직위]]="","일반","보직자")</f>
        <v>일반</v>
      </c>
      <c r="AI26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3" t="str">
        <f ca="1">IF(tblRoster[[#This Row],[복직예정일]]="","",TEXT(tblRoster[[#This Row],[복직예정일]],"yyyy-mm"))</f>
        <v/>
      </c>
      <c r="AM263" t="str">
        <f ca="1">IF(tblRoster[[#This Row],[복직예정일]]="","",tblRoster[[#This Row],[복직예정일]]-TODAY())</f>
        <v/>
      </c>
      <c r="AN263" t="str">
        <f ca="1">IF(tblRoster[[#This Row],[휴직잔여일수]]="","",IF(tblRoster[[#This Row],[휴직잔여일수]]&lt;=180,"6개월내","6개월이후"))</f>
        <v/>
      </c>
      <c r="AO26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4" spans="1:41" x14ac:dyDescent="0.3">
      <c r="A264">
        <v>900262</v>
      </c>
      <c r="B264" t="s">
        <v>61</v>
      </c>
      <c r="C264" t="s">
        <v>16</v>
      </c>
      <c r="D264">
        <v>33</v>
      </c>
      <c r="E264" t="s">
        <v>150</v>
      </c>
      <c r="F264" t="s">
        <v>168</v>
      </c>
      <c r="G264" t="s">
        <v>138</v>
      </c>
      <c r="H264" t="s">
        <v>148</v>
      </c>
      <c r="I264" t="s">
        <v>132</v>
      </c>
      <c r="J264" t="s">
        <v>133</v>
      </c>
      <c r="L264" t="s">
        <v>134</v>
      </c>
      <c r="M264" t="s">
        <v>135</v>
      </c>
      <c r="N264" s="1">
        <v>43739</v>
      </c>
      <c r="O264" s="1">
        <v>43739</v>
      </c>
      <c r="P264" s="1">
        <v>46143</v>
      </c>
      <c r="Q264" s="1">
        <v>46143</v>
      </c>
      <c r="R264">
        <v>7</v>
      </c>
      <c r="S264" t="s">
        <v>477</v>
      </c>
      <c r="T26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64" t="str">
        <f>IF(tblRoster[[#This Row],[급수]]="4급(임기제)","4급",tblRoster[[#This Row],[급수]])</f>
        <v>대학회계계약직</v>
      </c>
      <c r="V26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6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64" t="str">
        <f>IF(OR(tblRoster[[#This Row],[교직원상세구분]]="사회복무요원",tblRoster[[#This Row],[교직원상세구분]]="인턴(수습)"),"제외","포함")</f>
        <v>포함</v>
      </c>
      <c r="Y264">
        <f>1</f>
        <v>1</v>
      </c>
      <c r="Z264">
        <f>IF(tblRoster[[#This Row],[재직상태구분]]="휴직",1,0)</f>
        <v>1</v>
      </c>
      <c r="AA26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64">
        <f ca="1">IF(tblRoster[[#This Row],[본교발령시작일자]]="","",DATEDIF(tblRoster[[#This Row],[본교발령시작일자]],TODAY(),"Y"))</f>
        <v>6</v>
      </c>
      <c r="AC264">
        <f ca="1">IF(tblRoster[[#This Row],[최초발령시작일자]]="","",DATEDIF(tblRoster[[#This Row],[최초발령시작일자]],TODAY(),"Y"))</f>
        <v>6</v>
      </c>
      <c r="AD26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64">
        <f ca="1">IF(tblRoster[[#This Row],[직급발령시작일자]]="","",ROUND(YEARFRAC(tblRoster[[#This Row],[직급발령시작일자]],TODAY()),1))</f>
        <v>0.4</v>
      </c>
      <c r="AF26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4" t="str">
        <f ca="1">IF(OR(tblRoster[[#This Row],[공무원구분]]&lt;&gt;"공무원",tblRoster[[#This Row],[나이]]=""),"",YEAR(TODAY())+(60-tblRoster[[#This Row],[나이]]))</f>
        <v/>
      </c>
      <c r="AH264" t="str">
        <f>IF(tblRoster[[#This Row],[직위]]="","일반","보직자")</f>
        <v>일반</v>
      </c>
      <c r="AI264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46077</v>
      </c>
      <c r="AJ26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264" s="1">
        <f ca="1">IF(tblRoster[[#This Row],[현재휴직시작일]]="","",IFERROR(INDEX(tblLeave[종료일],MATCH(tblRoster[[#This Row],[교직원번호]]&amp;"|"&amp;tblRoster[[#This Row],[현재휴직시작일]],tblLeave[매칭키],0)),""))</f>
        <v>46623</v>
      </c>
      <c r="AL264" t="str">
        <f ca="1">IF(tblRoster[[#This Row],[복직예정일]]="","",TEXT(tblRoster[[#This Row],[복직예정일]],"yyyy-mm"))</f>
        <v>2027-08</v>
      </c>
      <c r="AM264">
        <f ca="1">IF(tblRoster[[#This Row],[복직예정일]]="","",tblRoster[[#This Row],[복직예정일]]-TODAY())</f>
        <v>351</v>
      </c>
      <c r="AN264" t="str">
        <f ca="1">IF(tblRoster[[#This Row],[휴직잔여일수]]="","",IF(tblRoster[[#This Row],[휴직잔여일수]]&lt;=180,"6개월내","6개월이후"))</f>
        <v>6개월이후</v>
      </c>
      <c r="AO26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5" spans="1:41" x14ac:dyDescent="0.3">
      <c r="A265">
        <v>900263</v>
      </c>
      <c r="B265" t="s">
        <v>478</v>
      </c>
      <c r="C265" t="s">
        <v>8</v>
      </c>
      <c r="D265">
        <v>39</v>
      </c>
      <c r="E265" t="s">
        <v>150</v>
      </c>
      <c r="F265" t="s">
        <v>171</v>
      </c>
      <c r="G265" t="s">
        <v>151</v>
      </c>
      <c r="H265" t="s">
        <v>479</v>
      </c>
      <c r="I265" t="s">
        <v>399</v>
      </c>
      <c r="J265" t="s">
        <v>145</v>
      </c>
      <c r="L265" t="s">
        <v>134</v>
      </c>
      <c r="M265" t="s">
        <v>135</v>
      </c>
      <c r="N265" s="1">
        <v>45992</v>
      </c>
      <c r="O265" s="1">
        <v>45992</v>
      </c>
      <c r="P265" s="1">
        <v>45992</v>
      </c>
      <c r="Q265" s="1">
        <v>45992</v>
      </c>
      <c r="R265">
        <v>4</v>
      </c>
      <c r="T26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65" t="str">
        <f>IF(tblRoster[[#This Row],[급수]]="4급(임기제)","4급",tblRoster[[#This Row],[급수]])</f>
        <v>7급</v>
      </c>
      <c r="V26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6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5" t="str">
        <f>IF(OR(tblRoster[[#This Row],[교직원상세구분]]="사회복무요원",tblRoster[[#This Row],[교직원상세구분]]="인턴(수습)"),"제외","포함")</f>
        <v>포함</v>
      </c>
      <c r="Y265">
        <f>1</f>
        <v>1</v>
      </c>
      <c r="Z265">
        <f>IF(tblRoster[[#This Row],[재직상태구분]]="휴직",1,0)</f>
        <v>0</v>
      </c>
      <c r="AA26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65">
        <f ca="1">IF(tblRoster[[#This Row],[본교발령시작일자]]="","",DATEDIF(tblRoster[[#This Row],[본교발령시작일자]],TODAY(),"Y"))</f>
        <v>0</v>
      </c>
      <c r="AC265">
        <f ca="1">IF(tblRoster[[#This Row],[최초발령시작일자]]="","",DATEDIF(tblRoster[[#This Row],[최초발령시작일자]],TODAY(),"Y"))</f>
        <v>0</v>
      </c>
      <c r="AD26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65">
        <f ca="1">IF(tblRoster[[#This Row],[직급발령시작일자]]="","",ROUND(YEARFRAC(tblRoster[[#This Row],[직급발령시작일자]],TODAY()),1))</f>
        <v>0.8</v>
      </c>
      <c r="AF26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5">
        <f ca="1">IF(OR(tblRoster[[#This Row],[공무원구분]]&lt;&gt;"공무원",tblRoster[[#This Row],[나이]]=""),"",YEAR(TODAY())+(60-tblRoster[[#This Row],[나이]]))</f>
        <v>2047</v>
      </c>
      <c r="AH265" t="str">
        <f>IF(tblRoster[[#This Row],[직위]]="","일반","보직자")</f>
        <v>일반</v>
      </c>
      <c r="AI26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5" t="str">
        <f ca="1">IF(tblRoster[[#This Row],[복직예정일]]="","",TEXT(tblRoster[[#This Row],[복직예정일]],"yyyy-mm"))</f>
        <v/>
      </c>
      <c r="AM265" t="str">
        <f ca="1">IF(tblRoster[[#This Row],[복직예정일]]="","",tblRoster[[#This Row],[복직예정일]]-TODAY())</f>
        <v/>
      </c>
      <c r="AN265" t="str">
        <f ca="1">IF(tblRoster[[#This Row],[휴직잔여일수]]="","",IF(tblRoster[[#This Row],[휴직잔여일수]]&lt;=180,"6개월내","6개월이후"))</f>
        <v/>
      </c>
      <c r="AO26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6" spans="1:41" x14ac:dyDescent="0.3">
      <c r="A266">
        <v>900264</v>
      </c>
      <c r="B266" t="s">
        <v>480</v>
      </c>
      <c r="C266" t="s">
        <v>8</v>
      </c>
      <c r="D266">
        <v>41</v>
      </c>
      <c r="E266" t="s">
        <v>150</v>
      </c>
      <c r="F266" t="s">
        <v>266</v>
      </c>
      <c r="G266" t="s">
        <v>173</v>
      </c>
      <c r="H266" t="s">
        <v>148</v>
      </c>
      <c r="I266" t="s">
        <v>132</v>
      </c>
      <c r="J266" t="s">
        <v>133</v>
      </c>
      <c r="L266" t="s">
        <v>134</v>
      </c>
      <c r="M266" t="s">
        <v>135</v>
      </c>
      <c r="N266" s="1">
        <v>45292</v>
      </c>
      <c r="O266" s="1">
        <v>44682</v>
      </c>
      <c r="P266" s="1">
        <v>44682</v>
      </c>
      <c r="Q266" s="1">
        <v>44682</v>
      </c>
      <c r="R266">
        <v>3</v>
      </c>
      <c r="T26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66" t="str">
        <f>IF(tblRoster[[#This Row],[급수]]="4급(임기제)","4급",tblRoster[[#This Row],[급수]])</f>
        <v>대학회계계약직</v>
      </c>
      <c r="V26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6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66" t="str">
        <f>IF(OR(tblRoster[[#This Row],[교직원상세구분]]="사회복무요원",tblRoster[[#This Row],[교직원상세구분]]="인턴(수습)"),"제외","포함")</f>
        <v>포함</v>
      </c>
      <c r="Y266">
        <f>1</f>
        <v>1</v>
      </c>
      <c r="Z266">
        <f>IF(tblRoster[[#This Row],[재직상태구분]]="휴직",1,0)</f>
        <v>0</v>
      </c>
      <c r="AA26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66">
        <f ca="1">IF(tblRoster[[#This Row],[본교발령시작일자]]="","",DATEDIF(tblRoster[[#This Row],[본교발령시작일자]],TODAY(),"Y"))</f>
        <v>4</v>
      </c>
      <c r="AC266">
        <f ca="1">IF(tblRoster[[#This Row],[최초발령시작일자]]="","",DATEDIF(tblRoster[[#This Row],[최초발령시작일자]],TODAY(),"Y"))</f>
        <v>2</v>
      </c>
      <c r="AD26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66">
        <f ca="1">IF(tblRoster[[#This Row],[직급발령시작일자]]="","",ROUND(YEARFRAC(tblRoster[[#This Row],[직급발령시작일자]],TODAY()),1))</f>
        <v>4.4000000000000004</v>
      </c>
      <c r="AF26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6" t="str">
        <f ca="1">IF(OR(tblRoster[[#This Row],[공무원구분]]&lt;&gt;"공무원",tblRoster[[#This Row],[나이]]=""),"",YEAR(TODAY())+(60-tblRoster[[#This Row],[나이]]))</f>
        <v/>
      </c>
      <c r="AH266" t="str">
        <f>IF(tblRoster[[#This Row],[직위]]="","일반","보직자")</f>
        <v>일반</v>
      </c>
      <c r="AI26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6" t="str">
        <f ca="1">IF(tblRoster[[#This Row],[복직예정일]]="","",TEXT(tblRoster[[#This Row],[복직예정일]],"yyyy-mm"))</f>
        <v/>
      </c>
      <c r="AM266" t="str">
        <f ca="1">IF(tblRoster[[#This Row],[복직예정일]]="","",tblRoster[[#This Row],[복직예정일]]-TODAY())</f>
        <v/>
      </c>
      <c r="AN266" t="str">
        <f ca="1">IF(tblRoster[[#This Row],[휴직잔여일수]]="","",IF(tblRoster[[#This Row],[휴직잔여일수]]&lt;=180,"6개월내","6개월이후"))</f>
        <v/>
      </c>
      <c r="AO26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7" spans="1:41" x14ac:dyDescent="0.3">
      <c r="A267">
        <v>900265</v>
      </c>
      <c r="B267" t="s">
        <v>481</v>
      </c>
      <c r="C267" t="s">
        <v>8</v>
      </c>
      <c r="D267">
        <v>43</v>
      </c>
      <c r="E267" t="s">
        <v>128</v>
      </c>
      <c r="F267" t="s">
        <v>168</v>
      </c>
      <c r="G267" t="s">
        <v>197</v>
      </c>
      <c r="H267" t="s">
        <v>230</v>
      </c>
      <c r="I267" t="s">
        <v>144</v>
      </c>
      <c r="J267" t="s">
        <v>145</v>
      </c>
      <c r="L267" t="s">
        <v>135</v>
      </c>
      <c r="M267" t="s">
        <v>135</v>
      </c>
      <c r="N267" s="1">
        <v>39753</v>
      </c>
      <c r="O267" s="1">
        <v>39753</v>
      </c>
      <c r="P267" s="1">
        <v>43709</v>
      </c>
      <c r="Q267" s="1">
        <v>43709</v>
      </c>
      <c r="R267">
        <v>19</v>
      </c>
      <c r="T26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67" t="str">
        <f>IF(tblRoster[[#This Row],[급수]]="4급(임기제)","4급",tblRoster[[#This Row],[급수]])</f>
        <v>6급</v>
      </c>
      <c r="V26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6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7" t="str">
        <f>IF(OR(tblRoster[[#This Row],[교직원상세구분]]="사회복무요원",tblRoster[[#This Row],[교직원상세구분]]="인턴(수습)"),"제외","포함")</f>
        <v>포함</v>
      </c>
      <c r="Y267">
        <f>1</f>
        <v>1</v>
      </c>
      <c r="Z267">
        <f>IF(tblRoster[[#This Row],[재직상태구분]]="휴직",1,0)</f>
        <v>0</v>
      </c>
      <c r="AA26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67">
        <f ca="1">IF(tblRoster[[#This Row],[본교발령시작일자]]="","",DATEDIF(tblRoster[[#This Row],[본교발령시작일자]],TODAY(),"Y"))</f>
        <v>17</v>
      </c>
      <c r="AC267">
        <f ca="1">IF(tblRoster[[#This Row],[최초발령시작일자]]="","",DATEDIF(tblRoster[[#This Row],[최초발령시작일자]],TODAY(),"Y"))</f>
        <v>17</v>
      </c>
      <c r="AD26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67">
        <f ca="1">IF(tblRoster[[#This Row],[직급발령시작일자]]="","",ROUND(YEARFRAC(tblRoster[[#This Row],[직급발령시작일자]],TODAY()),1))</f>
        <v>7</v>
      </c>
      <c r="AF267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67">
        <f ca="1">IF(OR(tblRoster[[#This Row],[공무원구분]]&lt;&gt;"공무원",tblRoster[[#This Row],[나이]]=""),"",YEAR(TODAY())+(60-tblRoster[[#This Row],[나이]]))</f>
        <v>2043</v>
      </c>
      <c r="AH267" t="str">
        <f>IF(tblRoster[[#This Row],[직위]]="","일반","보직자")</f>
        <v>일반</v>
      </c>
      <c r="AI26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7" t="str">
        <f ca="1">IF(tblRoster[[#This Row],[복직예정일]]="","",TEXT(tblRoster[[#This Row],[복직예정일]],"yyyy-mm"))</f>
        <v/>
      </c>
      <c r="AM267" t="str">
        <f ca="1">IF(tblRoster[[#This Row],[복직예정일]]="","",tblRoster[[#This Row],[복직예정일]]-TODAY())</f>
        <v/>
      </c>
      <c r="AN267" t="str">
        <f ca="1">IF(tblRoster[[#This Row],[휴직잔여일수]]="","",IF(tblRoster[[#This Row],[휴직잔여일수]]&lt;=180,"6개월내","6개월이후"))</f>
        <v/>
      </c>
      <c r="AO26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8" spans="1:41" x14ac:dyDescent="0.3">
      <c r="A268">
        <v>900266</v>
      </c>
      <c r="B268" t="s">
        <v>482</v>
      </c>
      <c r="C268" t="s">
        <v>8</v>
      </c>
      <c r="D268">
        <v>58</v>
      </c>
      <c r="E268" t="s">
        <v>150</v>
      </c>
      <c r="F268" t="s">
        <v>129</v>
      </c>
      <c r="G268" t="s">
        <v>202</v>
      </c>
      <c r="H268" t="s">
        <v>163</v>
      </c>
      <c r="I268" t="s">
        <v>144</v>
      </c>
      <c r="J268" t="s">
        <v>145</v>
      </c>
      <c r="L268" t="s">
        <v>134</v>
      </c>
      <c r="M268" t="s">
        <v>135</v>
      </c>
      <c r="N268" s="1">
        <v>39295</v>
      </c>
      <c r="O268" s="1">
        <v>45748</v>
      </c>
      <c r="P268" s="1">
        <v>45748</v>
      </c>
      <c r="Q268" s="1">
        <v>45748</v>
      </c>
      <c r="R268">
        <v>21</v>
      </c>
      <c r="T26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68" t="str">
        <f>IF(tblRoster[[#This Row],[급수]]="4급(임기제)","4급",tblRoster[[#This Row],[급수]])</f>
        <v>6급</v>
      </c>
      <c r="V26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6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8" t="str">
        <f>IF(OR(tblRoster[[#This Row],[교직원상세구분]]="사회복무요원",tblRoster[[#This Row],[교직원상세구분]]="인턴(수습)"),"제외","포함")</f>
        <v>포함</v>
      </c>
      <c r="Y268">
        <f>1</f>
        <v>1</v>
      </c>
      <c r="Z268">
        <f>IF(tblRoster[[#This Row],[재직상태구분]]="휴직",1,0)</f>
        <v>0</v>
      </c>
      <c r="AA26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68">
        <f ca="1">IF(tblRoster[[#This Row],[본교발령시작일자]]="","",DATEDIF(tblRoster[[#This Row],[본교발령시작일자]],TODAY(),"Y"))</f>
        <v>1</v>
      </c>
      <c r="AC268">
        <f ca="1">IF(tblRoster[[#This Row],[최초발령시작일자]]="","",DATEDIF(tblRoster[[#This Row],[최초발령시작일자]],TODAY(),"Y"))</f>
        <v>19</v>
      </c>
      <c r="AD26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68">
        <f ca="1">IF(tblRoster[[#This Row],[직급발령시작일자]]="","",ROUND(YEARFRAC(tblRoster[[#This Row],[직급발령시작일자]],TODAY()),1))</f>
        <v>1.4</v>
      </c>
      <c r="AF26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8">
        <f ca="1">IF(OR(tblRoster[[#This Row],[공무원구분]]&lt;&gt;"공무원",tblRoster[[#This Row],[나이]]=""),"",YEAR(TODAY())+(60-tblRoster[[#This Row],[나이]]))</f>
        <v>2028</v>
      </c>
      <c r="AH268" t="str">
        <f>IF(tblRoster[[#This Row],[직위]]="","일반","보직자")</f>
        <v>일반</v>
      </c>
      <c r="AI26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8" t="str">
        <f ca="1">IF(tblRoster[[#This Row],[복직예정일]]="","",TEXT(tblRoster[[#This Row],[복직예정일]],"yyyy-mm"))</f>
        <v/>
      </c>
      <c r="AM268" t="str">
        <f ca="1">IF(tblRoster[[#This Row],[복직예정일]]="","",tblRoster[[#This Row],[복직예정일]]-TODAY())</f>
        <v/>
      </c>
      <c r="AN268" t="str">
        <f ca="1">IF(tblRoster[[#This Row],[휴직잔여일수]]="","",IF(tblRoster[[#This Row],[휴직잔여일수]]&lt;=180,"6개월내","6개월이후"))</f>
        <v/>
      </c>
      <c r="AO26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69" spans="1:41" x14ac:dyDescent="0.3">
      <c r="A269">
        <v>900267</v>
      </c>
      <c r="B269" t="s">
        <v>62</v>
      </c>
      <c r="C269" t="s">
        <v>8</v>
      </c>
      <c r="D269">
        <v>25</v>
      </c>
      <c r="E269" t="s">
        <v>128</v>
      </c>
      <c r="F269" t="s">
        <v>141</v>
      </c>
      <c r="G269" t="s">
        <v>173</v>
      </c>
      <c r="H269" t="s">
        <v>198</v>
      </c>
      <c r="I269" t="s">
        <v>144</v>
      </c>
      <c r="J269" t="s">
        <v>145</v>
      </c>
      <c r="L269" t="s">
        <v>134</v>
      </c>
      <c r="M269" t="s">
        <v>135</v>
      </c>
      <c r="N269" s="1">
        <v>45017</v>
      </c>
      <c r="O269" s="1">
        <v>45352</v>
      </c>
      <c r="P269" s="1">
        <v>45352</v>
      </c>
      <c r="Q269" s="1">
        <v>45352</v>
      </c>
      <c r="R269">
        <v>3</v>
      </c>
      <c r="S269" t="s">
        <v>483</v>
      </c>
      <c r="T26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69" t="str">
        <f>IF(tblRoster[[#This Row],[급수]]="4급(임기제)","4급",tblRoster[[#This Row],[급수]])</f>
        <v>7급</v>
      </c>
      <c r="V26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6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69" t="str">
        <f>IF(OR(tblRoster[[#This Row],[교직원상세구분]]="사회복무요원",tblRoster[[#This Row],[교직원상세구분]]="인턴(수습)"),"제외","포함")</f>
        <v>포함</v>
      </c>
      <c r="Y269">
        <f>1</f>
        <v>1</v>
      </c>
      <c r="Z269">
        <f>IF(tblRoster[[#This Row],[재직상태구분]]="휴직",1,0)</f>
        <v>0</v>
      </c>
      <c r="AA26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69">
        <f ca="1">IF(tblRoster[[#This Row],[본교발령시작일자]]="","",DATEDIF(tblRoster[[#This Row],[본교발령시작일자]],TODAY(),"Y"))</f>
        <v>2</v>
      </c>
      <c r="AC269">
        <f ca="1">IF(tblRoster[[#This Row],[최초발령시작일자]]="","",DATEDIF(tblRoster[[#This Row],[최초발령시작일자]],TODAY(),"Y"))</f>
        <v>3</v>
      </c>
      <c r="AD26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69">
        <f ca="1">IF(tblRoster[[#This Row],[직급발령시작일자]]="","",ROUND(YEARFRAC(tblRoster[[#This Row],[직급발령시작일자]],TODAY()),1))</f>
        <v>2.5</v>
      </c>
      <c r="AF26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69">
        <f ca="1">IF(OR(tblRoster[[#This Row],[공무원구분]]&lt;&gt;"공무원",tblRoster[[#This Row],[나이]]=""),"",YEAR(TODAY())+(60-tblRoster[[#This Row],[나이]]))</f>
        <v>2061</v>
      </c>
      <c r="AH269" t="str">
        <f>IF(tblRoster[[#This Row],[직위]]="","일반","보직자")</f>
        <v>일반</v>
      </c>
      <c r="AI26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6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6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69" t="str">
        <f ca="1">IF(tblRoster[[#This Row],[복직예정일]]="","",TEXT(tblRoster[[#This Row],[복직예정일]],"yyyy-mm"))</f>
        <v/>
      </c>
      <c r="AM269" t="str">
        <f ca="1">IF(tblRoster[[#This Row],[복직예정일]]="","",tblRoster[[#This Row],[복직예정일]]-TODAY())</f>
        <v/>
      </c>
      <c r="AN269" t="str">
        <f ca="1">IF(tblRoster[[#This Row],[휴직잔여일수]]="","",IF(tblRoster[[#This Row],[휴직잔여일수]]&lt;=180,"6개월내","6개월이후"))</f>
        <v/>
      </c>
      <c r="AO26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0" spans="1:41" x14ac:dyDescent="0.3">
      <c r="A270">
        <v>900268</v>
      </c>
      <c r="B270" t="s">
        <v>484</v>
      </c>
      <c r="C270" t="s">
        <v>8</v>
      </c>
      <c r="D270">
        <v>53</v>
      </c>
      <c r="E270" t="s">
        <v>128</v>
      </c>
      <c r="F270" t="s">
        <v>236</v>
      </c>
      <c r="G270" t="s">
        <v>202</v>
      </c>
      <c r="H270" t="s">
        <v>180</v>
      </c>
      <c r="I270" t="s">
        <v>144</v>
      </c>
      <c r="J270" t="s">
        <v>145</v>
      </c>
      <c r="L270" t="s">
        <v>134</v>
      </c>
      <c r="M270" t="s">
        <v>135</v>
      </c>
      <c r="N270" s="1">
        <v>41579</v>
      </c>
      <c r="O270" s="1">
        <v>44256</v>
      </c>
      <c r="P270" s="1">
        <v>44256</v>
      </c>
      <c r="Q270" s="1">
        <v>44256</v>
      </c>
      <c r="R270">
        <v>15</v>
      </c>
      <c r="T27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70" t="str">
        <f>IF(tblRoster[[#This Row],[급수]]="4급(임기제)","4급",tblRoster[[#This Row],[급수]])</f>
        <v>7급</v>
      </c>
      <c r="V27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7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70" t="str">
        <f>IF(OR(tblRoster[[#This Row],[교직원상세구분]]="사회복무요원",tblRoster[[#This Row],[교직원상세구분]]="인턴(수습)"),"제외","포함")</f>
        <v>포함</v>
      </c>
      <c r="Y270">
        <f>1</f>
        <v>1</v>
      </c>
      <c r="Z270">
        <f>IF(tblRoster[[#This Row],[재직상태구분]]="휴직",1,0)</f>
        <v>0</v>
      </c>
      <c r="AA27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70">
        <f ca="1">IF(tblRoster[[#This Row],[본교발령시작일자]]="","",DATEDIF(tblRoster[[#This Row],[본교발령시작일자]],TODAY(),"Y"))</f>
        <v>5</v>
      </c>
      <c r="AC270">
        <f ca="1">IF(tblRoster[[#This Row],[최초발령시작일자]]="","",DATEDIF(tblRoster[[#This Row],[최초발령시작일자]],TODAY(),"Y"))</f>
        <v>12</v>
      </c>
      <c r="AD27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70">
        <f ca="1">IF(tblRoster[[#This Row],[직급발령시작일자]]="","",ROUND(YEARFRAC(tblRoster[[#This Row],[직급발령시작일자]],TODAY()),1))</f>
        <v>5.5</v>
      </c>
      <c r="AF27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70">
        <f ca="1">IF(OR(tblRoster[[#This Row],[공무원구분]]&lt;&gt;"공무원",tblRoster[[#This Row],[나이]]=""),"",YEAR(TODAY())+(60-tblRoster[[#This Row],[나이]]))</f>
        <v>2033</v>
      </c>
      <c r="AH270" t="str">
        <f>IF(tblRoster[[#This Row],[직위]]="","일반","보직자")</f>
        <v>일반</v>
      </c>
      <c r="AI27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0" t="str">
        <f ca="1">IF(tblRoster[[#This Row],[복직예정일]]="","",TEXT(tblRoster[[#This Row],[복직예정일]],"yyyy-mm"))</f>
        <v/>
      </c>
      <c r="AM270" t="str">
        <f ca="1">IF(tblRoster[[#This Row],[복직예정일]]="","",tblRoster[[#This Row],[복직예정일]]-TODAY())</f>
        <v/>
      </c>
      <c r="AN270" t="str">
        <f ca="1">IF(tblRoster[[#This Row],[휴직잔여일수]]="","",IF(tblRoster[[#This Row],[휴직잔여일수]]&lt;=180,"6개월내","6개월이후"))</f>
        <v/>
      </c>
      <c r="AO27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1" spans="1:41" x14ac:dyDescent="0.3">
      <c r="A271">
        <v>900269</v>
      </c>
      <c r="B271" t="s">
        <v>485</v>
      </c>
      <c r="C271" t="s">
        <v>8</v>
      </c>
      <c r="D271">
        <v>40</v>
      </c>
      <c r="E271" t="s">
        <v>128</v>
      </c>
      <c r="F271" t="s">
        <v>154</v>
      </c>
      <c r="G271" t="s">
        <v>159</v>
      </c>
      <c r="H271" t="s">
        <v>230</v>
      </c>
      <c r="I271" t="s">
        <v>144</v>
      </c>
      <c r="J271" t="s">
        <v>145</v>
      </c>
      <c r="L271" t="s">
        <v>134</v>
      </c>
      <c r="M271" t="s">
        <v>135</v>
      </c>
      <c r="N271" s="1">
        <v>40391</v>
      </c>
      <c r="O271" s="1">
        <v>44197</v>
      </c>
      <c r="P271" s="1">
        <v>44986</v>
      </c>
      <c r="Q271" s="1">
        <v>44986</v>
      </c>
      <c r="R271">
        <v>18</v>
      </c>
      <c r="T27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71" t="str">
        <f>IF(tblRoster[[#This Row],[급수]]="4급(임기제)","4급",tblRoster[[#This Row],[급수]])</f>
        <v>6급</v>
      </c>
      <c r="V27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7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71" t="str">
        <f>IF(OR(tblRoster[[#This Row],[교직원상세구분]]="사회복무요원",tblRoster[[#This Row],[교직원상세구분]]="인턴(수습)"),"제외","포함")</f>
        <v>포함</v>
      </c>
      <c r="Y271">
        <f>1</f>
        <v>1</v>
      </c>
      <c r="Z271">
        <f>IF(tblRoster[[#This Row],[재직상태구분]]="휴직",1,0)</f>
        <v>0</v>
      </c>
      <c r="AA27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71">
        <f ca="1">IF(tblRoster[[#This Row],[본교발령시작일자]]="","",DATEDIF(tblRoster[[#This Row],[본교발령시작일자]],TODAY(),"Y"))</f>
        <v>5</v>
      </c>
      <c r="AC271">
        <f ca="1">IF(tblRoster[[#This Row],[최초발령시작일자]]="","",DATEDIF(tblRoster[[#This Row],[최초발령시작일자]],TODAY(),"Y"))</f>
        <v>16</v>
      </c>
      <c r="AD27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71">
        <f ca="1">IF(tblRoster[[#This Row],[직급발령시작일자]]="","",ROUND(YEARFRAC(tblRoster[[#This Row],[직급발령시작일자]],TODAY()),1))</f>
        <v>3.5</v>
      </c>
      <c r="AF27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1">
        <f ca="1">IF(OR(tblRoster[[#This Row],[공무원구분]]&lt;&gt;"공무원",tblRoster[[#This Row],[나이]]=""),"",YEAR(TODAY())+(60-tblRoster[[#This Row],[나이]]))</f>
        <v>2046</v>
      </c>
      <c r="AH271" t="str">
        <f>IF(tblRoster[[#This Row],[직위]]="","일반","보직자")</f>
        <v>일반</v>
      </c>
      <c r="AI27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1" t="str">
        <f ca="1">IF(tblRoster[[#This Row],[복직예정일]]="","",TEXT(tblRoster[[#This Row],[복직예정일]],"yyyy-mm"))</f>
        <v/>
      </c>
      <c r="AM271" t="str">
        <f ca="1">IF(tblRoster[[#This Row],[복직예정일]]="","",tblRoster[[#This Row],[복직예정일]]-TODAY())</f>
        <v/>
      </c>
      <c r="AN271" t="str">
        <f ca="1">IF(tblRoster[[#This Row],[휴직잔여일수]]="","",IF(tblRoster[[#This Row],[휴직잔여일수]]&lt;=180,"6개월내","6개월이후"))</f>
        <v/>
      </c>
      <c r="AO27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2" spans="1:41" x14ac:dyDescent="0.3">
      <c r="A272">
        <v>900270</v>
      </c>
      <c r="B272" t="s">
        <v>486</v>
      </c>
      <c r="C272" t="s">
        <v>8</v>
      </c>
      <c r="D272">
        <v>49</v>
      </c>
      <c r="E272" t="s">
        <v>128</v>
      </c>
      <c r="F272" t="s">
        <v>179</v>
      </c>
      <c r="G272" t="s">
        <v>211</v>
      </c>
      <c r="H272" t="s">
        <v>487</v>
      </c>
      <c r="I272" t="s">
        <v>239</v>
      </c>
      <c r="J272" t="s">
        <v>133</v>
      </c>
      <c r="L272" t="s">
        <v>134</v>
      </c>
      <c r="M272" t="s">
        <v>135</v>
      </c>
      <c r="N272" s="1">
        <v>44317</v>
      </c>
      <c r="O272" s="1">
        <v>44317</v>
      </c>
      <c r="P272" s="1">
        <v>45901</v>
      </c>
      <c r="Q272" s="1">
        <v>45901</v>
      </c>
      <c r="R272">
        <v>8</v>
      </c>
      <c r="T27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72" t="str">
        <f>IF(tblRoster[[#This Row],[급수]]="4급(임기제)","4급",tblRoster[[#This Row],[급수]])</f>
        <v>대학회계직</v>
      </c>
      <c r="V27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7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72" t="str">
        <f>IF(OR(tblRoster[[#This Row],[교직원상세구분]]="사회복무요원",tblRoster[[#This Row],[교직원상세구분]]="인턴(수습)"),"제외","포함")</f>
        <v>포함</v>
      </c>
      <c r="Y272">
        <f>1</f>
        <v>1</v>
      </c>
      <c r="Z272">
        <f>IF(tblRoster[[#This Row],[재직상태구분]]="휴직",1,0)</f>
        <v>0</v>
      </c>
      <c r="AA27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72">
        <f ca="1">IF(tblRoster[[#This Row],[본교발령시작일자]]="","",DATEDIF(tblRoster[[#This Row],[본교발령시작일자]],TODAY(),"Y"))</f>
        <v>5</v>
      </c>
      <c r="AC272">
        <f ca="1">IF(tblRoster[[#This Row],[최초발령시작일자]]="","",DATEDIF(tblRoster[[#This Row],[최초발령시작일자]],TODAY(),"Y"))</f>
        <v>5</v>
      </c>
      <c r="AD27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72">
        <f ca="1">IF(tblRoster[[#This Row],[직급발령시작일자]]="","",ROUND(YEARFRAC(tblRoster[[#This Row],[직급발령시작일자]],TODAY()),1))</f>
        <v>1</v>
      </c>
      <c r="AF27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2" t="str">
        <f ca="1">IF(OR(tblRoster[[#This Row],[공무원구분]]&lt;&gt;"공무원",tblRoster[[#This Row],[나이]]=""),"",YEAR(TODAY())+(60-tblRoster[[#This Row],[나이]]))</f>
        <v/>
      </c>
      <c r="AH272" t="str">
        <f>IF(tblRoster[[#This Row],[직위]]="","일반","보직자")</f>
        <v>일반</v>
      </c>
      <c r="AI27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2" t="str">
        <f ca="1">IF(tblRoster[[#This Row],[복직예정일]]="","",TEXT(tblRoster[[#This Row],[복직예정일]],"yyyy-mm"))</f>
        <v/>
      </c>
      <c r="AM272" t="str">
        <f ca="1">IF(tblRoster[[#This Row],[복직예정일]]="","",tblRoster[[#This Row],[복직예정일]]-TODAY())</f>
        <v/>
      </c>
      <c r="AN272" t="str">
        <f ca="1">IF(tblRoster[[#This Row],[휴직잔여일수]]="","",IF(tblRoster[[#This Row],[휴직잔여일수]]&lt;=180,"6개월내","6개월이후"))</f>
        <v/>
      </c>
      <c r="AO27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3" spans="1:41" x14ac:dyDescent="0.3">
      <c r="A273">
        <v>900271</v>
      </c>
      <c r="B273" t="s">
        <v>488</v>
      </c>
      <c r="C273" t="s">
        <v>8</v>
      </c>
      <c r="D273">
        <v>34</v>
      </c>
      <c r="E273" t="s">
        <v>150</v>
      </c>
      <c r="F273" t="s">
        <v>129</v>
      </c>
      <c r="G273" t="s">
        <v>202</v>
      </c>
      <c r="H273" t="s">
        <v>131</v>
      </c>
      <c r="I273" t="s">
        <v>132</v>
      </c>
      <c r="J273" t="s">
        <v>133</v>
      </c>
      <c r="L273" t="s">
        <v>135</v>
      </c>
      <c r="M273" t="s">
        <v>135</v>
      </c>
      <c r="N273" s="1">
        <v>45901</v>
      </c>
      <c r="O273" s="1">
        <v>45901</v>
      </c>
      <c r="P273" s="1">
        <v>46082</v>
      </c>
      <c r="Q273" s="1">
        <v>46082</v>
      </c>
      <c r="R273">
        <v>4</v>
      </c>
      <c r="T27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73" t="str">
        <f>IF(tblRoster[[#This Row],[급수]]="4급(임기제)","4급",tblRoster[[#This Row],[급수]])</f>
        <v>대학회계계약직</v>
      </c>
      <c r="V27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7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73" t="str">
        <f>IF(OR(tblRoster[[#This Row],[교직원상세구분]]="사회복무요원",tblRoster[[#This Row],[교직원상세구분]]="인턴(수습)"),"제외","포함")</f>
        <v>포함</v>
      </c>
      <c r="Y273">
        <f>1</f>
        <v>1</v>
      </c>
      <c r="Z273">
        <f>IF(tblRoster[[#This Row],[재직상태구분]]="휴직",1,0)</f>
        <v>0</v>
      </c>
      <c r="AA27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73">
        <f ca="1">IF(tblRoster[[#This Row],[본교발령시작일자]]="","",DATEDIF(tblRoster[[#This Row],[본교발령시작일자]],TODAY(),"Y"))</f>
        <v>1</v>
      </c>
      <c r="AC273">
        <f ca="1">IF(tblRoster[[#This Row],[최초발령시작일자]]="","",DATEDIF(tblRoster[[#This Row],[최초발령시작일자]],TODAY(),"Y"))</f>
        <v>1</v>
      </c>
      <c r="AD27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73">
        <f ca="1">IF(tblRoster[[#This Row],[직급발령시작일자]]="","",ROUND(YEARFRAC(tblRoster[[#This Row],[직급발령시작일자]],TODAY()),1))</f>
        <v>0.5</v>
      </c>
      <c r="AF27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3" t="str">
        <f ca="1">IF(OR(tblRoster[[#This Row],[공무원구분]]&lt;&gt;"공무원",tblRoster[[#This Row],[나이]]=""),"",YEAR(TODAY())+(60-tblRoster[[#This Row],[나이]]))</f>
        <v/>
      </c>
      <c r="AH273" t="str">
        <f>IF(tblRoster[[#This Row],[직위]]="","일반","보직자")</f>
        <v>일반</v>
      </c>
      <c r="AI27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3" t="str">
        <f ca="1">IF(tblRoster[[#This Row],[복직예정일]]="","",TEXT(tblRoster[[#This Row],[복직예정일]],"yyyy-mm"))</f>
        <v/>
      </c>
      <c r="AM273" t="str">
        <f ca="1">IF(tblRoster[[#This Row],[복직예정일]]="","",tblRoster[[#This Row],[복직예정일]]-TODAY())</f>
        <v/>
      </c>
      <c r="AN273" t="str">
        <f ca="1">IF(tblRoster[[#This Row],[휴직잔여일수]]="","",IF(tblRoster[[#This Row],[휴직잔여일수]]&lt;=180,"6개월내","6개월이후"))</f>
        <v/>
      </c>
      <c r="AO27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4" spans="1:41" x14ac:dyDescent="0.3">
      <c r="A274">
        <v>900272</v>
      </c>
      <c r="B274" t="s">
        <v>489</v>
      </c>
      <c r="C274" t="s">
        <v>8</v>
      </c>
      <c r="D274">
        <v>50</v>
      </c>
      <c r="E274" t="s">
        <v>150</v>
      </c>
      <c r="F274" t="s">
        <v>171</v>
      </c>
      <c r="G274" t="s">
        <v>130</v>
      </c>
      <c r="H274" t="s">
        <v>148</v>
      </c>
      <c r="I274" t="s">
        <v>132</v>
      </c>
      <c r="J274" t="s">
        <v>133</v>
      </c>
      <c r="L274" t="s">
        <v>135</v>
      </c>
      <c r="M274" t="s">
        <v>135</v>
      </c>
      <c r="N274" s="1">
        <v>43647</v>
      </c>
      <c r="O274" s="1">
        <v>43647</v>
      </c>
      <c r="P274" s="1">
        <v>44986</v>
      </c>
      <c r="Q274" s="1">
        <v>44986</v>
      </c>
      <c r="R274">
        <v>7</v>
      </c>
      <c r="T27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74" t="str">
        <f>IF(tblRoster[[#This Row],[급수]]="4급(임기제)","4급",tblRoster[[#This Row],[급수]])</f>
        <v>대학회계계약직</v>
      </c>
      <c r="V27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7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74" t="str">
        <f>IF(OR(tblRoster[[#This Row],[교직원상세구분]]="사회복무요원",tblRoster[[#This Row],[교직원상세구분]]="인턴(수습)"),"제외","포함")</f>
        <v>포함</v>
      </c>
      <c r="Y274">
        <f>1</f>
        <v>1</v>
      </c>
      <c r="Z274">
        <f>IF(tblRoster[[#This Row],[재직상태구분]]="휴직",1,0)</f>
        <v>0</v>
      </c>
      <c r="AA27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74">
        <f ca="1">IF(tblRoster[[#This Row],[본교발령시작일자]]="","",DATEDIF(tblRoster[[#This Row],[본교발령시작일자]],TODAY(),"Y"))</f>
        <v>7</v>
      </c>
      <c r="AC274">
        <f ca="1">IF(tblRoster[[#This Row],[최초발령시작일자]]="","",DATEDIF(tblRoster[[#This Row],[최초발령시작일자]],TODAY(),"Y"))</f>
        <v>7</v>
      </c>
      <c r="AD27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74">
        <f ca="1">IF(tblRoster[[#This Row],[직급발령시작일자]]="","",ROUND(YEARFRAC(tblRoster[[#This Row],[직급발령시작일자]],TODAY()),1))</f>
        <v>3.5</v>
      </c>
      <c r="AF27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4" t="str">
        <f ca="1">IF(OR(tblRoster[[#This Row],[공무원구분]]&lt;&gt;"공무원",tblRoster[[#This Row],[나이]]=""),"",YEAR(TODAY())+(60-tblRoster[[#This Row],[나이]]))</f>
        <v/>
      </c>
      <c r="AH274" t="str">
        <f>IF(tblRoster[[#This Row],[직위]]="","일반","보직자")</f>
        <v>일반</v>
      </c>
      <c r="AI27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4" t="str">
        <f ca="1">IF(tblRoster[[#This Row],[복직예정일]]="","",TEXT(tblRoster[[#This Row],[복직예정일]],"yyyy-mm"))</f>
        <v/>
      </c>
      <c r="AM274" t="str">
        <f ca="1">IF(tblRoster[[#This Row],[복직예정일]]="","",tblRoster[[#This Row],[복직예정일]]-TODAY())</f>
        <v/>
      </c>
      <c r="AN274" t="str">
        <f ca="1">IF(tblRoster[[#This Row],[휴직잔여일수]]="","",IF(tblRoster[[#This Row],[휴직잔여일수]]&lt;=180,"6개월내","6개월이후"))</f>
        <v/>
      </c>
      <c r="AO27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5" spans="1:41" x14ac:dyDescent="0.3">
      <c r="A275">
        <v>900273</v>
      </c>
      <c r="B275" t="s">
        <v>490</v>
      </c>
      <c r="C275" t="s">
        <v>8</v>
      </c>
      <c r="D275">
        <v>45</v>
      </c>
      <c r="E275" t="s">
        <v>128</v>
      </c>
      <c r="F275" t="s">
        <v>266</v>
      </c>
      <c r="G275" t="s">
        <v>151</v>
      </c>
      <c r="H275" t="s">
        <v>209</v>
      </c>
      <c r="I275" t="s">
        <v>144</v>
      </c>
      <c r="J275" t="s">
        <v>145</v>
      </c>
      <c r="L275" t="s">
        <v>134</v>
      </c>
      <c r="M275" t="s">
        <v>135</v>
      </c>
      <c r="N275" s="1">
        <v>41671</v>
      </c>
      <c r="O275" s="1">
        <v>41671</v>
      </c>
      <c r="P275" s="1">
        <v>41671</v>
      </c>
      <c r="Q275" s="1">
        <v>41671</v>
      </c>
      <c r="R275">
        <v>12</v>
      </c>
      <c r="T27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75" t="str">
        <f>IF(tblRoster[[#This Row],[급수]]="4급(임기제)","4급",tblRoster[[#This Row],[급수]])</f>
        <v>6급</v>
      </c>
      <c r="V27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7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75" t="str">
        <f>IF(OR(tblRoster[[#This Row],[교직원상세구분]]="사회복무요원",tblRoster[[#This Row],[교직원상세구분]]="인턴(수습)"),"제외","포함")</f>
        <v>포함</v>
      </c>
      <c r="Y275">
        <f>1</f>
        <v>1</v>
      </c>
      <c r="Z275">
        <f>IF(tblRoster[[#This Row],[재직상태구분]]="휴직",1,0)</f>
        <v>0</v>
      </c>
      <c r="AA27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75">
        <f ca="1">IF(tblRoster[[#This Row],[본교발령시작일자]]="","",DATEDIF(tblRoster[[#This Row],[본교발령시작일자]],TODAY(),"Y"))</f>
        <v>12</v>
      </c>
      <c r="AC275">
        <f ca="1">IF(tblRoster[[#This Row],[최초발령시작일자]]="","",DATEDIF(tblRoster[[#This Row],[최초발령시작일자]],TODAY(),"Y"))</f>
        <v>12</v>
      </c>
      <c r="AD27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75">
        <f ca="1">IF(tblRoster[[#This Row],[직급발령시작일자]]="","",ROUND(YEARFRAC(tblRoster[[#This Row],[직급발령시작일자]],TODAY()),1))</f>
        <v>12.6</v>
      </c>
      <c r="AF27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75">
        <f ca="1">IF(OR(tblRoster[[#This Row],[공무원구분]]&lt;&gt;"공무원",tblRoster[[#This Row],[나이]]=""),"",YEAR(TODAY())+(60-tblRoster[[#This Row],[나이]]))</f>
        <v>2041</v>
      </c>
      <c r="AH275" t="str">
        <f>IF(tblRoster[[#This Row],[직위]]="","일반","보직자")</f>
        <v>일반</v>
      </c>
      <c r="AI27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5" t="str">
        <f ca="1">IF(tblRoster[[#This Row],[복직예정일]]="","",TEXT(tblRoster[[#This Row],[복직예정일]],"yyyy-mm"))</f>
        <v/>
      </c>
      <c r="AM275" t="str">
        <f ca="1">IF(tblRoster[[#This Row],[복직예정일]]="","",tblRoster[[#This Row],[복직예정일]]-TODAY())</f>
        <v/>
      </c>
      <c r="AN275" t="str">
        <f ca="1">IF(tblRoster[[#This Row],[휴직잔여일수]]="","",IF(tblRoster[[#This Row],[휴직잔여일수]]&lt;=180,"6개월내","6개월이후"))</f>
        <v/>
      </c>
      <c r="AO27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6" spans="1:41" x14ac:dyDescent="0.3">
      <c r="A276">
        <v>900274</v>
      </c>
      <c r="B276" t="s">
        <v>491</v>
      </c>
      <c r="C276" t="s">
        <v>8</v>
      </c>
      <c r="D276">
        <v>39</v>
      </c>
      <c r="E276" t="s">
        <v>128</v>
      </c>
      <c r="F276" t="s">
        <v>141</v>
      </c>
      <c r="G276" t="s">
        <v>130</v>
      </c>
      <c r="H276" t="s">
        <v>275</v>
      </c>
      <c r="I276" t="s">
        <v>144</v>
      </c>
      <c r="J276" t="s">
        <v>145</v>
      </c>
      <c r="L276" t="s">
        <v>134</v>
      </c>
      <c r="M276" t="s">
        <v>135</v>
      </c>
      <c r="N276" s="1">
        <v>45870</v>
      </c>
      <c r="O276" s="1">
        <v>45170</v>
      </c>
      <c r="P276" s="1">
        <v>45170</v>
      </c>
      <c r="Q276" s="1">
        <v>45170</v>
      </c>
      <c r="R276">
        <v>2</v>
      </c>
      <c r="T27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76" t="str">
        <f>IF(tblRoster[[#This Row],[급수]]="4급(임기제)","4급",tblRoster[[#This Row],[급수]])</f>
        <v>7급</v>
      </c>
      <c r="V27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7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76" t="str">
        <f>IF(OR(tblRoster[[#This Row],[교직원상세구분]]="사회복무요원",tblRoster[[#This Row],[교직원상세구분]]="인턴(수습)"),"제외","포함")</f>
        <v>포함</v>
      </c>
      <c r="Y276">
        <f>1</f>
        <v>1</v>
      </c>
      <c r="Z276">
        <f>IF(tblRoster[[#This Row],[재직상태구분]]="휴직",1,0)</f>
        <v>0</v>
      </c>
      <c r="AA27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76">
        <f ca="1">IF(tblRoster[[#This Row],[본교발령시작일자]]="","",DATEDIF(tblRoster[[#This Row],[본교발령시작일자]],TODAY(),"Y"))</f>
        <v>3</v>
      </c>
      <c r="AC276">
        <f ca="1">IF(tblRoster[[#This Row],[최초발령시작일자]]="","",DATEDIF(tblRoster[[#This Row],[최초발령시작일자]],TODAY(),"Y"))</f>
        <v>1</v>
      </c>
      <c r="AD27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76">
        <f ca="1">IF(tblRoster[[#This Row],[직급발령시작일자]]="","",ROUND(YEARFRAC(tblRoster[[#This Row],[직급발령시작일자]],TODAY()),1))</f>
        <v>3</v>
      </c>
      <c r="AF27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6">
        <f ca="1">IF(OR(tblRoster[[#This Row],[공무원구분]]&lt;&gt;"공무원",tblRoster[[#This Row],[나이]]=""),"",YEAR(TODAY())+(60-tblRoster[[#This Row],[나이]]))</f>
        <v>2047</v>
      </c>
      <c r="AH276" t="str">
        <f>IF(tblRoster[[#This Row],[직위]]="","일반","보직자")</f>
        <v>일반</v>
      </c>
      <c r="AI27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6" t="str">
        <f ca="1">IF(tblRoster[[#This Row],[복직예정일]]="","",TEXT(tblRoster[[#This Row],[복직예정일]],"yyyy-mm"))</f>
        <v/>
      </c>
      <c r="AM276" t="str">
        <f ca="1">IF(tblRoster[[#This Row],[복직예정일]]="","",tblRoster[[#This Row],[복직예정일]]-TODAY())</f>
        <v/>
      </c>
      <c r="AN276" t="str">
        <f ca="1">IF(tblRoster[[#This Row],[휴직잔여일수]]="","",IF(tblRoster[[#This Row],[휴직잔여일수]]&lt;=180,"6개월내","6개월이후"))</f>
        <v/>
      </c>
      <c r="AO27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7" spans="1:41" x14ac:dyDescent="0.3">
      <c r="A277">
        <v>900275</v>
      </c>
      <c r="B277" t="s">
        <v>492</v>
      </c>
      <c r="C277" t="s">
        <v>8</v>
      </c>
      <c r="D277">
        <v>53</v>
      </c>
      <c r="E277" t="s">
        <v>128</v>
      </c>
      <c r="F277" t="s">
        <v>129</v>
      </c>
      <c r="G277" t="s">
        <v>202</v>
      </c>
      <c r="H277" t="s">
        <v>131</v>
      </c>
      <c r="I277" t="s">
        <v>132</v>
      </c>
      <c r="J277" t="s">
        <v>133</v>
      </c>
      <c r="L277" t="s">
        <v>134</v>
      </c>
      <c r="M277" t="s">
        <v>135</v>
      </c>
      <c r="N277" s="1">
        <v>36739</v>
      </c>
      <c r="O277" s="1">
        <v>36739</v>
      </c>
      <c r="P277" s="1">
        <v>46357</v>
      </c>
      <c r="Q277" s="1">
        <v>46357</v>
      </c>
      <c r="R277">
        <v>26</v>
      </c>
      <c r="T27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77" t="str">
        <f>IF(tblRoster[[#This Row],[급수]]="4급(임기제)","4급",tblRoster[[#This Row],[급수]])</f>
        <v>대학회계계약직</v>
      </c>
      <c r="V27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7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77" t="str">
        <f>IF(OR(tblRoster[[#This Row],[교직원상세구분]]="사회복무요원",tblRoster[[#This Row],[교직원상세구분]]="인턴(수습)"),"제외","포함")</f>
        <v>포함</v>
      </c>
      <c r="Y277">
        <f>1</f>
        <v>1</v>
      </c>
      <c r="Z277">
        <f>IF(tblRoster[[#This Row],[재직상태구분]]="휴직",1,0)</f>
        <v>0</v>
      </c>
      <c r="AA27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77">
        <f ca="1">IF(tblRoster[[#This Row],[본교발령시작일자]]="","",DATEDIF(tblRoster[[#This Row],[본교발령시작일자]],TODAY(),"Y"))</f>
        <v>26</v>
      </c>
      <c r="AC277">
        <f ca="1">IF(tblRoster[[#This Row],[최초발령시작일자]]="","",DATEDIF(tblRoster[[#This Row],[최초발령시작일자]],TODAY(),"Y"))</f>
        <v>26</v>
      </c>
      <c r="AD27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77">
        <f ca="1">IF(tblRoster[[#This Row],[직급발령시작일자]]="","",ROUND(YEARFRAC(tblRoster[[#This Row],[직급발령시작일자]],TODAY()),1))</f>
        <v>0.2</v>
      </c>
      <c r="AF27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7" t="str">
        <f ca="1">IF(OR(tblRoster[[#This Row],[공무원구분]]&lt;&gt;"공무원",tblRoster[[#This Row],[나이]]=""),"",YEAR(TODAY())+(60-tblRoster[[#This Row],[나이]]))</f>
        <v/>
      </c>
      <c r="AH277" t="str">
        <f>IF(tblRoster[[#This Row],[직위]]="","일반","보직자")</f>
        <v>일반</v>
      </c>
      <c r="AI27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7" t="str">
        <f ca="1">IF(tblRoster[[#This Row],[복직예정일]]="","",TEXT(tblRoster[[#This Row],[복직예정일]],"yyyy-mm"))</f>
        <v/>
      </c>
      <c r="AM277" t="str">
        <f ca="1">IF(tblRoster[[#This Row],[복직예정일]]="","",tblRoster[[#This Row],[복직예정일]]-TODAY())</f>
        <v/>
      </c>
      <c r="AN277" t="str">
        <f ca="1">IF(tblRoster[[#This Row],[휴직잔여일수]]="","",IF(tblRoster[[#This Row],[휴직잔여일수]]&lt;=180,"6개월내","6개월이후"))</f>
        <v/>
      </c>
      <c r="AO27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8" spans="1:41" x14ac:dyDescent="0.3">
      <c r="A278">
        <v>900276</v>
      </c>
      <c r="B278" t="s">
        <v>493</v>
      </c>
      <c r="C278" t="s">
        <v>8</v>
      </c>
      <c r="D278">
        <v>39</v>
      </c>
      <c r="E278" t="s">
        <v>128</v>
      </c>
      <c r="F278" t="s">
        <v>266</v>
      </c>
      <c r="G278" t="s">
        <v>151</v>
      </c>
      <c r="H278" t="s">
        <v>163</v>
      </c>
      <c r="I278" t="s">
        <v>144</v>
      </c>
      <c r="J278" t="s">
        <v>145</v>
      </c>
      <c r="L278" t="s">
        <v>134</v>
      </c>
      <c r="M278" t="s">
        <v>135</v>
      </c>
      <c r="N278" s="1">
        <v>39845</v>
      </c>
      <c r="O278" s="1">
        <v>39845</v>
      </c>
      <c r="P278" s="1">
        <v>40969</v>
      </c>
      <c r="Q278" s="1">
        <v>40969</v>
      </c>
      <c r="R278">
        <v>17</v>
      </c>
      <c r="T27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78" t="str">
        <f>IF(tblRoster[[#This Row],[급수]]="4급(임기제)","4급",tblRoster[[#This Row],[급수]])</f>
        <v>6급</v>
      </c>
      <c r="V27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7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78" t="str">
        <f>IF(OR(tblRoster[[#This Row],[교직원상세구분]]="사회복무요원",tblRoster[[#This Row],[교직원상세구분]]="인턴(수습)"),"제외","포함")</f>
        <v>포함</v>
      </c>
      <c r="Y278">
        <f>1</f>
        <v>1</v>
      </c>
      <c r="Z278">
        <f>IF(tblRoster[[#This Row],[재직상태구분]]="휴직",1,0)</f>
        <v>0</v>
      </c>
      <c r="AA27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78">
        <f ca="1">IF(tblRoster[[#This Row],[본교발령시작일자]]="","",DATEDIF(tblRoster[[#This Row],[본교발령시작일자]],TODAY(),"Y"))</f>
        <v>17</v>
      </c>
      <c r="AC278">
        <f ca="1">IF(tblRoster[[#This Row],[최초발령시작일자]]="","",DATEDIF(tblRoster[[#This Row],[최초발령시작일자]],TODAY(),"Y"))</f>
        <v>17</v>
      </c>
      <c r="AD27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78">
        <f ca="1">IF(tblRoster[[#This Row],[직급발령시작일자]]="","",ROUND(YEARFRAC(tblRoster[[#This Row],[직급발령시작일자]],TODAY()),1))</f>
        <v>14.5</v>
      </c>
      <c r="AF27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78">
        <f ca="1">IF(OR(tblRoster[[#This Row],[공무원구분]]&lt;&gt;"공무원",tblRoster[[#This Row],[나이]]=""),"",YEAR(TODAY())+(60-tblRoster[[#This Row],[나이]]))</f>
        <v>2047</v>
      </c>
      <c r="AH278" t="str">
        <f>IF(tblRoster[[#This Row],[직위]]="","일반","보직자")</f>
        <v>일반</v>
      </c>
      <c r="AI27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8" t="str">
        <f ca="1">IF(tblRoster[[#This Row],[복직예정일]]="","",TEXT(tblRoster[[#This Row],[복직예정일]],"yyyy-mm"))</f>
        <v/>
      </c>
      <c r="AM278" t="str">
        <f ca="1">IF(tblRoster[[#This Row],[복직예정일]]="","",tblRoster[[#This Row],[복직예정일]]-TODAY())</f>
        <v/>
      </c>
      <c r="AN278" t="str">
        <f ca="1">IF(tblRoster[[#This Row],[휴직잔여일수]]="","",IF(tblRoster[[#This Row],[휴직잔여일수]]&lt;=180,"6개월내","6개월이후"))</f>
        <v/>
      </c>
      <c r="AO27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79" spans="1:41" x14ac:dyDescent="0.3">
      <c r="A279">
        <v>900277</v>
      </c>
      <c r="B279" t="s">
        <v>494</v>
      </c>
      <c r="C279" t="s">
        <v>8</v>
      </c>
      <c r="D279">
        <v>26</v>
      </c>
      <c r="E279" t="s">
        <v>150</v>
      </c>
      <c r="F279" t="s">
        <v>266</v>
      </c>
      <c r="G279" t="s">
        <v>222</v>
      </c>
      <c r="H279" t="s">
        <v>416</v>
      </c>
      <c r="I279" t="s">
        <v>132</v>
      </c>
      <c r="J279" t="s">
        <v>133</v>
      </c>
      <c r="L279" t="s">
        <v>134</v>
      </c>
      <c r="M279" t="s">
        <v>135</v>
      </c>
      <c r="N279" s="1">
        <v>44835</v>
      </c>
      <c r="O279" s="1">
        <v>45261</v>
      </c>
      <c r="P279" s="1">
        <v>45261</v>
      </c>
      <c r="Q279" s="1">
        <v>45261</v>
      </c>
      <c r="R279">
        <v>6</v>
      </c>
      <c r="T27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79" t="str">
        <f>IF(tblRoster[[#This Row],[급수]]="4급(임기제)","4급",tblRoster[[#This Row],[급수]])</f>
        <v>대학회계계약직</v>
      </c>
      <c r="V27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7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79" t="str">
        <f>IF(OR(tblRoster[[#This Row],[교직원상세구분]]="사회복무요원",tblRoster[[#This Row],[교직원상세구분]]="인턴(수습)"),"제외","포함")</f>
        <v>포함</v>
      </c>
      <c r="Y279">
        <f>1</f>
        <v>1</v>
      </c>
      <c r="Z279">
        <f>IF(tblRoster[[#This Row],[재직상태구분]]="휴직",1,0)</f>
        <v>0</v>
      </c>
      <c r="AA27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79">
        <f ca="1">IF(tblRoster[[#This Row],[본교발령시작일자]]="","",DATEDIF(tblRoster[[#This Row],[본교발령시작일자]],TODAY(),"Y"))</f>
        <v>2</v>
      </c>
      <c r="AC279">
        <f ca="1">IF(tblRoster[[#This Row],[최초발령시작일자]]="","",DATEDIF(tblRoster[[#This Row],[최초발령시작일자]],TODAY(),"Y"))</f>
        <v>3</v>
      </c>
      <c r="AD27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79">
        <f ca="1">IF(tblRoster[[#This Row],[직급발령시작일자]]="","",ROUND(YEARFRAC(tblRoster[[#This Row],[직급발령시작일자]],TODAY()),1))</f>
        <v>2.8</v>
      </c>
      <c r="AF27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79" t="str">
        <f ca="1">IF(OR(tblRoster[[#This Row],[공무원구분]]&lt;&gt;"공무원",tblRoster[[#This Row],[나이]]=""),"",YEAR(TODAY())+(60-tblRoster[[#This Row],[나이]]))</f>
        <v/>
      </c>
      <c r="AH279" t="str">
        <f>IF(tblRoster[[#This Row],[직위]]="","일반","보직자")</f>
        <v>일반</v>
      </c>
      <c r="AI27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7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7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79" t="str">
        <f ca="1">IF(tblRoster[[#This Row],[복직예정일]]="","",TEXT(tblRoster[[#This Row],[복직예정일]],"yyyy-mm"))</f>
        <v/>
      </c>
      <c r="AM279" t="str">
        <f ca="1">IF(tblRoster[[#This Row],[복직예정일]]="","",tblRoster[[#This Row],[복직예정일]]-TODAY())</f>
        <v/>
      </c>
      <c r="AN279" t="str">
        <f ca="1">IF(tblRoster[[#This Row],[휴직잔여일수]]="","",IF(tblRoster[[#This Row],[휴직잔여일수]]&lt;=180,"6개월내","6개월이후"))</f>
        <v/>
      </c>
      <c r="AO27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0" spans="1:41" x14ac:dyDescent="0.3">
      <c r="A280">
        <v>900278</v>
      </c>
      <c r="B280" t="s">
        <v>63</v>
      </c>
      <c r="C280" t="s">
        <v>8</v>
      </c>
      <c r="D280">
        <v>50</v>
      </c>
      <c r="E280" t="s">
        <v>150</v>
      </c>
      <c r="F280" t="s">
        <v>184</v>
      </c>
      <c r="G280" t="s">
        <v>202</v>
      </c>
      <c r="H280" t="s">
        <v>165</v>
      </c>
      <c r="I280" t="s">
        <v>144</v>
      </c>
      <c r="J280" t="s">
        <v>145</v>
      </c>
      <c r="L280" t="s">
        <v>135</v>
      </c>
      <c r="M280" t="s">
        <v>135</v>
      </c>
      <c r="N280" s="1">
        <v>40026</v>
      </c>
      <c r="O280" s="1">
        <v>40026</v>
      </c>
      <c r="P280" s="1">
        <v>41030</v>
      </c>
      <c r="Q280" s="1">
        <v>41030</v>
      </c>
      <c r="R280">
        <v>19</v>
      </c>
      <c r="S280" t="s">
        <v>495</v>
      </c>
      <c r="T28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80" t="str">
        <f>IF(tblRoster[[#This Row],[급수]]="4급(임기제)","4급",tblRoster[[#This Row],[급수]])</f>
        <v>6급</v>
      </c>
      <c r="V28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8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0" t="str">
        <f>IF(OR(tblRoster[[#This Row],[교직원상세구분]]="사회복무요원",tblRoster[[#This Row],[교직원상세구분]]="인턴(수습)"),"제외","포함")</f>
        <v>포함</v>
      </c>
      <c r="Y280">
        <f>1</f>
        <v>1</v>
      </c>
      <c r="Z280">
        <f>IF(tblRoster[[#This Row],[재직상태구분]]="휴직",1,0)</f>
        <v>0</v>
      </c>
      <c r="AA28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80">
        <f ca="1">IF(tblRoster[[#This Row],[본교발령시작일자]]="","",DATEDIF(tblRoster[[#This Row],[본교발령시작일자]],TODAY(),"Y"))</f>
        <v>17</v>
      </c>
      <c r="AC280">
        <f ca="1">IF(tblRoster[[#This Row],[최초발령시작일자]]="","",DATEDIF(tblRoster[[#This Row],[최초발령시작일자]],TODAY(),"Y"))</f>
        <v>17</v>
      </c>
      <c r="AD28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80">
        <f ca="1">IF(tblRoster[[#This Row],[직급발령시작일자]]="","",ROUND(YEARFRAC(tblRoster[[#This Row],[직급발령시작일자]],TODAY()),1))</f>
        <v>14.4</v>
      </c>
      <c r="AF280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80">
        <f ca="1">IF(OR(tblRoster[[#This Row],[공무원구분]]&lt;&gt;"공무원",tblRoster[[#This Row],[나이]]=""),"",YEAR(TODAY())+(60-tblRoster[[#This Row],[나이]]))</f>
        <v>2036</v>
      </c>
      <c r="AH280" t="str">
        <f>IF(tblRoster[[#This Row],[직위]]="","일반","보직자")</f>
        <v>일반</v>
      </c>
      <c r="AI28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0" t="str">
        <f ca="1">IF(tblRoster[[#This Row],[복직예정일]]="","",TEXT(tblRoster[[#This Row],[복직예정일]],"yyyy-mm"))</f>
        <v/>
      </c>
      <c r="AM280" t="str">
        <f ca="1">IF(tblRoster[[#This Row],[복직예정일]]="","",tblRoster[[#This Row],[복직예정일]]-TODAY())</f>
        <v/>
      </c>
      <c r="AN280" t="str">
        <f ca="1">IF(tblRoster[[#This Row],[휴직잔여일수]]="","",IF(tblRoster[[#This Row],[휴직잔여일수]]&lt;=180,"6개월내","6개월이후"))</f>
        <v/>
      </c>
      <c r="AO28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1" spans="1:41" x14ac:dyDescent="0.3">
      <c r="A281">
        <v>900279</v>
      </c>
      <c r="B281" t="s">
        <v>64</v>
      </c>
      <c r="C281" t="s">
        <v>16</v>
      </c>
      <c r="D281">
        <v>52</v>
      </c>
      <c r="E281" t="s">
        <v>150</v>
      </c>
      <c r="F281" t="s">
        <v>147</v>
      </c>
      <c r="G281" t="s">
        <v>202</v>
      </c>
      <c r="H281" t="s">
        <v>163</v>
      </c>
      <c r="I281" t="s">
        <v>144</v>
      </c>
      <c r="J281" t="s">
        <v>145</v>
      </c>
      <c r="L281" t="s">
        <v>135</v>
      </c>
      <c r="M281" t="s">
        <v>135</v>
      </c>
      <c r="N281" s="1">
        <v>37926</v>
      </c>
      <c r="O281" s="1">
        <v>37926</v>
      </c>
      <c r="P281" s="1">
        <v>42675</v>
      </c>
      <c r="Q281" s="1">
        <v>42675</v>
      </c>
      <c r="R281">
        <v>25</v>
      </c>
      <c r="S281" t="s">
        <v>496</v>
      </c>
      <c r="T28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81" t="str">
        <f>IF(tblRoster[[#This Row],[급수]]="4급(임기제)","4급",tblRoster[[#This Row],[급수]])</f>
        <v>6급</v>
      </c>
      <c r="V28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8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1" t="str">
        <f>IF(OR(tblRoster[[#This Row],[교직원상세구분]]="사회복무요원",tblRoster[[#This Row],[교직원상세구분]]="인턴(수습)"),"제외","포함")</f>
        <v>포함</v>
      </c>
      <c r="Y281">
        <f>1</f>
        <v>1</v>
      </c>
      <c r="Z281">
        <f>IF(tblRoster[[#This Row],[재직상태구분]]="휴직",1,0)</f>
        <v>1</v>
      </c>
      <c r="AA28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81">
        <f ca="1">IF(tblRoster[[#This Row],[본교발령시작일자]]="","",DATEDIF(tblRoster[[#This Row],[본교발령시작일자]],TODAY(),"Y"))</f>
        <v>22</v>
      </c>
      <c r="AC281">
        <f ca="1">IF(tblRoster[[#This Row],[최초발령시작일자]]="","",DATEDIF(tblRoster[[#This Row],[최초발령시작일자]],TODAY(),"Y"))</f>
        <v>22</v>
      </c>
      <c r="AD28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81">
        <f ca="1">IF(tblRoster[[#This Row],[직급발령시작일자]]="","",ROUND(YEARFRAC(tblRoster[[#This Row],[직급발령시작일자]],TODAY()),1))</f>
        <v>9.9</v>
      </c>
      <c r="AF28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81">
        <f ca="1">IF(OR(tblRoster[[#This Row],[공무원구분]]&lt;&gt;"공무원",tblRoster[[#This Row],[나이]]=""),"",YEAR(TODAY())+(60-tblRoster[[#This Row],[나이]]))</f>
        <v>2034</v>
      </c>
      <c r="AH281" t="str">
        <f>IF(tblRoster[[#This Row],[직위]]="","일반","보직자")</f>
        <v>일반</v>
      </c>
      <c r="AI281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46225</v>
      </c>
      <c r="AJ28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질병휴직(일반질병)</v>
      </c>
      <c r="AK281" s="1">
        <f ca="1">IF(tblRoster[[#This Row],[현재휴직시작일]]="","",IFERROR(INDEX(tblLeave[종료일],MATCH(tblRoster[[#This Row],[교직원번호]]&amp;"|"&amp;tblRoster[[#This Row],[현재휴직시작일]],tblLeave[매칭키],0)),""))</f>
        <v>46409</v>
      </c>
      <c r="AL281" t="str">
        <f ca="1">IF(tblRoster[[#This Row],[복직예정일]]="","",TEXT(tblRoster[[#This Row],[복직예정일]],"yyyy-mm"))</f>
        <v>2027-01</v>
      </c>
      <c r="AM281">
        <f ca="1">IF(tblRoster[[#This Row],[복직예정일]]="","",tblRoster[[#This Row],[복직예정일]]-TODAY())</f>
        <v>137</v>
      </c>
      <c r="AN281" t="str">
        <f ca="1">IF(tblRoster[[#This Row],[휴직잔여일수]]="","",IF(tblRoster[[#This Row],[휴직잔여일수]]&lt;=180,"6개월내","6개월이후"))</f>
        <v>6개월내</v>
      </c>
      <c r="AO28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2" spans="1:41" x14ac:dyDescent="0.3">
      <c r="A282">
        <v>900280</v>
      </c>
      <c r="B282" t="s">
        <v>497</v>
      </c>
      <c r="C282" t="s">
        <v>8</v>
      </c>
      <c r="D282">
        <v>51</v>
      </c>
      <c r="E282" t="s">
        <v>128</v>
      </c>
      <c r="F282" t="s">
        <v>171</v>
      </c>
      <c r="G282" t="s">
        <v>207</v>
      </c>
      <c r="H282" t="s">
        <v>223</v>
      </c>
      <c r="I282" t="s">
        <v>144</v>
      </c>
      <c r="J282" t="s">
        <v>145</v>
      </c>
      <c r="L282" t="s">
        <v>135</v>
      </c>
      <c r="M282" t="s">
        <v>135</v>
      </c>
      <c r="N282" s="1">
        <v>37438</v>
      </c>
      <c r="O282" s="1">
        <v>45778</v>
      </c>
      <c r="P282" s="1">
        <v>45778</v>
      </c>
      <c r="Q282" s="1">
        <v>45778</v>
      </c>
      <c r="T28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82" t="str">
        <f>IF(tblRoster[[#This Row],[급수]]="4급(임기제)","4급",tblRoster[[#This Row],[급수]])</f>
        <v>8급</v>
      </c>
      <c r="V28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8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2" t="str">
        <f>IF(OR(tblRoster[[#This Row],[교직원상세구분]]="사회복무요원",tblRoster[[#This Row],[교직원상세구분]]="인턴(수습)"),"제외","포함")</f>
        <v>포함</v>
      </c>
      <c r="Y282">
        <f>1</f>
        <v>1</v>
      </c>
      <c r="Z282">
        <f>IF(tblRoster[[#This Row],[재직상태구분]]="휴직",1,0)</f>
        <v>0</v>
      </c>
      <c r="AA28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82">
        <f ca="1">IF(tblRoster[[#This Row],[본교발령시작일자]]="","",DATEDIF(tblRoster[[#This Row],[본교발령시작일자]],TODAY(),"Y"))</f>
        <v>1</v>
      </c>
      <c r="AC282">
        <f ca="1">IF(tblRoster[[#This Row],[최초발령시작일자]]="","",DATEDIF(tblRoster[[#This Row],[최초발령시작일자]],TODAY(),"Y"))</f>
        <v>24</v>
      </c>
      <c r="AD28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82">
        <f ca="1">IF(tblRoster[[#This Row],[직급발령시작일자]]="","",ROUND(YEARFRAC(tblRoster[[#This Row],[직급발령시작일자]],TODAY()),1))</f>
        <v>1.4</v>
      </c>
      <c r="AF28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82">
        <f ca="1">IF(OR(tblRoster[[#This Row],[공무원구분]]&lt;&gt;"공무원",tblRoster[[#This Row],[나이]]=""),"",YEAR(TODAY())+(60-tblRoster[[#This Row],[나이]]))</f>
        <v>2035</v>
      </c>
      <c r="AH282" t="str">
        <f>IF(tblRoster[[#This Row],[직위]]="","일반","보직자")</f>
        <v>일반</v>
      </c>
      <c r="AI28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2" t="str">
        <f ca="1">IF(tblRoster[[#This Row],[복직예정일]]="","",TEXT(tblRoster[[#This Row],[복직예정일]],"yyyy-mm"))</f>
        <v/>
      </c>
      <c r="AM282" t="str">
        <f ca="1">IF(tblRoster[[#This Row],[복직예정일]]="","",tblRoster[[#This Row],[복직예정일]]-TODAY())</f>
        <v/>
      </c>
      <c r="AN282" t="str">
        <f ca="1">IF(tblRoster[[#This Row],[휴직잔여일수]]="","",IF(tblRoster[[#This Row],[휴직잔여일수]]&lt;=180,"6개월내","6개월이후"))</f>
        <v/>
      </c>
      <c r="AO28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3" spans="1:41" x14ac:dyDescent="0.3">
      <c r="A283">
        <v>900281</v>
      </c>
      <c r="B283" t="s">
        <v>498</v>
      </c>
      <c r="C283" t="s">
        <v>8</v>
      </c>
      <c r="D283">
        <v>25</v>
      </c>
      <c r="E283" t="s">
        <v>128</v>
      </c>
      <c r="F283" t="s">
        <v>154</v>
      </c>
      <c r="G283" t="s">
        <v>182</v>
      </c>
      <c r="H283" t="s">
        <v>238</v>
      </c>
      <c r="I283" t="s">
        <v>239</v>
      </c>
      <c r="J283" t="s">
        <v>133</v>
      </c>
      <c r="L283" t="s">
        <v>134</v>
      </c>
      <c r="M283" t="s">
        <v>135</v>
      </c>
      <c r="N283" s="1">
        <v>44927</v>
      </c>
      <c r="O283" s="1">
        <v>44927</v>
      </c>
      <c r="P283" s="1">
        <v>44927</v>
      </c>
      <c r="Q283" s="1">
        <v>44927</v>
      </c>
      <c r="R283">
        <v>5</v>
      </c>
      <c r="T28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83" t="str">
        <f>IF(tblRoster[[#This Row],[급수]]="4급(임기제)","4급",tblRoster[[#This Row],[급수]])</f>
        <v>대학회계직</v>
      </c>
      <c r="V28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8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83" t="str">
        <f>IF(OR(tblRoster[[#This Row],[교직원상세구분]]="사회복무요원",tblRoster[[#This Row],[교직원상세구분]]="인턴(수습)"),"제외","포함")</f>
        <v>포함</v>
      </c>
      <c r="Y283">
        <f>1</f>
        <v>1</v>
      </c>
      <c r="Z283">
        <f>IF(tblRoster[[#This Row],[재직상태구분]]="휴직",1,0)</f>
        <v>0</v>
      </c>
      <c r="AA28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83">
        <f ca="1">IF(tblRoster[[#This Row],[본교발령시작일자]]="","",DATEDIF(tblRoster[[#This Row],[본교발령시작일자]],TODAY(),"Y"))</f>
        <v>3</v>
      </c>
      <c r="AC283">
        <f ca="1">IF(tblRoster[[#This Row],[최초발령시작일자]]="","",DATEDIF(tblRoster[[#This Row],[최초발령시작일자]],TODAY(),"Y"))</f>
        <v>3</v>
      </c>
      <c r="AD28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83">
        <f ca="1">IF(tblRoster[[#This Row],[직급발령시작일자]]="","",ROUND(YEARFRAC(tblRoster[[#This Row],[직급발령시작일자]],TODAY()),1))</f>
        <v>3.7</v>
      </c>
      <c r="AF28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83" t="str">
        <f ca="1">IF(OR(tblRoster[[#This Row],[공무원구분]]&lt;&gt;"공무원",tblRoster[[#This Row],[나이]]=""),"",YEAR(TODAY())+(60-tblRoster[[#This Row],[나이]]))</f>
        <v/>
      </c>
      <c r="AH283" t="str">
        <f>IF(tblRoster[[#This Row],[직위]]="","일반","보직자")</f>
        <v>일반</v>
      </c>
      <c r="AI28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3" t="str">
        <f ca="1">IF(tblRoster[[#This Row],[복직예정일]]="","",TEXT(tblRoster[[#This Row],[복직예정일]],"yyyy-mm"))</f>
        <v/>
      </c>
      <c r="AM283" t="str">
        <f ca="1">IF(tblRoster[[#This Row],[복직예정일]]="","",tblRoster[[#This Row],[복직예정일]]-TODAY())</f>
        <v/>
      </c>
      <c r="AN283" t="str">
        <f ca="1">IF(tblRoster[[#This Row],[휴직잔여일수]]="","",IF(tblRoster[[#This Row],[휴직잔여일수]]&lt;=180,"6개월내","6개월이후"))</f>
        <v/>
      </c>
      <c r="AO28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4" spans="1:41" x14ac:dyDescent="0.3">
      <c r="A284">
        <v>900282</v>
      </c>
      <c r="B284" t="s">
        <v>499</v>
      </c>
      <c r="C284" t="s">
        <v>8</v>
      </c>
      <c r="D284">
        <v>52</v>
      </c>
      <c r="E284" t="s">
        <v>150</v>
      </c>
      <c r="F284" t="s">
        <v>141</v>
      </c>
      <c r="G284" t="s">
        <v>173</v>
      </c>
      <c r="H284" t="s">
        <v>200</v>
      </c>
      <c r="I284" t="s">
        <v>144</v>
      </c>
      <c r="J284" t="s">
        <v>145</v>
      </c>
      <c r="L284" t="s">
        <v>134</v>
      </c>
      <c r="M284" t="s">
        <v>135</v>
      </c>
      <c r="N284" s="1">
        <v>41518</v>
      </c>
      <c r="O284" s="1">
        <v>41518</v>
      </c>
      <c r="P284" s="1">
        <v>42767</v>
      </c>
      <c r="Q284" s="1">
        <v>42767</v>
      </c>
      <c r="T28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284" t="str">
        <f>IF(tblRoster[[#This Row],[급수]]="4급(임기제)","4급",tblRoster[[#This Row],[급수]])</f>
        <v>5급</v>
      </c>
      <c r="V28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28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4" t="str">
        <f>IF(OR(tblRoster[[#This Row],[교직원상세구분]]="사회복무요원",tblRoster[[#This Row],[교직원상세구분]]="인턴(수습)"),"제외","포함")</f>
        <v>포함</v>
      </c>
      <c r="Y284">
        <f>1</f>
        <v>1</v>
      </c>
      <c r="Z284">
        <f>IF(tblRoster[[#This Row],[재직상태구분]]="휴직",1,0)</f>
        <v>0</v>
      </c>
      <c r="AA28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84">
        <f ca="1">IF(tblRoster[[#This Row],[본교발령시작일자]]="","",DATEDIF(tblRoster[[#This Row],[본교발령시작일자]],TODAY(),"Y"))</f>
        <v>13</v>
      </c>
      <c r="AC284">
        <f ca="1">IF(tblRoster[[#This Row],[최초발령시작일자]]="","",DATEDIF(tblRoster[[#This Row],[최초발령시작일자]],TODAY(),"Y"))</f>
        <v>13</v>
      </c>
      <c r="AD28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84">
        <f ca="1">IF(tblRoster[[#This Row],[직급발령시작일자]]="","",ROUND(YEARFRAC(tblRoster[[#This Row],[직급발령시작일자]],TODAY()),1))</f>
        <v>9.6</v>
      </c>
      <c r="AF28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84">
        <f ca="1">IF(OR(tblRoster[[#This Row],[공무원구분]]&lt;&gt;"공무원",tblRoster[[#This Row],[나이]]=""),"",YEAR(TODAY())+(60-tblRoster[[#This Row],[나이]]))</f>
        <v>2034</v>
      </c>
      <c r="AH284" t="str">
        <f>IF(tblRoster[[#This Row],[직위]]="","일반","보직자")</f>
        <v>일반</v>
      </c>
      <c r="AI28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4" t="str">
        <f ca="1">IF(tblRoster[[#This Row],[복직예정일]]="","",TEXT(tblRoster[[#This Row],[복직예정일]],"yyyy-mm"))</f>
        <v/>
      </c>
      <c r="AM284" t="str">
        <f ca="1">IF(tblRoster[[#This Row],[복직예정일]]="","",tblRoster[[#This Row],[복직예정일]]-TODAY())</f>
        <v/>
      </c>
      <c r="AN284" t="str">
        <f ca="1">IF(tblRoster[[#This Row],[휴직잔여일수]]="","",IF(tblRoster[[#This Row],[휴직잔여일수]]&lt;=180,"6개월내","6개월이후"))</f>
        <v/>
      </c>
      <c r="AO28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5" spans="1:41" x14ac:dyDescent="0.3">
      <c r="A285">
        <v>900283</v>
      </c>
      <c r="B285" t="s">
        <v>500</v>
      </c>
      <c r="C285" t="s">
        <v>8</v>
      </c>
      <c r="D285">
        <v>28</v>
      </c>
      <c r="E285" t="s">
        <v>128</v>
      </c>
      <c r="F285" t="s">
        <v>141</v>
      </c>
      <c r="G285" t="s">
        <v>138</v>
      </c>
      <c r="H285" t="s">
        <v>148</v>
      </c>
      <c r="I285" t="s">
        <v>132</v>
      </c>
      <c r="J285" t="s">
        <v>133</v>
      </c>
      <c r="L285" t="s">
        <v>134</v>
      </c>
      <c r="M285" t="s">
        <v>135</v>
      </c>
      <c r="N285" s="1">
        <v>45292</v>
      </c>
      <c r="O285" s="1">
        <v>45292</v>
      </c>
      <c r="P285" s="1">
        <v>45748</v>
      </c>
      <c r="Q285" s="1">
        <v>45748</v>
      </c>
      <c r="R285">
        <v>2</v>
      </c>
      <c r="T28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85" t="str">
        <f>IF(tblRoster[[#This Row],[급수]]="4급(임기제)","4급",tblRoster[[#This Row],[급수]])</f>
        <v>대학회계계약직</v>
      </c>
      <c r="V28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8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85" t="str">
        <f>IF(OR(tblRoster[[#This Row],[교직원상세구분]]="사회복무요원",tblRoster[[#This Row],[교직원상세구분]]="인턴(수습)"),"제외","포함")</f>
        <v>포함</v>
      </c>
      <c r="Y285">
        <f>1</f>
        <v>1</v>
      </c>
      <c r="Z285">
        <f>IF(tblRoster[[#This Row],[재직상태구분]]="휴직",1,0)</f>
        <v>0</v>
      </c>
      <c r="AA28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85">
        <f ca="1">IF(tblRoster[[#This Row],[본교발령시작일자]]="","",DATEDIF(tblRoster[[#This Row],[본교발령시작일자]],TODAY(),"Y"))</f>
        <v>2</v>
      </c>
      <c r="AC285">
        <f ca="1">IF(tblRoster[[#This Row],[최초발령시작일자]]="","",DATEDIF(tblRoster[[#This Row],[최초발령시작일자]],TODAY(),"Y"))</f>
        <v>2</v>
      </c>
      <c r="AD28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85">
        <f ca="1">IF(tblRoster[[#This Row],[직급발령시작일자]]="","",ROUND(YEARFRAC(tblRoster[[#This Row],[직급발령시작일자]],TODAY()),1))</f>
        <v>1.4</v>
      </c>
      <c r="AF28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85" t="str">
        <f ca="1">IF(OR(tblRoster[[#This Row],[공무원구분]]&lt;&gt;"공무원",tblRoster[[#This Row],[나이]]=""),"",YEAR(TODAY())+(60-tblRoster[[#This Row],[나이]]))</f>
        <v/>
      </c>
      <c r="AH285" t="str">
        <f>IF(tblRoster[[#This Row],[직위]]="","일반","보직자")</f>
        <v>일반</v>
      </c>
      <c r="AI28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5" t="str">
        <f ca="1">IF(tblRoster[[#This Row],[복직예정일]]="","",TEXT(tblRoster[[#This Row],[복직예정일]],"yyyy-mm"))</f>
        <v/>
      </c>
      <c r="AM285" t="str">
        <f ca="1">IF(tblRoster[[#This Row],[복직예정일]]="","",tblRoster[[#This Row],[복직예정일]]-TODAY())</f>
        <v/>
      </c>
      <c r="AN285" t="str">
        <f ca="1">IF(tblRoster[[#This Row],[휴직잔여일수]]="","",IF(tblRoster[[#This Row],[휴직잔여일수]]&lt;=180,"6개월내","6개월이후"))</f>
        <v/>
      </c>
      <c r="AO28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6" spans="1:41" x14ac:dyDescent="0.3">
      <c r="A286">
        <v>900284</v>
      </c>
      <c r="B286" t="s">
        <v>501</v>
      </c>
      <c r="C286" t="s">
        <v>8</v>
      </c>
      <c r="D286">
        <v>32</v>
      </c>
      <c r="E286" t="s">
        <v>128</v>
      </c>
      <c r="F286" t="s">
        <v>141</v>
      </c>
      <c r="G286" t="s">
        <v>173</v>
      </c>
      <c r="H286" t="s">
        <v>381</v>
      </c>
      <c r="I286" t="s">
        <v>144</v>
      </c>
      <c r="J286" t="s">
        <v>145</v>
      </c>
      <c r="L286" t="s">
        <v>135</v>
      </c>
      <c r="M286" t="s">
        <v>135</v>
      </c>
      <c r="N286" s="1">
        <v>42826</v>
      </c>
      <c r="O286" s="1">
        <v>42826</v>
      </c>
      <c r="P286" s="1">
        <v>46082</v>
      </c>
      <c r="Q286" s="1">
        <v>46082</v>
      </c>
      <c r="R286">
        <v>9</v>
      </c>
      <c r="T28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86" t="str">
        <f>IF(tblRoster[[#This Row],[급수]]="4급(임기제)","4급",tblRoster[[#This Row],[급수]])</f>
        <v>7급</v>
      </c>
      <c r="V28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8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6" t="str">
        <f>IF(OR(tblRoster[[#This Row],[교직원상세구분]]="사회복무요원",tblRoster[[#This Row],[교직원상세구분]]="인턴(수습)"),"제외","포함")</f>
        <v>포함</v>
      </c>
      <c r="Y286">
        <f>1</f>
        <v>1</v>
      </c>
      <c r="Z286">
        <f>IF(tblRoster[[#This Row],[재직상태구분]]="휴직",1,0)</f>
        <v>0</v>
      </c>
      <c r="AA28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86">
        <f ca="1">IF(tblRoster[[#This Row],[본교발령시작일자]]="","",DATEDIF(tblRoster[[#This Row],[본교발령시작일자]],TODAY(),"Y"))</f>
        <v>9</v>
      </c>
      <c r="AC286">
        <f ca="1">IF(tblRoster[[#This Row],[최초발령시작일자]]="","",DATEDIF(tblRoster[[#This Row],[최초발령시작일자]],TODAY(),"Y"))</f>
        <v>9</v>
      </c>
      <c r="AD28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86">
        <f ca="1">IF(tblRoster[[#This Row],[직급발령시작일자]]="","",ROUND(YEARFRAC(tblRoster[[#This Row],[직급발령시작일자]],TODAY()),1))</f>
        <v>0.5</v>
      </c>
      <c r="AF28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86">
        <f ca="1">IF(OR(tblRoster[[#This Row],[공무원구분]]&lt;&gt;"공무원",tblRoster[[#This Row],[나이]]=""),"",YEAR(TODAY())+(60-tblRoster[[#This Row],[나이]]))</f>
        <v>2054</v>
      </c>
      <c r="AH286" t="str">
        <f>IF(tblRoster[[#This Row],[직위]]="","일반","보직자")</f>
        <v>일반</v>
      </c>
      <c r="AI28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6" t="str">
        <f ca="1">IF(tblRoster[[#This Row],[복직예정일]]="","",TEXT(tblRoster[[#This Row],[복직예정일]],"yyyy-mm"))</f>
        <v/>
      </c>
      <c r="AM286" t="str">
        <f ca="1">IF(tblRoster[[#This Row],[복직예정일]]="","",tblRoster[[#This Row],[복직예정일]]-TODAY())</f>
        <v/>
      </c>
      <c r="AN286" t="str">
        <f ca="1">IF(tblRoster[[#This Row],[휴직잔여일수]]="","",IF(tblRoster[[#This Row],[휴직잔여일수]]&lt;=180,"6개월내","6개월이후"))</f>
        <v/>
      </c>
      <c r="AO28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7" spans="1:41" x14ac:dyDescent="0.3">
      <c r="A287">
        <v>900285</v>
      </c>
      <c r="B287" t="s">
        <v>502</v>
      </c>
      <c r="C287" t="s">
        <v>8</v>
      </c>
      <c r="D287">
        <v>30</v>
      </c>
      <c r="E287" t="s">
        <v>128</v>
      </c>
      <c r="F287" t="s">
        <v>266</v>
      </c>
      <c r="G287" t="s">
        <v>130</v>
      </c>
      <c r="H287" t="s">
        <v>175</v>
      </c>
      <c r="I287" t="s">
        <v>144</v>
      </c>
      <c r="J287" t="s">
        <v>145</v>
      </c>
      <c r="L287" t="s">
        <v>134</v>
      </c>
      <c r="M287" t="s">
        <v>135</v>
      </c>
      <c r="N287" s="1">
        <v>44501</v>
      </c>
      <c r="O287" s="1">
        <v>44501</v>
      </c>
      <c r="P287" s="1">
        <v>44501</v>
      </c>
      <c r="Q287" s="1">
        <v>44501</v>
      </c>
      <c r="R287">
        <v>5</v>
      </c>
      <c r="T28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87" t="str">
        <f>IF(tblRoster[[#This Row],[급수]]="4급(임기제)","4급",tblRoster[[#This Row],[급수]])</f>
        <v>9급</v>
      </c>
      <c r="V28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8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7" t="str">
        <f>IF(OR(tblRoster[[#This Row],[교직원상세구분]]="사회복무요원",tblRoster[[#This Row],[교직원상세구분]]="인턴(수습)"),"제외","포함")</f>
        <v>포함</v>
      </c>
      <c r="Y287">
        <f>1</f>
        <v>1</v>
      </c>
      <c r="Z287">
        <f>IF(tblRoster[[#This Row],[재직상태구분]]="휴직",1,0)</f>
        <v>0</v>
      </c>
      <c r="AA28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87">
        <f ca="1">IF(tblRoster[[#This Row],[본교발령시작일자]]="","",DATEDIF(tblRoster[[#This Row],[본교발령시작일자]],TODAY(),"Y"))</f>
        <v>4</v>
      </c>
      <c r="AC287">
        <f ca="1">IF(tblRoster[[#This Row],[최초발령시작일자]]="","",DATEDIF(tblRoster[[#This Row],[최초발령시작일자]],TODAY(),"Y"))</f>
        <v>4</v>
      </c>
      <c r="AD28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87">
        <f ca="1">IF(tblRoster[[#This Row],[직급발령시작일자]]="","",ROUND(YEARFRAC(tblRoster[[#This Row],[직급발령시작일자]],TODAY()),1))</f>
        <v>4.9000000000000004</v>
      </c>
      <c r="AF28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87">
        <f ca="1">IF(OR(tblRoster[[#This Row],[공무원구분]]&lt;&gt;"공무원",tblRoster[[#This Row],[나이]]=""),"",YEAR(TODAY())+(60-tblRoster[[#This Row],[나이]]))</f>
        <v>2056</v>
      </c>
      <c r="AH287" t="str">
        <f>IF(tblRoster[[#This Row],[직위]]="","일반","보직자")</f>
        <v>일반</v>
      </c>
      <c r="AI28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7" t="str">
        <f ca="1">IF(tblRoster[[#This Row],[복직예정일]]="","",TEXT(tblRoster[[#This Row],[복직예정일]],"yyyy-mm"))</f>
        <v/>
      </c>
      <c r="AM287" t="str">
        <f ca="1">IF(tblRoster[[#This Row],[복직예정일]]="","",tblRoster[[#This Row],[복직예정일]]-TODAY())</f>
        <v/>
      </c>
      <c r="AN287" t="str">
        <f ca="1">IF(tblRoster[[#This Row],[휴직잔여일수]]="","",IF(tblRoster[[#This Row],[휴직잔여일수]]&lt;=180,"6개월내","6개월이후"))</f>
        <v/>
      </c>
      <c r="AO28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8" spans="1:41" x14ac:dyDescent="0.3">
      <c r="A288">
        <v>900286</v>
      </c>
      <c r="B288" t="s">
        <v>65</v>
      </c>
      <c r="C288" t="s">
        <v>8</v>
      </c>
      <c r="D288">
        <v>42</v>
      </c>
      <c r="E288" t="s">
        <v>150</v>
      </c>
      <c r="F288" t="s">
        <v>246</v>
      </c>
      <c r="G288" t="s">
        <v>169</v>
      </c>
      <c r="H288" t="s">
        <v>148</v>
      </c>
      <c r="I288" t="s">
        <v>132</v>
      </c>
      <c r="J288" t="s">
        <v>133</v>
      </c>
      <c r="L288" t="s">
        <v>134</v>
      </c>
      <c r="M288" t="s">
        <v>135</v>
      </c>
      <c r="N288" s="1">
        <v>44136</v>
      </c>
      <c r="O288" s="1">
        <v>44136</v>
      </c>
      <c r="P288" s="1">
        <v>44136</v>
      </c>
      <c r="Q288" s="1">
        <v>44136</v>
      </c>
      <c r="S288" t="s">
        <v>503</v>
      </c>
      <c r="T28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88" t="str">
        <f>IF(tblRoster[[#This Row],[급수]]="4급(임기제)","4급",tblRoster[[#This Row],[급수]])</f>
        <v>대학회계계약직</v>
      </c>
      <c r="V28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8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88" t="str">
        <f>IF(OR(tblRoster[[#This Row],[교직원상세구분]]="사회복무요원",tblRoster[[#This Row],[교직원상세구분]]="인턴(수습)"),"제외","포함")</f>
        <v>포함</v>
      </c>
      <c r="Y288">
        <f>1</f>
        <v>1</v>
      </c>
      <c r="Z288">
        <f>IF(tblRoster[[#This Row],[재직상태구분]]="휴직",1,0)</f>
        <v>0</v>
      </c>
      <c r="AA28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88">
        <f ca="1">IF(tblRoster[[#This Row],[본교발령시작일자]]="","",DATEDIF(tblRoster[[#This Row],[본교발령시작일자]],TODAY(),"Y"))</f>
        <v>5</v>
      </c>
      <c r="AC288">
        <f ca="1">IF(tblRoster[[#This Row],[최초발령시작일자]]="","",DATEDIF(tblRoster[[#This Row],[최초발령시작일자]],TODAY(),"Y"))</f>
        <v>5</v>
      </c>
      <c r="AD28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88">
        <f ca="1">IF(tblRoster[[#This Row],[직급발령시작일자]]="","",ROUND(YEARFRAC(tblRoster[[#This Row],[직급발령시작일자]],TODAY()),1))</f>
        <v>5.9</v>
      </c>
      <c r="AF28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88" t="str">
        <f ca="1">IF(OR(tblRoster[[#This Row],[공무원구분]]&lt;&gt;"공무원",tblRoster[[#This Row],[나이]]=""),"",YEAR(TODAY())+(60-tblRoster[[#This Row],[나이]]))</f>
        <v/>
      </c>
      <c r="AH288" t="str">
        <f>IF(tblRoster[[#This Row],[직위]]="","일반","보직자")</f>
        <v>일반</v>
      </c>
      <c r="AI28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8" t="str">
        <f ca="1">IF(tblRoster[[#This Row],[복직예정일]]="","",TEXT(tblRoster[[#This Row],[복직예정일]],"yyyy-mm"))</f>
        <v/>
      </c>
      <c r="AM288" t="str">
        <f ca="1">IF(tblRoster[[#This Row],[복직예정일]]="","",tblRoster[[#This Row],[복직예정일]]-TODAY())</f>
        <v/>
      </c>
      <c r="AN288" t="str">
        <f ca="1">IF(tblRoster[[#This Row],[휴직잔여일수]]="","",IF(tblRoster[[#This Row],[휴직잔여일수]]&lt;=180,"6개월내","6개월이후"))</f>
        <v/>
      </c>
      <c r="AO28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89" spans="1:41" x14ac:dyDescent="0.3">
      <c r="A289">
        <v>900287</v>
      </c>
      <c r="B289" t="s">
        <v>504</v>
      </c>
      <c r="C289" t="s">
        <v>8</v>
      </c>
      <c r="D289">
        <v>28</v>
      </c>
      <c r="E289" t="s">
        <v>128</v>
      </c>
      <c r="F289" t="s">
        <v>171</v>
      </c>
      <c r="G289" t="s">
        <v>169</v>
      </c>
      <c r="H289" t="s">
        <v>175</v>
      </c>
      <c r="I289" t="s">
        <v>144</v>
      </c>
      <c r="J289" t="s">
        <v>145</v>
      </c>
      <c r="L289" t="s">
        <v>134</v>
      </c>
      <c r="M289" t="s">
        <v>135</v>
      </c>
      <c r="N289" s="1">
        <v>43862</v>
      </c>
      <c r="O289" s="1">
        <v>43862</v>
      </c>
      <c r="P289" s="1">
        <v>46082</v>
      </c>
      <c r="Q289" s="1">
        <v>46082</v>
      </c>
      <c r="R289">
        <v>7</v>
      </c>
      <c r="T28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289" t="str">
        <f>IF(tblRoster[[#This Row],[급수]]="4급(임기제)","4급",tblRoster[[#This Row],[급수]])</f>
        <v>9급</v>
      </c>
      <c r="V28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28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89" t="str">
        <f>IF(OR(tblRoster[[#This Row],[교직원상세구분]]="사회복무요원",tblRoster[[#This Row],[교직원상세구분]]="인턴(수습)"),"제외","포함")</f>
        <v>포함</v>
      </c>
      <c r="Y289">
        <f>1</f>
        <v>1</v>
      </c>
      <c r="Z289">
        <f>IF(tblRoster[[#This Row],[재직상태구분]]="휴직",1,0)</f>
        <v>0</v>
      </c>
      <c r="AA28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89">
        <f ca="1">IF(tblRoster[[#This Row],[본교발령시작일자]]="","",DATEDIF(tblRoster[[#This Row],[본교발령시작일자]],TODAY(),"Y"))</f>
        <v>6</v>
      </c>
      <c r="AC289">
        <f ca="1">IF(tblRoster[[#This Row],[최초발령시작일자]]="","",DATEDIF(tblRoster[[#This Row],[최초발령시작일자]],TODAY(),"Y"))</f>
        <v>6</v>
      </c>
      <c r="AD28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89">
        <f ca="1">IF(tblRoster[[#This Row],[직급발령시작일자]]="","",ROUND(YEARFRAC(tblRoster[[#This Row],[직급발령시작일자]],TODAY()),1))</f>
        <v>0.5</v>
      </c>
      <c r="AF28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89">
        <f ca="1">IF(OR(tblRoster[[#This Row],[공무원구분]]&lt;&gt;"공무원",tblRoster[[#This Row],[나이]]=""),"",YEAR(TODAY())+(60-tblRoster[[#This Row],[나이]]))</f>
        <v>2058</v>
      </c>
      <c r="AH289" t="str">
        <f>IF(tblRoster[[#This Row],[직위]]="","일반","보직자")</f>
        <v>일반</v>
      </c>
      <c r="AI28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8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8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89" t="str">
        <f ca="1">IF(tblRoster[[#This Row],[복직예정일]]="","",TEXT(tblRoster[[#This Row],[복직예정일]],"yyyy-mm"))</f>
        <v/>
      </c>
      <c r="AM289" t="str">
        <f ca="1">IF(tblRoster[[#This Row],[복직예정일]]="","",tblRoster[[#This Row],[복직예정일]]-TODAY())</f>
        <v/>
      </c>
      <c r="AN289" t="str">
        <f ca="1">IF(tblRoster[[#This Row],[휴직잔여일수]]="","",IF(tblRoster[[#This Row],[휴직잔여일수]]&lt;=180,"6개월내","6개월이후"))</f>
        <v/>
      </c>
      <c r="AO28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0" spans="1:41" x14ac:dyDescent="0.3">
      <c r="A290">
        <v>900288</v>
      </c>
      <c r="B290" t="s">
        <v>505</v>
      </c>
      <c r="C290" t="s">
        <v>8</v>
      </c>
      <c r="D290">
        <v>29</v>
      </c>
      <c r="E290" t="s">
        <v>128</v>
      </c>
      <c r="F290" t="s">
        <v>154</v>
      </c>
      <c r="G290" t="s">
        <v>159</v>
      </c>
      <c r="H290" t="s">
        <v>487</v>
      </c>
      <c r="I290" t="s">
        <v>239</v>
      </c>
      <c r="J290" t="s">
        <v>133</v>
      </c>
      <c r="L290" t="s">
        <v>134</v>
      </c>
      <c r="M290" t="s">
        <v>135</v>
      </c>
      <c r="N290" s="1">
        <v>45352</v>
      </c>
      <c r="O290" s="1">
        <v>45352</v>
      </c>
      <c r="P290" s="1">
        <v>45352</v>
      </c>
      <c r="Q290" s="1">
        <v>45352</v>
      </c>
      <c r="R290">
        <v>2</v>
      </c>
      <c r="T29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290" t="str">
        <f>IF(tblRoster[[#This Row],[급수]]="4급(임기제)","4급",tblRoster[[#This Row],[급수]])</f>
        <v>대학회계직</v>
      </c>
      <c r="V29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29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290" t="str">
        <f>IF(OR(tblRoster[[#This Row],[교직원상세구분]]="사회복무요원",tblRoster[[#This Row],[교직원상세구분]]="인턴(수습)"),"제외","포함")</f>
        <v>포함</v>
      </c>
      <c r="Y290">
        <f>1</f>
        <v>1</v>
      </c>
      <c r="Z290">
        <f>IF(tblRoster[[#This Row],[재직상태구분]]="휴직",1,0)</f>
        <v>0</v>
      </c>
      <c r="AA29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90">
        <f ca="1">IF(tblRoster[[#This Row],[본교발령시작일자]]="","",DATEDIF(tblRoster[[#This Row],[본교발령시작일자]],TODAY(),"Y"))</f>
        <v>2</v>
      </c>
      <c r="AC290">
        <f ca="1">IF(tblRoster[[#This Row],[최초발령시작일자]]="","",DATEDIF(tblRoster[[#This Row],[최초발령시작일자]],TODAY(),"Y"))</f>
        <v>2</v>
      </c>
      <c r="AD29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90">
        <f ca="1">IF(tblRoster[[#This Row],[직급발령시작일자]]="","",ROUND(YEARFRAC(tblRoster[[#This Row],[직급발령시작일자]],TODAY()),1))</f>
        <v>2.5</v>
      </c>
      <c r="AF29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0" t="str">
        <f ca="1">IF(OR(tblRoster[[#This Row],[공무원구분]]&lt;&gt;"공무원",tblRoster[[#This Row],[나이]]=""),"",YEAR(TODAY())+(60-tblRoster[[#This Row],[나이]]))</f>
        <v/>
      </c>
      <c r="AH290" t="str">
        <f>IF(tblRoster[[#This Row],[직위]]="","일반","보직자")</f>
        <v>일반</v>
      </c>
      <c r="AI29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0" t="str">
        <f ca="1">IF(tblRoster[[#This Row],[복직예정일]]="","",TEXT(tblRoster[[#This Row],[복직예정일]],"yyyy-mm"))</f>
        <v/>
      </c>
      <c r="AM290" t="str">
        <f ca="1">IF(tblRoster[[#This Row],[복직예정일]]="","",tblRoster[[#This Row],[복직예정일]]-TODAY())</f>
        <v/>
      </c>
      <c r="AN290" t="str">
        <f ca="1">IF(tblRoster[[#This Row],[휴직잔여일수]]="","",IF(tblRoster[[#This Row],[휴직잔여일수]]&lt;=180,"6개월내","6개월이후"))</f>
        <v/>
      </c>
      <c r="AO29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1" spans="1:41" x14ac:dyDescent="0.3">
      <c r="A291">
        <v>900289</v>
      </c>
      <c r="B291" t="s">
        <v>506</v>
      </c>
      <c r="C291" t="s">
        <v>8</v>
      </c>
      <c r="D291">
        <v>34</v>
      </c>
      <c r="E291" t="s">
        <v>150</v>
      </c>
      <c r="F291" t="s">
        <v>236</v>
      </c>
      <c r="G291" t="s">
        <v>138</v>
      </c>
      <c r="H291" t="s">
        <v>381</v>
      </c>
      <c r="I291" t="s">
        <v>144</v>
      </c>
      <c r="J291" t="s">
        <v>145</v>
      </c>
      <c r="L291" t="s">
        <v>134</v>
      </c>
      <c r="M291" t="s">
        <v>135</v>
      </c>
      <c r="N291" s="1">
        <v>42614</v>
      </c>
      <c r="O291" s="1">
        <v>42614</v>
      </c>
      <c r="P291" s="1">
        <v>43040</v>
      </c>
      <c r="Q291" s="1">
        <v>43040</v>
      </c>
      <c r="R291">
        <v>12</v>
      </c>
      <c r="T29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291" t="str">
        <f>IF(tblRoster[[#This Row],[급수]]="4급(임기제)","4급",tblRoster[[#This Row],[급수]])</f>
        <v>7급</v>
      </c>
      <c r="V29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29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1" t="str">
        <f>IF(OR(tblRoster[[#This Row],[교직원상세구분]]="사회복무요원",tblRoster[[#This Row],[교직원상세구분]]="인턴(수습)"),"제외","포함")</f>
        <v>포함</v>
      </c>
      <c r="Y291">
        <f>1</f>
        <v>1</v>
      </c>
      <c r="Z291">
        <f>IF(tblRoster[[#This Row],[재직상태구분]]="휴직",1,0)</f>
        <v>0</v>
      </c>
      <c r="AA29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291">
        <f ca="1">IF(tblRoster[[#This Row],[본교발령시작일자]]="","",DATEDIF(tblRoster[[#This Row],[본교발령시작일자]],TODAY(),"Y"))</f>
        <v>10</v>
      </c>
      <c r="AC291">
        <f ca="1">IF(tblRoster[[#This Row],[최초발령시작일자]]="","",DATEDIF(tblRoster[[#This Row],[최초발령시작일자]],TODAY(),"Y"))</f>
        <v>10</v>
      </c>
      <c r="AD29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91">
        <f ca="1">IF(tblRoster[[#This Row],[직급발령시작일자]]="","",ROUND(YEARFRAC(tblRoster[[#This Row],[직급발령시작일자]],TODAY()),1))</f>
        <v>8.9</v>
      </c>
      <c r="AF29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291">
        <f ca="1">IF(OR(tblRoster[[#This Row],[공무원구분]]&lt;&gt;"공무원",tblRoster[[#This Row],[나이]]=""),"",YEAR(TODAY())+(60-tblRoster[[#This Row],[나이]]))</f>
        <v>2052</v>
      </c>
      <c r="AH291" t="str">
        <f>IF(tblRoster[[#This Row],[직위]]="","일반","보직자")</f>
        <v>일반</v>
      </c>
      <c r="AI29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1" t="str">
        <f ca="1">IF(tblRoster[[#This Row],[복직예정일]]="","",TEXT(tblRoster[[#This Row],[복직예정일]],"yyyy-mm"))</f>
        <v/>
      </c>
      <c r="AM291" t="str">
        <f ca="1">IF(tblRoster[[#This Row],[복직예정일]]="","",tblRoster[[#This Row],[복직예정일]]-TODAY())</f>
        <v/>
      </c>
      <c r="AN291" t="str">
        <f ca="1">IF(tblRoster[[#This Row],[휴직잔여일수]]="","",IF(tblRoster[[#This Row],[휴직잔여일수]]&lt;=180,"6개월내","6개월이후"))</f>
        <v/>
      </c>
      <c r="AO29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2" spans="1:41" x14ac:dyDescent="0.3">
      <c r="A292">
        <v>900290</v>
      </c>
      <c r="B292" t="s">
        <v>507</v>
      </c>
      <c r="C292" t="s">
        <v>8</v>
      </c>
      <c r="D292">
        <v>46</v>
      </c>
      <c r="E292" t="s">
        <v>128</v>
      </c>
      <c r="F292" t="s">
        <v>179</v>
      </c>
      <c r="G292" t="s">
        <v>197</v>
      </c>
      <c r="H292" t="s">
        <v>163</v>
      </c>
      <c r="I292" t="s">
        <v>144</v>
      </c>
      <c r="J292" t="s">
        <v>145</v>
      </c>
      <c r="L292" t="s">
        <v>135</v>
      </c>
      <c r="M292" t="s">
        <v>135</v>
      </c>
      <c r="N292" s="1">
        <v>39661</v>
      </c>
      <c r="O292" s="1">
        <v>45047</v>
      </c>
      <c r="P292" s="1">
        <v>45047</v>
      </c>
      <c r="Q292" s="1">
        <v>45047</v>
      </c>
      <c r="R292">
        <v>18</v>
      </c>
      <c r="T29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92" t="str">
        <f>IF(tblRoster[[#This Row],[급수]]="4급(임기제)","4급",tblRoster[[#This Row],[급수]])</f>
        <v>6급</v>
      </c>
      <c r="V29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9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2" t="str">
        <f>IF(OR(tblRoster[[#This Row],[교직원상세구분]]="사회복무요원",tblRoster[[#This Row],[교직원상세구분]]="인턴(수습)"),"제외","포함")</f>
        <v>포함</v>
      </c>
      <c r="Y292">
        <f>1</f>
        <v>1</v>
      </c>
      <c r="Z292">
        <f>IF(tblRoster[[#This Row],[재직상태구분]]="휴직",1,0)</f>
        <v>0</v>
      </c>
      <c r="AA29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92">
        <f ca="1">IF(tblRoster[[#This Row],[본교발령시작일자]]="","",DATEDIF(tblRoster[[#This Row],[본교발령시작일자]],TODAY(),"Y"))</f>
        <v>3</v>
      </c>
      <c r="AC292">
        <f ca="1">IF(tblRoster[[#This Row],[최초발령시작일자]]="","",DATEDIF(tblRoster[[#This Row],[최초발령시작일자]],TODAY(),"Y"))</f>
        <v>18</v>
      </c>
      <c r="AD29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92">
        <f ca="1">IF(tblRoster[[#This Row],[직급발령시작일자]]="","",ROUND(YEARFRAC(tblRoster[[#This Row],[직급발령시작일자]],TODAY()),1))</f>
        <v>3.4</v>
      </c>
      <c r="AF29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2">
        <f ca="1">IF(OR(tblRoster[[#This Row],[공무원구분]]&lt;&gt;"공무원",tblRoster[[#This Row],[나이]]=""),"",YEAR(TODAY())+(60-tblRoster[[#This Row],[나이]]))</f>
        <v>2040</v>
      </c>
      <c r="AH292" t="str">
        <f>IF(tblRoster[[#This Row],[직위]]="","일반","보직자")</f>
        <v>일반</v>
      </c>
      <c r="AI29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2" t="str">
        <f ca="1">IF(tblRoster[[#This Row],[복직예정일]]="","",TEXT(tblRoster[[#This Row],[복직예정일]],"yyyy-mm"))</f>
        <v/>
      </c>
      <c r="AM292" t="str">
        <f ca="1">IF(tblRoster[[#This Row],[복직예정일]]="","",tblRoster[[#This Row],[복직예정일]]-TODAY())</f>
        <v/>
      </c>
      <c r="AN292" t="str">
        <f ca="1">IF(tblRoster[[#This Row],[휴직잔여일수]]="","",IF(tblRoster[[#This Row],[휴직잔여일수]]&lt;=180,"6개월내","6개월이후"))</f>
        <v/>
      </c>
      <c r="AO29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3" spans="1:41" x14ac:dyDescent="0.3">
      <c r="A293">
        <v>900291</v>
      </c>
      <c r="B293" t="s">
        <v>66</v>
      </c>
      <c r="C293" t="s">
        <v>8</v>
      </c>
      <c r="D293">
        <v>28</v>
      </c>
      <c r="E293" t="s">
        <v>128</v>
      </c>
      <c r="F293" t="s">
        <v>179</v>
      </c>
      <c r="G293" t="s">
        <v>130</v>
      </c>
      <c r="H293" t="s">
        <v>223</v>
      </c>
      <c r="I293" t="s">
        <v>144</v>
      </c>
      <c r="J293" t="s">
        <v>145</v>
      </c>
      <c r="L293" t="s">
        <v>134</v>
      </c>
      <c r="M293" t="s">
        <v>135</v>
      </c>
      <c r="N293" s="1">
        <v>44896</v>
      </c>
      <c r="O293" s="1">
        <v>44896</v>
      </c>
      <c r="P293" s="1">
        <v>44896</v>
      </c>
      <c r="Q293" s="1">
        <v>44896</v>
      </c>
      <c r="R293">
        <v>5</v>
      </c>
      <c r="S293" t="s">
        <v>508</v>
      </c>
      <c r="T29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93" t="str">
        <f>IF(tblRoster[[#This Row],[급수]]="4급(임기제)","4급",tblRoster[[#This Row],[급수]])</f>
        <v>8급</v>
      </c>
      <c r="V29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9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3" t="str">
        <f>IF(OR(tblRoster[[#This Row],[교직원상세구분]]="사회복무요원",tblRoster[[#This Row],[교직원상세구분]]="인턴(수습)"),"제외","포함")</f>
        <v>포함</v>
      </c>
      <c r="Y293">
        <f>1</f>
        <v>1</v>
      </c>
      <c r="Z293">
        <f>IF(tblRoster[[#This Row],[재직상태구분]]="휴직",1,0)</f>
        <v>0</v>
      </c>
      <c r="AA29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93">
        <f ca="1">IF(tblRoster[[#This Row],[본교발령시작일자]]="","",DATEDIF(tblRoster[[#This Row],[본교발령시작일자]],TODAY(),"Y"))</f>
        <v>3</v>
      </c>
      <c r="AC293">
        <f ca="1">IF(tblRoster[[#This Row],[최초발령시작일자]]="","",DATEDIF(tblRoster[[#This Row],[최초발령시작일자]],TODAY(),"Y"))</f>
        <v>3</v>
      </c>
      <c r="AD29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293">
        <f ca="1">IF(tblRoster[[#This Row],[직급발령시작일자]]="","",ROUND(YEARFRAC(tblRoster[[#This Row],[직급발령시작일자]],TODAY()),1))</f>
        <v>3.8</v>
      </c>
      <c r="AF29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3">
        <f ca="1">IF(OR(tblRoster[[#This Row],[공무원구분]]&lt;&gt;"공무원",tblRoster[[#This Row],[나이]]=""),"",YEAR(TODAY())+(60-tblRoster[[#This Row],[나이]]))</f>
        <v>2058</v>
      </c>
      <c r="AH293" t="str">
        <f>IF(tblRoster[[#This Row],[직위]]="","일반","보직자")</f>
        <v>일반</v>
      </c>
      <c r="AI29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3" t="str">
        <f ca="1">IF(tblRoster[[#This Row],[복직예정일]]="","",TEXT(tblRoster[[#This Row],[복직예정일]],"yyyy-mm"))</f>
        <v/>
      </c>
      <c r="AM293" t="str">
        <f ca="1">IF(tblRoster[[#This Row],[복직예정일]]="","",tblRoster[[#This Row],[복직예정일]]-TODAY())</f>
        <v/>
      </c>
      <c r="AN293" t="str">
        <f ca="1">IF(tblRoster[[#This Row],[휴직잔여일수]]="","",IF(tblRoster[[#This Row],[휴직잔여일수]]&lt;=180,"6개월내","6개월이후"))</f>
        <v/>
      </c>
      <c r="AO29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4" spans="1:41" x14ac:dyDescent="0.3">
      <c r="A294">
        <v>900292</v>
      </c>
      <c r="B294" t="s">
        <v>509</v>
      </c>
      <c r="C294" t="s">
        <v>8</v>
      </c>
      <c r="D294">
        <v>48</v>
      </c>
      <c r="E294" t="s">
        <v>128</v>
      </c>
      <c r="F294" t="s">
        <v>147</v>
      </c>
      <c r="G294" t="s">
        <v>222</v>
      </c>
      <c r="H294" t="s">
        <v>384</v>
      </c>
      <c r="I294" t="s">
        <v>132</v>
      </c>
      <c r="J294" t="s">
        <v>133</v>
      </c>
      <c r="L294" t="s">
        <v>134</v>
      </c>
      <c r="M294" t="s">
        <v>135</v>
      </c>
      <c r="N294" s="1">
        <v>42339</v>
      </c>
      <c r="O294" s="1">
        <v>42339</v>
      </c>
      <c r="P294" s="1">
        <v>45748</v>
      </c>
      <c r="Q294" s="1">
        <v>45748</v>
      </c>
      <c r="R294">
        <v>13</v>
      </c>
      <c r="T29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294" t="str">
        <f>IF(tblRoster[[#This Row],[급수]]="4급(임기제)","4급",tblRoster[[#This Row],[급수]])</f>
        <v>대학회계계약직</v>
      </c>
      <c r="V29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29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294" t="str">
        <f>IF(OR(tblRoster[[#This Row],[교직원상세구분]]="사회복무요원",tblRoster[[#This Row],[교직원상세구분]]="인턴(수습)"),"제외","포함")</f>
        <v>포함</v>
      </c>
      <c r="Y294">
        <f>1</f>
        <v>1</v>
      </c>
      <c r="Z294">
        <f>IF(tblRoster[[#This Row],[재직상태구분]]="휴직",1,0)</f>
        <v>0</v>
      </c>
      <c r="AA29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94">
        <f ca="1">IF(tblRoster[[#This Row],[본교발령시작일자]]="","",DATEDIF(tblRoster[[#This Row],[본교발령시작일자]],TODAY(),"Y"))</f>
        <v>10</v>
      </c>
      <c r="AC294">
        <f ca="1">IF(tblRoster[[#This Row],[최초발령시작일자]]="","",DATEDIF(tblRoster[[#This Row],[최초발령시작일자]],TODAY(),"Y"))</f>
        <v>10</v>
      </c>
      <c r="AD29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94">
        <f ca="1">IF(tblRoster[[#This Row],[직급발령시작일자]]="","",ROUND(YEARFRAC(tblRoster[[#This Row],[직급발령시작일자]],TODAY()),1))</f>
        <v>1.4</v>
      </c>
      <c r="AF29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4" t="str">
        <f ca="1">IF(OR(tblRoster[[#This Row],[공무원구분]]&lt;&gt;"공무원",tblRoster[[#This Row],[나이]]=""),"",YEAR(TODAY())+(60-tblRoster[[#This Row],[나이]]))</f>
        <v/>
      </c>
      <c r="AH294" t="str">
        <f>IF(tblRoster[[#This Row],[직위]]="","일반","보직자")</f>
        <v>일반</v>
      </c>
      <c r="AI29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4" t="str">
        <f ca="1">IF(tblRoster[[#This Row],[복직예정일]]="","",TEXT(tblRoster[[#This Row],[복직예정일]],"yyyy-mm"))</f>
        <v/>
      </c>
      <c r="AM294" t="str">
        <f ca="1">IF(tblRoster[[#This Row],[복직예정일]]="","",tblRoster[[#This Row],[복직예정일]]-TODAY())</f>
        <v/>
      </c>
      <c r="AN294" t="str">
        <f ca="1">IF(tblRoster[[#This Row],[휴직잔여일수]]="","",IF(tblRoster[[#This Row],[휴직잔여일수]]&lt;=180,"6개월내","6개월이후"))</f>
        <v/>
      </c>
      <c r="AO29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5" spans="1:41" x14ac:dyDescent="0.3">
      <c r="A295">
        <v>900293</v>
      </c>
      <c r="B295" t="s">
        <v>510</v>
      </c>
      <c r="C295" t="s">
        <v>8</v>
      </c>
      <c r="D295">
        <v>55</v>
      </c>
      <c r="E295" t="s">
        <v>150</v>
      </c>
      <c r="F295" t="s">
        <v>154</v>
      </c>
      <c r="G295" t="s">
        <v>142</v>
      </c>
      <c r="H295" t="s">
        <v>163</v>
      </c>
      <c r="I295" t="s">
        <v>144</v>
      </c>
      <c r="J295" t="s">
        <v>145</v>
      </c>
      <c r="L295" t="s">
        <v>135</v>
      </c>
      <c r="M295" t="s">
        <v>135</v>
      </c>
      <c r="N295" s="1">
        <v>41944</v>
      </c>
      <c r="O295" s="1">
        <v>41944</v>
      </c>
      <c r="P295" s="1">
        <v>42278</v>
      </c>
      <c r="Q295" s="1">
        <v>42278</v>
      </c>
      <c r="R295">
        <v>15</v>
      </c>
      <c r="T29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95" t="str">
        <f>IF(tblRoster[[#This Row],[급수]]="4급(임기제)","4급",tblRoster[[#This Row],[급수]])</f>
        <v>6급</v>
      </c>
      <c r="V29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9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5" t="str">
        <f>IF(OR(tblRoster[[#This Row],[교직원상세구분]]="사회복무요원",tblRoster[[#This Row],[교직원상세구분]]="인턴(수습)"),"제외","포함")</f>
        <v>포함</v>
      </c>
      <c r="Y295">
        <f>1</f>
        <v>1</v>
      </c>
      <c r="Z295">
        <f>IF(tblRoster[[#This Row],[재직상태구분]]="휴직",1,0)</f>
        <v>0</v>
      </c>
      <c r="AA29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95">
        <f ca="1">IF(tblRoster[[#This Row],[본교발령시작일자]]="","",DATEDIF(tblRoster[[#This Row],[본교발령시작일자]],TODAY(),"Y"))</f>
        <v>11</v>
      </c>
      <c r="AC295">
        <f ca="1">IF(tblRoster[[#This Row],[최초발령시작일자]]="","",DATEDIF(tblRoster[[#This Row],[최초발령시작일자]],TODAY(),"Y"))</f>
        <v>11</v>
      </c>
      <c r="AD29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95">
        <f ca="1">IF(tblRoster[[#This Row],[직급발령시작일자]]="","",ROUND(YEARFRAC(tblRoster[[#This Row],[직급발령시작일자]],TODAY()),1))</f>
        <v>10.9</v>
      </c>
      <c r="AF29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95">
        <f ca="1">IF(OR(tblRoster[[#This Row],[공무원구분]]&lt;&gt;"공무원",tblRoster[[#This Row],[나이]]=""),"",YEAR(TODAY())+(60-tblRoster[[#This Row],[나이]]))</f>
        <v>2031</v>
      </c>
      <c r="AH295" t="str">
        <f>IF(tblRoster[[#This Row],[직위]]="","일반","보직자")</f>
        <v>일반</v>
      </c>
      <c r="AI29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5" t="str">
        <f ca="1">IF(tblRoster[[#This Row],[복직예정일]]="","",TEXT(tblRoster[[#This Row],[복직예정일]],"yyyy-mm"))</f>
        <v/>
      </c>
      <c r="AM295" t="str">
        <f ca="1">IF(tblRoster[[#This Row],[복직예정일]]="","",tblRoster[[#This Row],[복직예정일]]-TODAY())</f>
        <v/>
      </c>
      <c r="AN295" t="str">
        <f ca="1">IF(tblRoster[[#This Row],[휴직잔여일수]]="","",IF(tblRoster[[#This Row],[휴직잔여일수]]&lt;=180,"6개월내","6개월이후"))</f>
        <v/>
      </c>
      <c r="AO29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6" spans="1:41" x14ac:dyDescent="0.3">
      <c r="A296">
        <v>900294</v>
      </c>
      <c r="B296" t="s">
        <v>511</v>
      </c>
      <c r="C296" t="s">
        <v>8</v>
      </c>
      <c r="D296">
        <v>57</v>
      </c>
      <c r="E296" t="s">
        <v>128</v>
      </c>
      <c r="F296" t="s">
        <v>246</v>
      </c>
      <c r="G296" t="s">
        <v>142</v>
      </c>
      <c r="H296" t="s">
        <v>209</v>
      </c>
      <c r="I296" t="s">
        <v>144</v>
      </c>
      <c r="J296" t="s">
        <v>145</v>
      </c>
      <c r="L296" t="s">
        <v>135</v>
      </c>
      <c r="M296" t="s">
        <v>135</v>
      </c>
      <c r="N296" s="1">
        <v>36708</v>
      </c>
      <c r="O296" s="1">
        <v>36708</v>
      </c>
      <c r="P296" s="1">
        <v>41671</v>
      </c>
      <c r="Q296" s="1">
        <v>41671</v>
      </c>
      <c r="R296">
        <v>29</v>
      </c>
      <c r="T29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96" t="str">
        <f>IF(tblRoster[[#This Row],[급수]]="4급(임기제)","4급",tblRoster[[#This Row],[급수]])</f>
        <v>6급</v>
      </c>
      <c r="V29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9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6" t="str">
        <f>IF(OR(tblRoster[[#This Row],[교직원상세구분]]="사회복무요원",tblRoster[[#This Row],[교직원상세구분]]="인턴(수습)"),"제외","포함")</f>
        <v>포함</v>
      </c>
      <c r="Y296">
        <f>1</f>
        <v>1</v>
      </c>
      <c r="Z296">
        <f>IF(tblRoster[[#This Row],[재직상태구분]]="휴직",1,0)</f>
        <v>0</v>
      </c>
      <c r="AA29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96">
        <f ca="1">IF(tblRoster[[#This Row],[본교발령시작일자]]="","",DATEDIF(tblRoster[[#This Row],[본교발령시작일자]],TODAY(),"Y"))</f>
        <v>26</v>
      </c>
      <c r="AC296">
        <f ca="1">IF(tblRoster[[#This Row],[최초발령시작일자]]="","",DATEDIF(tblRoster[[#This Row],[최초발령시작일자]],TODAY(),"Y"))</f>
        <v>26</v>
      </c>
      <c r="AD29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296">
        <f ca="1">IF(tblRoster[[#This Row],[직급발령시작일자]]="","",ROUND(YEARFRAC(tblRoster[[#This Row],[직급발령시작일자]],TODAY()),1))</f>
        <v>12.6</v>
      </c>
      <c r="AF296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96">
        <f ca="1">IF(OR(tblRoster[[#This Row],[공무원구분]]&lt;&gt;"공무원",tblRoster[[#This Row],[나이]]=""),"",YEAR(TODAY())+(60-tblRoster[[#This Row],[나이]]))</f>
        <v>2029</v>
      </c>
      <c r="AH296" t="str">
        <f>IF(tblRoster[[#This Row],[직위]]="","일반","보직자")</f>
        <v>일반</v>
      </c>
      <c r="AI29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6" t="str">
        <f ca="1">IF(tblRoster[[#This Row],[복직예정일]]="","",TEXT(tblRoster[[#This Row],[복직예정일]],"yyyy-mm"))</f>
        <v/>
      </c>
      <c r="AM296" t="str">
        <f ca="1">IF(tblRoster[[#This Row],[복직예정일]]="","",tblRoster[[#This Row],[복직예정일]]-TODAY())</f>
        <v/>
      </c>
      <c r="AN296" t="str">
        <f ca="1">IF(tblRoster[[#This Row],[휴직잔여일수]]="","",IF(tblRoster[[#This Row],[휴직잔여일수]]&lt;=180,"6개월내","6개월이후"))</f>
        <v/>
      </c>
      <c r="AO29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7" spans="1:41" x14ac:dyDescent="0.3">
      <c r="A297">
        <v>900295</v>
      </c>
      <c r="B297" t="s">
        <v>512</v>
      </c>
      <c r="C297" t="s">
        <v>8</v>
      </c>
      <c r="D297">
        <v>26</v>
      </c>
      <c r="E297" t="s">
        <v>150</v>
      </c>
      <c r="F297" t="s">
        <v>168</v>
      </c>
      <c r="G297" t="s">
        <v>155</v>
      </c>
      <c r="H297" t="s">
        <v>219</v>
      </c>
      <c r="I297" t="s">
        <v>144</v>
      </c>
      <c r="J297" t="s">
        <v>145</v>
      </c>
      <c r="L297" t="s">
        <v>134</v>
      </c>
      <c r="M297" t="s">
        <v>135</v>
      </c>
      <c r="N297" s="1">
        <v>44986</v>
      </c>
      <c r="O297" s="1">
        <v>44986</v>
      </c>
      <c r="P297" s="1">
        <v>44986</v>
      </c>
      <c r="Q297" s="1">
        <v>44986</v>
      </c>
      <c r="R297">
        <v>4</v>
      </c>
      <c r="T29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297" t="str">
        <f>IF(tblRoster[[#This Row],[급수]]="4급(임기제)","4급",tblRoster[[#This Row],[급수]])</f>
        <v>8급</v>
      </c>
      <c r="V29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29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7" t="str">
        <f>IF(OR(tblRoster[[#This Row],[교직원상세구분]]="사회복무요원",tblRoster[[#This Row],[교직원상세구분]]="인턴(수습)"),"제외","포함")</f>
        <v>포함</v>
      </c>
      <c r="Y297">
        <f>1</f>
        <v>1</v>
      </c>
      <c r="Z297">
        <f>IF(tblRoster[[#This Row],[재직상태구분]]="휴직",1,0)</f>
        <v>0</v>
      </c>
      <c r="AA29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297">
        <f ca="1">IF(tblRoster[[#This Row],[본교발령시작일자]]="","",DATEDIF(tblRoster[[#This Row],[본교발령시작일자]],TODAY(),"Y"))</f>
        <v>3</v>
      </c>
      <c r="AC297">
        <f ca="1">IF(tblRoster[[#This Row],[최초발령시작일자]]="","",DATEDIF(tblRoster[[#This Row],[최초발령시작일자]],TODAY(),"Y"))</f>
        <v>3</v>
      </c>
      <c r="AD29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297">
        <f ca="1">IF(tblRoster[[#This Row],[직급발령시작일자]]="","",ROUND(YEARFRAC(tblRoster[[#This Row],[직급발령시작일자]],TODAY()),1))</f>
        <v>3.5</v>
      </c>
      <c r="AF29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7">
        <f ca="1">IF(OR(tblRoster[[#This Row],[공무원구분]]&lt;&gt;"공무원",tblRoster[[#This Row],[나이]]=""),"",YEAR(TODAY())+(60-tblRoster[[#This Row],[나이]]))</f>
        <v>2060</v>
      </c>
      <c r="AH297" t="str">
        <f>IF(tblRoster[[#This Row],[직위]]="","일반","보직자")</f>
        <v>일반</v>
      </c>
      <c r="AI29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7" t="str">
        <f ca="1">IF(tblRoster[[#This Row],[복직예정일]]="","",TEXT(tblRoster[[#This Row],[복직예정일]],"yyyy-mm"))</f>
        <v/>
      </c>
      <c r="AM297" t="str">
        <f ca="1">IF(tblRoster[[#This Row],[복직예정일]]="","",tblRoster[[#This Row],[복직예정일]]-TODAY())</f>
        <v/>
      </c>
      <c r="AN297" t="str">
        <f ca="1">IF(tblRoster[[#This Row],[휴직잔여일수]]="","",IF(tblRoster[[#This Row],[휴직잔여일수]]&lt;=180,"6개월내","6개월이후"))</f>
        <v/>
      </c>
      <c r="AO29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8" spans="1:41" x14ac:dyDescent="0.3">
      <c r="A298">
        <v>900296</v>
      </c>
      <c r="B298" t="s">
        <v>513</v>
      </c>
      <c r="C298" t="s">
        <v>8</v>
      </c>
      <c r="D298">
        <v>41</v>
      </c>
      <c r="E298" t="s">
        <v>150</v>
      </c>
      <c r="F298" t="s">
        <v>236</v>
      </c>
      <c r="G298" t="s">
        <v>202</v>
      </c>
      <c r="H298" t="s">
        <v>230</v>
      </c>
      <c r="I298" t="s">
        <v>144</v>
      </c>
      <c r="J298" t="s">
        <v>145</v>
      </c>
      <c r="L298" t="s">
        <v>135</v>
      </c>
      <c r="M298" t="s">
        <v>135</v>
      </c>
      <c r="N298" s="1">
        <v>39722</v>
      </c>
      <c r="O298" s="1">
        <v>44958</v>
      </c>
      <c r="P298" s="1">
        <v>45689</v>
      </c>
      <c r="Q298" s="1">
        <v>45689</v>
      </c>
      <c r="R298">
        <v>19</v>
      </c>
      <c r="T29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98" t="str">
        <f>IF(tblRoster[[#This Row],[급수]]="4급(임기제)","4급",tblRoster[[#This Row],[급수]])</f>
        <v>6급</v>
      </c>
      <c r="V29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9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8" t="str">
        <f>IF(OR(tblRoster[[#This Row],[교직원상세구분]]="사회복무요원",tblRoster[[#This Row],[교직원상세구분]]="인턴(수습)"),"제외","포함")</f>
        <v>포함</v>
      </c>
      <c r="Y298">
        <f>1</f>
        <v>1</v>
      </c>
      <c r="Z298">
        <f>IF(tblRoster[[#This Row],[재직상태구분]]="휴직",1,0)</f>
        <v>0</v>
      </c>
      <c r="AA29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298">
        <f ca="1">IF(tblRoster[[#This Row],[본교발령시작일자]]="","",DATEDIF(tblRoster[[#This Row],[본교발령시작일자]],TODAY(),"Y"))</f>
        <v>3</v>
      </c>
      <c r="AC298">
        <f ca="1">IF(tblRoster[[#This Row],[최초발령시작일자]]="","",DATEDIF(tblRoster[[#This Row],[최초발령시작일자]],TODAY(),"Y"))</f>
        <v>17</v>
      </c>
      <c r="AD29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298">
        <f ca="1">IF(tblRoster[[#This Row],[직급발령시작일자]]="","",ROUND(YEARFRAC(tblRoster[[#This Row],[직급발령시작일자]],TODAY()),1))</f>
        <v>1.6</v>
      </c>
      <c r="AF29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298">
        <f ca="1">IF(OR(tblRoster[[#This Row],[공무원구분]]&lt;&gt;"공무원",tblRoster[[#This Row],[나이]]=""),"",YEAR(TODAY())+(60-tblRoster[[#This Row],[나이]]))</f>
        <v>2045</v>
      </c>
      <c r="AH298" t="str">
        <f>IF(tblRoster[[#This Row],[직위]]="","일반","보직자")</f>
        <v>일반</v>
      </c>
      <c r="AI29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8" t="str">
        <f ca="1">IF(tblRoster[[#This Row],[복직예정일]]="","",TEXT(tblRoster[[#This Row],[복직예정일]],"yyyy-mm"))</f>
        <v/>
      </c>
      <c r="AM298" t="str">
        <f ca="1">IF(tblRoster[[#This Row],[복직예정일]]="","",tblRoster[[#This Row],[복직예정일]]-TODAY())</f>
        <v/>
      </c>
      <c r="AN298" t="str">
        <f ca="1">IF(tblRoster[[#This Row],[휴직잔여일수]]="","",IF(tblRoster[[#This Row],[휴직잔여일수]]&lt;=180,"6개월내","6개월이후"))</f>
        <v/>
      </c>
      <c r="AO29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299" spans="1:41" x14ac:dyDescent="0.3">
      <c r="A299">
        <v>900297</v>
      </c>
      <c r="B299" t="s">
        <v>514</v>
      </c>
      <c r="C299" t="s">
        <v>8</v>
      </c>
      <c r="D299">
        <v>59</v>
      </c>
      <c r="E299" t="s">
        <v>128</v>
      </c>
      <c r="F299" t="s">
        <v>236</v>
      </c>
      <c r="G299" t="s">
        <v>207</v>
      </c>
      <c r="H299" t="s">
        <v>209</v>
      </c>
      <c r="I299" t="s">
        <v>144</v>
      </c>
      <c r="J299" t="s">
        <v>145</v>
      </c>
      <c r="L299" t="s">
        <v>134</v>
      </c>
      <c r="M299" t="s">
        <v>135</v>
      </c>
      <c r="N299" s="1">
        <v>38930</v>
      </c>
      <c r="O299" s="1">
        <v>38930</v>
      </c>
      <c r="P299" s="1">
        <v>42370</v>
      </c>
      <c r="Q299" s="1">
        <v>42370</v>
      </c>
      <c r="T29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299" t="str">
        <f>IF(tblRoster[[#This Row],[급수]]="4급(임기제)","4급",tblRoster[[#This Row],[급수]])</f>
        <v>6급</v>
      </c>
      <c r="V29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29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299" t="str">
        <f>IF(OR(tblRoster[[#This Row],[교직원상세구분]]="사회복무요원",tblRoster[[#This Row],[교직원상세구분]]="인턴(수습)"),"제외","포함")</f>
        <v>포함</v>
      </c>
      <c r="Y299">
        <f>1</f>
        <v>1</v>
      </c>
      <c r="Z299">
        <f>IF(tblRoster[[#This Row],[재직상태구분]]="휴직",1,0)</f>
        <v>0</v>
      </c>
      <c r="AA29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299">
        <f ca="1">IF(tblRoster[[#This Row],[본교발령시작일자]]="","",DATEDIF(tblRoster[[#This Row],[본교발령시작일자]],TODAY(),"Y"))</f>
        <v>20</v>
      </c>
      <c r="AC299">
        <f ca="1">IF(tblRoster[[#This Row],[최초발령시작일자]]="","",DATEDIF(tblRoster[[#This Row],[최초발령시작일자]],TODAY(),"Y"))</f>
        <v>20</v>
      </c>
      <c r="AD29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299">
        <f ca="1">IF(tblRoster[[#This Row],[직급발령시작일자]]="","",ROUND(YEARFRAC(tblRoster[[#This Row],[직급발령시작일자]],TODAY()),1))</f>
        <v>10.7</v>
      </c>
      <c r="AF29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299">
        <f ca="1">IF(OR(tblRoster[[#This Row],[공무원구분]]&lt;&gt;"공무원",tblRoster[[#This Row],[나이]]=""),"",YEAR(TODAY())+(60-tblRoster[[#This Row],[나이]]))</f>
        <v>2027</v>
      </c>
      <c r="AH299" t="str">
        <f>IF(tblRoster[[#This Row],[직위]]="","일반","보직자")</f>
        <v>일반</v>
      </c>
      <c r="AI29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29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29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299" t="str">
        <f ca="1">IF(tblRoster[[#This Row],[복직예정일]]="","",TEXT(tblRoster[[#This Row],[복직예정일]],"yyyy-mm"))</f>
        <v/>
      </c>
      <c r="AM299" t="str">
        <f ca="1">IF(tblRoster[[#This Row],[복직예정일]]="","",tblRoster[[#This Row],[복직예정일]]-TODAY())</f>
        <v/>
      </c>
      <c r="AN299" t="str">
        <f ca="1">IF(tblRoster[[#This Row],[휴직잔여일수]]="","",IF(tblRoster[[#This Row],[휴직잔여일수]]&lt;=180,"6개월내","6개월이후"))</f>
        <v/>
      </c>
      <c r="AO29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0" spans="1:41" x14ac:dyDescent="0.3">
      <c r="A300">
        <v>900298</v>
      </c>
      <c r="B300" t="s">
        <v>515</v>
      </c>
      <c r="C300" t="s">
        <v>8</v>
      </c>
      <c r="D300">
        <v>48</v>
      </c>
      <c r="E300" t="s">
        <v>150</v>
      </c>
      <c r="F300" t="s">
        <v>154</v>
      </c>
      <c r="G300" t="s">
        <v>169</v>
      </c>
      <c r="H300" t="s">
        <v>200</v>
      </c>
      <c r="I300" t="s">
        <v>144</v>
      </c>
      <c r="J300" t="s">
        <v>145</v>
      </c>
      <c r="K300" t="s">
        <v>516</v>
      </c>
      <c r="L300" t="s">
        <v>134</v>
      </c>
      <c r="M300" t="s">
        <v>135</v>
      </c>
      <c r="N300" s="1">
        <v>43282</v>
      </c>
      <c r="O300" s="1">
        <v>43282</v>
      </c>
      <c r="P300" s="1">
        <v>44682</v>
      </c>
      <c r="Q300" s="1">
        <v>44682</v>
      </c>
      <c r="R300">
        <v>11</v>
      </c>
      <c r="T30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00" t="str">
        <f>IF(tblRoster[[#This Row],[급수]]="4급(임기제)","4급",tblRoster[[#This Row],[급수]])</f>
        <v>5급</v>
      </c>
      <c r="V30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0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00" t="str">
        <f>IF(OR(tblRoster[[#This Row],[교직원상세구분]]="사회복무요원",tblRoster[[#This Row],[교직원상세구분]]="인턴(수습)"),"제외","포함")</f>
        <v>포함</v>
      </c>
      <c r="Y300">
        <f>1</f>
        <v>1</v>
      </c>
      <c r="Z300">
        <f>IF(tblRoster[[#This Row],[재직상태구분]]="휴직",1,0)</f>
        <v>0</v>
      </c>
      <c r="AA30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00">
        <f ca="1">IF(tblRoster[[#This Row],[본교발령시작일자]]="","",DATEDIF(tblRoster[[#This Row],[본교발령시작일자]],TODAY(),"Y"))</f>
        <v>8</v>
      </c>
      <c r="AC300">
        <f ca="1">IF(tblRoster[[#This Row],[최초발령시작일자]]="","",DATEDIF(tblRoster[[#This Row],[최초발령시작일자]],TODAY(),"Y"))</f>
        <v>8</v>
      </c>
      <c r="AD30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00">
        <f ca="1">IF(tblRoster[[#This Row],[직급발령시작일자]]="","",ROUND(YEARFRAC(tblRoster[[#This Row],[직급발령시작일자]],TODAY()),1))</f>
        <v>4.4000000000000004</v>
      </c>
      <c r="AF30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0">
        <f ca="1">IF(OR(tblRoster[[#This Row],[공무원구분]]&lt;&gt;"공무원",tblRoster[[#This Row],[나이]]=""),"",YEAR(TODAY())+(60-tblRoster[[#This Row],[나이]]))</f>
        <v>2038</v>
      </c>
      <c r="AH300" t="str">
        <f>IF(tblRoster[[#This Row],[직위]]="","일반","보직자")</f>
        <v>보직자</v>
      </c>
      <c r="AI30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0" t="str">
        <f ca="1">IF(tblRoster[[#This Row],[복직예정일]]="","",TEXT(tblRoster[[#This Row],[복직예정일]],"yyyy-mm"))</f>
        <v/>
      </c>
      <c r="AM300" t="str">
        <f ca="1">IF(tblRoster[[#This Row],[복직예정일]]="","",tblRoster[[#This Row],[복직예정일]]-TODAY())</f>
        <v/>
      </c>
      <c r="AN300" t="str">
        <f ca="1">IF(tblRoster[[#This Row],[휴직잔여일수]]="","",IF(tblRoster[[#This Row],[휴직잔여일수]]&lt;=180,"6개월내","6개월이후"))</f>
        <v/>
      </c>
      <c r="AO30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1" spans="1:41" x14ac:dyDescent="0.3">
      <c r="A301">
        <v>900299</v>
      </c>
      <c r="B301" t="s">
        <v>517</v>
      </c>
      <c r="C301" t="s">
        <v>8</v>
      </c>
      <c r="D301">
        <v>31</v>
      </c>
      <c r="E301" t="s">
        <v>150</v>
      </c>
      <c r="F301" t="s">
        <v>168</v>
      </c>
      <c r="G301" t="s">
        <v>159</v>
      </c>
      <c r="H301" t="s">
        <v>175</v>
      </c>
      <c r="I301" t="s">
        <v>144</v>
      </c>
      <c r="J301" t="s">
        <v>145</v>
      </c>
      <c r="L301" t="s">
        <v>135</v>
      </c>
      <c r="M301" t="s">
        <v>135</v>
      </c>
      <c r="N301" s="1">
        <v>43435</v>
      </c>
      <c r="O301" s="1">
        <v>43435</v>
      </c>
      <c r="P301" s="1">
        <v>44835</v>
      </c>
      <c r="Q301" s="1">
        <v>44835</v>
      </c>
      <c r="R301">
        <v>9</v>
      </c>
      <c r="T30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301" t="str">
        <f>IF(tblRoster[[#This Row],[급수]]="4급(임기제)","4급",tblRoster[[#This Row],[급수]])</f>
        <v>9급</v>
      </c>
      <c r="V30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30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01" t="str">
        <f>IF(OR(tblRoster[[#This Row],[교직원상세구분]]="사회복무요원",tblRoster[[#This Row],[교직원상세구분]]="인턴(수습)"),"제외","포함")</f>
        <v>포함</v>
      </c>
      <c r="Y301">
        <f>1</f>
        <v>1</v>
      </c>
      <c r="Z301">
        <f>IF(tblRoster[[#This Row],[재직상태구분]]="휴직",1,0)</f>
        <v>0</v>
      </c>
      <c r="AA30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01">
        <f ca="1">IF(tblRoster[[#This Row],[본교발령시작일자]]="","",DATEDIF(tblRoster[[#This Row],[본교발령시작일자]],TODAY(),"Y"))</f>
        <v>7</v>
      </c>
      <c r="AC301">
        <f ca="1">IF(tblRoster[[#This Row],[최초발령시작일자]]="","",DATEDIF(tblRoster[[#This Row],[최초발령시작일자]],TODAY(),"Y"))</f>
        <v>7</v>
      </c>
      <c r="AD30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01">
        <f ca="1">IF(tblRoster[[#This Row],[직급발령시작일자]]="","",ROUND(YEARFRAC(tblRoster[[#This Row],[직급발령시작일자]],TODAY()),1))</f>
        <v>3.9</v>
      </c>
      <c r="AF30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1">
        <f ca="1">IF(OR(tblRoster[[#This Row],[공무원구분]]&lt;&gt;"공무원",tblRoster[[#This Row],[나이]]=""),"",YEAR(TODAY())+(60-tblRoster[[#This Row],[나이]]))</f>
        <v>2055</v>
      </c>
      <c r="AH301" t="str">
        <f>IF(tblRoster[[#This Row],[직위]]="","일반","보직자")</f>
        <v>일반</v>
      </c>
      <c r="AI30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1" t="str">
        <f ca="1">IF(tblRoster[[#This Row],[복직예정일]]="","",TEXT(tblRoster[[#This Row],[복직예정일]],"yyyy-mm"))</f>
        <v/>
      </c>
      <c r="AM301" t="str">
        <f ca="1">IF(tblRoster[[#This Row],[복직예정일]]="","",tblRoster[[#This Row],[복직예정일]]-TODAY())</f>
        <v/>
      </c>
      <c r="AN301" t="str">
        <f ca="1">IF(tblRoster[[#This Row],[휴직잔여일수]]="","",IF(tblRoster[[#This Row],[휴직잔여일수]]&lt;=180,"6개월내","6개월이후"))</f>
        <v/>
      </c>
      <c r="AO30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2" spans="1:41" x14ac:dyDescent="0.3">
      <c r="A302">
        <v>900300</v>
      </c>
      <c r="B302" t="s">
        <v>518</v>
      </c>
      <c r="C302" t="s">
        <v>8</v>
      </c>
      <c r="D302">
        <v>26</v>
      </c>
      <c r="E302" t="s">
        <v>150</v>
      </c>
      <c r="F302" t="s">
        <v>216</v>
      </c>
      <c r="G302" t="s">
        <v>159</v>
      </c>
      <c r="H302" t="s">
        <v>212</v>
      </c>
      <c r="I302" t="s">
        <v>213</v>
      </c>
      <c r="J302" t="s">
        <v>133</v>
      </c>
      <c r="L302" t="s">
        <v>135</v>
      </c>
      <c r="M302" t="s">
        <v>135</v>
      </c>
      <c r="N302" s="1">
        <v>44743</v>
      </c>
      <c r="O302" s="1">
        <v>45383</v>
      </c>
      <c r="P302" s="1">
        <v>45383</v>
      </c>
      <c r="Q302" s="1">
        <v>45383</v>
      </c>
      <c r="T30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302" t="str">
        <f>IF(tblRoster[[#This Row],[급수]]="4급(임기제)","4급",tblRoster[[#This Row],[급수]])</f>
        <v>인턴</v>
      </c>
      <c r="V30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30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02" t="str">
        <f>IF(OR(tblRoster[[#This Row],[교직원상세구분]]="사회복무요원",tblRoster[[#This Row],[교직원상세구분]]="인턴(수습)"),"제외","포함")</f>
        <v>제외</v>
      </c>
      <c r="Y302">
        <f>1</f>
        <v>1</v>
      </c>
      <c r="Z302">
        <f>IF(tblRoster[[#This Row],[재직상태구분]]="휴직",1,0)</f>
        <v>0</v>
      </c>
      <c r="AA30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02">
        <f ca="1">IF(tblRoster[[#This Row],[본교발령시작일자]]="","",DATEDIF(tblRoster[[#This Row],[본교발령시작일자]],TODAY(),"Y"))</f>
        <v>2</v>
      </c>
      <c r="AC302">
        <f ca="1">IF(tblRoster[[#This Row],[최초발령시작일자]]="","",DATEDIF(tblRoster[[#This Row],[최초발령시작일자]],TODAY(),"Y"))</f>
        <v>4</v>
      </c>
      <c r="AD30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02">
        <f ca="1">IF(tblRoster[[#This Row],[직급발령시작일자]]="","",ROUND(YEARFRAC(tblRoster[[#This Row],[직급발령시작일자]],TODAY()),1))</f>
        <v>2.4</v>
      </c>
      <c r="AF30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2" t="str">
        <f ca="1">IF(OR(tblRoster[[#This Row],[공무원구분]]&lt;&gt;"공무원",tblRoster[[#This Row],[나이]]=""),"",YEAR(TODAY())+(60-tblRoster[[#This Row],[나이]]))</f>
        <v/>
      </c>
      <c r="AH302" t="str">
        <f>IF(tblRoster[[#This Row],[직위]]="","일반","보직자")</f>
        <v>일반</v>
      </c>
      <c r="AI30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2" t="str">
        <f ca="1">IF(tblRoster[[#This Row],[복직예정일]]="","",TEXT(tblRoster[[#This Row],[복직예정일]],"yyyy-mm"))</f>
        <v/>
      </c>
      <c r="AM302" t="str">
        <f ca="1">IF(tblRoster[[#This Row],[복직예정일]]="","",tblRoster[[#This Row],[복직예정일]]-TODAY())</f>
        <v/>
      </c>
      <c r="AN302" t="str">
        <f ca="1">IF(tblRoster[[#This Row],[휴직잔여일수]]="","",IF(tblRoster[[#This Row],[휴직잔여일수]]&lt;=180,"6개월내","6개월이후"))</f>
        <v/>
      </c>
      <c r="AO30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3" spans="1:41" x14ac:dyDescent="0.3">
      <c r="A303">
        <v>900301</v>
      </c>
      <c r="B303" t="s">
        <v>519</v>
      </c>
      <c r="C303" t="s">
        <v>8</v>
      </c>
      <c r="D303">
        <v>32</v>
      </c>
      <c r="E303" t="s">
        <v>128</v>
      </c>
      <c r="F303" t="s">
        <v>129</v>
      </c>
      <c r="G303" t="s">
        <v>185</v>
      </c>
      <c r="H303" t="s">
        <v>238</v>
      </c>
      <c r="I303" t="s">
        <v>239</v>
      </c>
      <c r="J303" t="s">
        <v>133</v>
      </c>
      <c r="L303" t="s">
        <v>134</v>
      </c>
      <c r="M303" t="s">
        <v>135</v>
      </c>
      <c r="N303" s="1">
        <v>43282</v>
      </c>
      <c r="O303" s="1">
        <v>43282</v>
      </c>
      <c r="P303" s="1">
        <v>43282</v>
      </c>
      <c r="Q303" s="1">
        <v>43282</v>
      </c>
      <c r="R303">
        <v>11</v>
      </c>
      <c r="T30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03" t="str">
        <f>IF(tblRoster[[#This Row],[급수]]="4급(임기제)","4급",tblRoster[[#This Row],[급수]])</f>
        <v>대학회계직</v>
      </c>
      <c r="V30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0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03" t="str">
        <f>IF(OR(tblRoster[[#This Row],[교직원상세구분]]="사회복무요원",tblRoster[[#This Row],[교직원상세구분]]="인턴(수습)"),"제외","포함")</f>
        <v>포함</v>
      </c>
      <c r="Y303">
        <f>1</f>
        <v>1</v>
      </c>
      <c r="Z303">
        <f>IF(tblRoster[[#This Row],[재직상태구분]]="휴직",1,0)</f>
        <v>0</v>
      </c>
      <c r="AA30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03">
        <f ca="1">IF(tblRoster[[#This Row],[본교발령시작일자]]="","",DATEDIF(tblRoster[[#This Row],[본교발령시작일자]],TODAY(),"Y"))</f>
        <v>8</v>
      </c>
      <c r="AC303">
        <f ca="1">IF(tblRoster[[#This Row],[최초발령시작일자]]="","",DATEDIF(tblRoster[[#This Row],[최초발령시작일자]],TODAY(),"Y"))</f>
        <v>8</v>
      </c>
      <c r="AD30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03">
        <f ca="1">IF(tblRoster[[#This Row],[직급발령시작일자]]="","",ROUND(YEARFRAC(tblRoster[[#This Row],[직급발령시작일자]],TODAY()),1))</f>
        <v>8.1999999999999993</v>
      </c>
      <c r="AF30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03" t="str">
        <f ca="1">IF(OR(tblRoster[[#This Row],[공무원구분]]&lt;&gt;"공무원",tblRoster[[#This Row],[나이]]=""),"",YEAR(TODAY())+(60-tblRoster[[#This Row],[나이]]))</f>
        <v/>
      </c>
      <c r="AH303" t="str">
        <f>IF(tblRoster[[#This Row],[직위]]="","일반","보직자")</f>
        <v>일반</v>
      </c>
      <c r="AI30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3" t="str">
        <f ca="1">IF(tblRoster[[#This Row],[복직예정일]]="","",TEXT(tblRoster[[#This Row],[복직예정일]],"yyyy-mm"))</f>
        <v/>
      </c>
      <c r="AM303" t="str">
        <f ca="1">IF(tblRoster[[#This Row],[복직예정일]]="","",tblRoster[[#This Row],[복직예정일]]-TODAY())</f>
        <v/>
      </c>
      <c r="AN303" t="str">
        <f ca="1">IF(tblRoster[[#This Row],[휴직잔여일수]]="","",IF(tblRoster[[#This Row],[휴직잔여일수]]&lt;=180,"6개월내","6개월이후"))</f>
        <v/>
      </c>
      <c r="AO30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4" spans="1:41" x14ac:dyDescent="0.3">
      <c r="A304">
        <v>900302</v>
      </c>
      <c r="B304" t="s">
        <v>520</v>
      </c>
      <c r="C304" t="s">
        <v>8</v>
      </c>
      <c r="D304">
        <v>27</v>
      </c>
      <c r="E304" t="s">
        <v>128</v>
      </c>
      <c r="F304" t="s">
        <v>129</v>
      </c>
      <c r="G304" t="s">
        <v>151</v>
      </c>
      <c r="H304" t="s">
        <v>252</v>
      </c>
      <c r="I304" t="s">
        <v>132</v>
      </c>
      <c r="J304" t="s">
        <v>133</v>
      </c>
      <c r="L304" t="s">
        <v>134</v>
      </c>
      <c r="M304" t="s">
        <v>135</v>
      </c>
      <c r="N304" s="1">
        <v>45962</v>
      </c>
      <c r="O304" s="1">
        <v>45962</v>
      </c>
      <c r="P304" s="1">
        <v>45962</v>
      </c>
      <c r="Q304" s="1">
        <v>45962</v>
      </c>
      <c r="R304">
        <v>3</v>
      </c>
      <c r="T30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04" t="str">
        <f>IF(tblRoster[[#This Row],[급수]]="4급(임기제)","4급",tblRoster[[#This Row],[급수]])</f>
        <v>대학회계계약직</v>
      </c>
      <c r="V30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0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04" t="str">
        <f>IF(OR(tblRoster[[#This Row],[교직원상세구분]]="사회복무요원",tblRoster[[#This Row],[교직원상세구분]]="인턴(수습)"),"제외","포함")</f>
        <v>포함</v>
      </c>
      <c r="Y304">
        <f>1</f>
        <v>1</v>
      </c>
      <c r="Z304">
        <f>IF(tblRoster[[#This Row],[재직상태구분]]="휴직",1,0)</f>
        <v>0</v>
      </c>
      <c r="AA30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04">
        <f ca="1">IF(tblRoster[[#This Row],[본교발령시작일자]]="","",DATEDIF(tblRoster[[#This Row],[본교발령시작일자]],TODAY(),"Y"))</f>
        <v>0</v>
      </c>
      <c r="AC304">
        <f ca="1">IF(tblRoster[[#This Row],[최초발령시작일자]]="","",DATEDIF(tblRoster[[#This Row],[최초발령시작일자]],TODAY(),"Y"))</f>
        <v>0</v>
      </c>
      <c r="AD30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04">
        <f ca="1">IF(tblRoster[[#This Row],[직급발령시작일자]]="","",ROUND(YEARFRAC(tblRoster[[#This Row],[직급발령시작일자]],TODAY()),1))</f>
        <v>0.9</v>
      </c>
      <c r="AF30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4" t="str">
        <f ca="1">IF(OR(tblRoster[[#This Row],[공무원구분]]&lt;&gt;"공무원",tblRoster[[#This Row],[나이]]=""),"",YEAR(TODAY())+(60-tblRoster[[#This Row],[나이]]))</f>
        <v/>
      </c>
      <c r="AH304" t="str">
        <f>IF(tblRoster[[#This Row],[직위]]="","일반","보직자")</f>
        <v>일반</v>
      </c>
      <c r="AI30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4" t="str">
        <f ca="1">IF(tblRoster[[#This Row],[복직예정일]]="","",TEXT(tblRoster[[#This Row],[복직예정일]],"yyyy-mm"))</f>
        <v/>
      </c>
      <c r="AM304" t="str">
        <f ca="1">IF(tblRoster[[#This Row],[복직예정일]]="","",tblRoster[[#This Row],[복직예정일]]-TODAY())</f>
        <v/>
      </c>
      <c r="AN304" t="str">
        <f ca="1">IF(tblRoster[[#This Row],[휴직잔여일수]]="","",IF(tblRoster[[#This Row],[휴직잔여일수]]&lt;=180,"6개월내","6개월이후"))</f>
        <v/>
      </c>
      <c r="AO30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5" spans="1:41" x14ac:dyDescent="0.3">
      <c r="A305">
        <v>900303</v>
      </c>
      <c r="B305" t="s">
        <v>521</v>
      </c>
      <c r="C305" t="s">
        <v>8</v>
      </c>
      <c r="D305">
        <v>32</v>
      </c>
      <c r="E305" t="s">
        <v>150</v>
      </c>
      <c r="F305" t="s">
        <v>141</v>
      </c>
      <c r="G305" t="s">
        <v>202</v>
      </c>
      <c r="H305" t="s">
        <v>148</v>
      </c>
      <c r="I305" t="s">
        <v>132</v>
      </c>
      <c r="J305" t="s">
        <v>133</v>
      </c>
      <c r="L305" t="s">
        <v>134</v>
      </c>
      <c r="M305" t="s">
        <v>135</v>
      </c>
      <c r="N305" s="1">
        <v>44743</v>
      </c>
      <c r="O305" s="1">
        <v>44743</v>
      </c>
      <c r="P305" s="1">
        <v>44743</v>
      </c>
      <c r="Q305" s="1">
        <v>44743</v>
      </c>
      <c r="T30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05" t="str">
        <f>IF(tblRoster[[#This Row],[급수]]="4급(임기제)","4급",tblRoster[[#This Row],[급수]])</f>
        <v>대학회계계약직</v>
      </c>
      <c r="V30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0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05" t="str">
        <f>IF(OR(tblRoster[[#This Row],[교직원상세구분]]="사회복무요원",tblRoster[[#This Row],[교직원상세구분]]="인턴(수습)"),"제외","포함")</f>
        <v>포함</v>
      </c>
      <c r="Y305">
        <f>1</f>
        <v>1</v>
      </c>
      <c r="Z305">
        <f>IF(tblRoster[[#This Row],[재직상태구분]]="휴직",1,0)</f>
        <v>0</v>
      </c>
      <c r="AA30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05">
        <f ca="1">IF(tblRoster[[#This Row],[본교발령시작일자]]="","",DATEDIF(tblRoster[[#This Row],[본교발령시작일자]],TODAY(),"Y"))</f>
        <v>4</v>
      </c>
      <c r="AC305">
        <f ca="1">IF(tblRoster[[#This Row],[최초발령시작일자]]="","",DATEDIF(tblRoster[[#This Row],[최초발령시작일자]],TODAY(),"Y"))</f>
        <v>4</v>
      </c>
      <c r="AD30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05">
        <f ca="1">IF(tblRoster[[#This Row],[직급발령시작일자]]="","",ROUND(YEARFRAC(tblRoster[[#This Row],[직급발령시작일자]],TODAY()),1))</f>
        <v>4.2</v>
      </c>
      <c r="AF30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5" t="str">
        <f ca="1">IF(OR(tblRoster[[#This Row],[공무원구분]]&lt;&gt;"공무원",tblRoster[[#This Row],[나이]]=""),"",YEAR(TODAY())+(60-tblRoster[[#This Row],[나이]]))</f>
        <v/>
      </c>
      <c r="AH305" t="str">
        <f>IF(tblRoster[[#This Row],[직위]]="","일반","보직자")</f>
        <v>일반</v>
      </c>
      <c r="AI30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5" t="str">
        <f ca="1">IF(tblRoster[[#This Row],[복직예정일]]="","",TEXT(tblRoster[[#This Row],[복직예정일]],"yyyy-mm"))</f>
        <v/>
      </c>
      <c r="AM305" t="str">
        <f ca="1">IF(tblRoster[[#This Row],[복직예정일]]="","",tblRoster[[#This Row],[복직예정일]]-TODAY())</f>
        <v/>
      </c>
      <c r="AN305" t="str">
        <f ca="1">IF(tblRoster[[#This Row],[휴직잔여일수]]="","",IF(tblRoster[[#This Row],[휴직잔여일수]]&lt;=180,"6개월내","6개월이후"))</f>
        <v/>
      </c>
      <c r="AO30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6" spans="1:41" x14ac:dyDescent="0.3">
      <c r="A306">
        <v>900304</v>
      </c>
      <c r="B306" t="s">
        <v>67</v>
      </c>
      <c r="C306" t="s">
        <v>8</v>
      </c>
      <c r="D306">
        <v>33</v>
      </c>
      <c r="E306" t="s">
        <v>150</v>
      </c>
      <c r="F306" t="s">
        <v>216</v>
      </c>
      <c r="G306" t="s">
        <v>222</v>
      </c>
      <c r="H306" t="s">
        <v>175</v>
      </c>
      <c r="I306" t="s">
        <v>144</v>
      </c>
      <c r="J306" t="s">
        <v>145</v>
      </c>
      <c r="L306" t="s">
        <v>135</v>
      </c>
      <c r="M306" t="s">
        <v>135</v>
      </c>
      <c r="N306" s="1">
        <v>42401</v>
      </c>
      <c r="O306" s="1">
        <v>44927</v>
      </c>
      <c r="P306" s="1">
        <v>44927</v>
      </c>
      <c r="Q306" s="1">
        <v>44927</v>
      </c>
      <c r="R306">
        <v>13</v>
      </c>
      <c r="S306" t="s">
        <v>522</v>
      </c>
      <c r="T30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306" t="str">
        <f>IF(tblRoster[[#This Row],[급수]]="4급(임기제)","4급",tblRoster[[#This Row],[급수]])</f>
        <v>9급</v>
      </c>
      <c r="V30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30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06" t="str">
        <f>IF(OR(tblRoster[[#This Row],[교직원상세구분]]="사회복무요원",tblRoster[[#This Row],[교직원상세구분]]="인턴(수습)"),"제외","포함")</f>
        <v>포함</v>
      </c>
      <c r="Y306">
        <f>1</f>
        <v>1</v>
      </c>
      <c r="Z306">
        <f>IF(tblRoster[[#This Row],[재직상태구분]]="휴직",1,0)</f>
        <v>0</v>
      </c>
      <c r="AA30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06">
        <f ca="1">IF(tblRoster[[#This Row],[본교발령시작일자]]="","",DATEDIF(tblRoster[[#This Row],[본교발령시작일자]],TODAY(),"Y"))</f>
        <v>3</v>
      </c>
      <c r="AC306">
        <f ca="1">IF(tblRoster[[#This Row],[최초발령시작일자]]="","",DATEDIF(tblRoster[[#This Row],[최초발령시작일자]],TODAY(),"Y"))</f>
        <v>10</v>
      </c>
      <c r="AD30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06">
        <f ca="1">IF(tblRoster[[#This Row],[직급발령시작일자]]="","",ROUND(YEARFRAC(tblRoster[[#This Row],[직급발령시작일자]],TODAY()),1))</f>
        <v>3.7</v>
      </c>
      <c r="AF30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6">
        <f ca="1">IF(OR(tblRoster[[#This Row],[공무원구분]]&lt;&gt;"공무원",tblRoster[[#This Row],[나이]]=""),"",YEAR(TODAY())+(60-tblRoster[[#This Row],[나이]]))</f>
        <v>2053</v>
      </c>
      <c r="AH306" t="str">
        <f>IF(tblRoster[[#This Row],[직위]]="","일반","보직자")</f>
        <v>일반</v>
      </c>
      <c r="AI30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6" t="str">
        <f ca="1">IF(tblRoster[[#This Row],[복직예정일]]="","",TEXT(tblRoster[[#This Row],[복직예정일]],"yyyy-mm"))</f>
        <v/>
      </c>
      <c r="AM306" t="str">
        <f ca="1">IF(tblRoster[[#This Row],[복직예정일]]="","",tblRoster[[#This Row],[복직예정일]]-TODAY())</f>
        <v/>
      </c>
      <c r="AN306" t="str">
        <f ca="1">IF(tblRoster[[#This Row],[휴직잔여일수]]="","",IF(tblRoster[[#This Row],[휴직잔여일수]]&lt;=180,"6개월내","6개월이후"))</f>
        <v/>
      </c>
      <c r="AO30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7" spans="1:41" x14ac:dyDescent="0.3">
      <c r="A307">
        <v>900305</v>
      </c>
      <c r="B307" t="s">
        <v>523</v>
      </c>
      <c r="C307" t="s">
        <v>8</v>
      </c>
      <c r="D307">
        <v>47</v>
      </c>
      <c r="E307" t="s">
        <v>150</v>
      </c>
      <c r="F307" t="s">
        <v>236</v>
      </c>
      <c r="G307" t="s">
        <v>155</v>
      </c>
      <c r="H307" t="s">
        <v>180</v>
      </c>
      <c r="I307" t="s">
        <v>144</v>
      </c>
      <c r="J307" t="s">
        <v>145</v>
      </c>
      <c r="L307" t="s">
        <v>134</v>
      </c>
      <c r="M307" t="s">
        <v>135</v>
      </c>
      <c r="N307" s="1">
        <v>37803</v>
      </c>
      <c r="O307" s="1">
        <v>37803</v>
      </c>
      <c r="P307" s="1">
        <v>41030</v>
      </c>
      <c r="Q307" s="1">
        <v>41030</v>
      </c>
      <c r="R307">
        <v>23</v>
      </c>
      <c r="T30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07" t="str">
        <f>IF(tblRoster[[#This Row],[급수]]="4급(임기제)","4급",tblRoster[[#This Row],[급수]])</f>
        <v>7급</v>
      </c>
      <c r="V30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0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07" t="str">
        <f>IF(OR(tblRoster[[#This Row],[교직원상세구분]]="사회복무요원",tblRoster[[#This Row],[교직원상세구분]]="인턴(수습)"),"제외","포함")</f>
        <v>포함</v>
      </c>
      <c r="Y307">
        <f>1</f>
        <v>1</v>
      </c>
      <c r="Z307">
        <f>IF(tblRoster[[#This Row],[재직상태구분]]="휴직",1,0)</f>
        <v>0</v>
      </c>
      <c r="AA30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07">
        <f ca="1">IF(tblRoster[[#This Row],[본교발령시작일자]]="","",DATEDIF(tblRoster[[#This Row],[본교발령시작일자]],TODAY(),"Y"))</f>
        <v>23</v>
      </c>
      <c r="AC307">
        <f ca="1">IF(tblRoster[[#This Row],[최초발령시작일자]]="","",DATEDIF(tblRoster[[#This Row],[최초발령시작일자]],TODAY(),"Y"))</f>
        <v>23</v>
      </c>
      <c r="AD30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07">
        <f ca="1">IF(tblRoster[[#This Row],[직급발령시작일자]]="","",ROUND(YEARFRAC(tblRoster[[#This Row],[직급발령시작일자]],TODAY()),1))</f>
        <v>14.4</v>
      </c>
      <c r="AF30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07">
        <f ca="1">IF(OR(tblRoster[[#This Row],[공무원구분]]&lt;&gt;"공무원",tblRoster[[#This Row],[나이]]=""),"",YEAR(TODAY())+(60-tblRoster[[#This Row],[나이]]))</f>
        <v>2039</v>
      </c>
      <c r="AH307" t="str">
        <f>IF(tblRoster[[#This Row],[직위]]="","일반","보직자")</f>
        <v>일반</v>
      </c>
      <c r="AI30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7" t="str">
        <f ca="1">IF(tblRoster[[#This Row],[복직예정일]]="","",TEXT(tblRoster[[#This Row],[복직예정일]],"yyyy-mm"))</f>
        <v/>
      </c>
      <c r="AM307" t="str">
        <f ca="1">IF(tblRoster[[#This Row],[복직예정일]]="","",tblRoster[[#This Row],[복직예정일]]-TODAY())</f>
        <v/>
      </c>
      <c r="AN307" t="str">
        <f ca="1">IF(tblRoster[[#This Row],[휴직잔여일수]]="","",IF(tblRoster[[#This Row],[휴직잔여일수]]&lt;=180,"6개월내","6개월이후"))</f>
        <v/>
      </c>
      <c r="AO30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8" spans="1:41" x14ac:dyDescent="0.3">
      <c r="A308">
        <v>900306</v>
      </c>
      <c r="B308" t="s">
        <v>470</v>
      </c>
      <c r="C308" t="s">
        <v>8</v>
      </c>
      <c r="D308">
        <v>55</v>
      </c>
      <c r="E308" t="s">
        <v>128</v>
      </c>
      <c r="F308" t="s">
        <v>168</v>
      </c>
      <c r="G308" t="s">
        <v>185</v>
      </c>
      <c r="H308" t="s">
        <v>165</v>
      </c>
      <c r="I308" t="s">
        <v>144</v>
      </c>
      <c r="J308" t="s">
        <v>145</v>
      </c>
      <c r="L308" t="s">
        <v>135</v>
      </c>
      <c r="M308" t="s">
        <v>135</v>
      </c>
      <c r="N308" s="1">
        <v>35125</v>
      </c>
      <c r="O308" s="1">
        <v>35125</v>
      </c>
      <c r="P308" s="1">
        <v>41518</v>
      </c>
      <c r="Q308" s="1">
        <v>41518</v>
      </c>
      <c r="R308">
        <v>31</v>
      </c>
      <c r="T30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08" t="str">
        <f>IF(tblRoster[[#This Row],[급수]]="4급(임기제)","4급",tblRoster[[#This Row],[급수]])</f>
        <v>6급</v>
      </c>
      <c r="V30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0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08" t="str">
        <f>IF(OR(tblRoster[[#This Row],[교직원상세구분]]="사회복무요원",tblRoster[[#This Row],[교직원상세구분]]="인턴(수습)"),"제외","포함")</f>
        <v>포함</v>
      </c>
      <c r="Y308">
        <f>1</f>
        <v>1</v>
      </c>
      <c r="Z308">
        <f>IF(tblRoster[[#This Row],[재직상태구분]]="휴직",1,0)</f>
        <v>0</v>
      </c>
      <c r="AA30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08">
        <f ca="1">IF(tblRoster[[#This Row],[본교발령시작일자]]="","",DATEDIF(tblRoster[[#This Row],[본교발령시작일자]],TODAY(),"Y"))</f>
        <v>30</v>
      </c>
      <c r="AC308">
        <f ca="1">IF(tblRoster[[#This Row],[최초발령시작일자]]="","",DATEDIF(tblRoster[[#This Row],[최초발령시작일자]],TODAY(),"Y"))</f>
        <v>30</v>
      </c>
      <c r="AD30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08">
        <f ca="1">IF(tblRoster[[#This Row],[직급발령시작일자]]="","",ROUND(YEARFRAC(tblRoster[[#This Row],[직급발령시작일자]],TODAY()),1))</f>
        <v>13</v>
      </c>
      <c r="AF308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08">
        <f ca="1">IF(OR(tblRoster[[#This Row],[공무원구분]]&lt;&gt;"공무원",tblRoster[[#This Row],[나이]]=""),"",YEAR(TODAY())+(60-tblRoster[[#This Row],[나이]]))</f>
        <v>2031</v>
      </c>
      <c r="AH308" t="str">
        <f>IF(tblRoster[[#This Row],[직위]]="","일반","보직자")</f>
        <v>일반</v>
      </c>
      <c r="AI30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8" t="str">
        <f ca="1">IF(tblRoster[[#This Row],[복직예정일]]="","",TEXT(tblRoster[[#This Row],[복직예정일]],"yyyy-mm"))</f>
        <v/>
      </c>
      <c r="AM308" t="str">
        <f ca="1">IF(tblRoster[[#This Row],[복직예정일]]="","",tblRoster[[#This Row],[복직예정일]]-TODAY())</f>
        <v/>
      </c>
      <c r="AN308" t="str">
        <f ca="1">IF(tblRoster[[#This Row],[휴직잔여일수]]="","",IF(tblRoster[[#This Row],[휴직잔여일수]]&lt;=180,"6개월내","6개월이후"))</f>
        <v/>
      </c>
      <c r="AO30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09" spans="1:41" x14ac:dyDescent="0.3">
      <c r="A309">
        <v>900307</v>
      </c>
      <c r="B309" t="s">
        <v>524</v>
      </c>
      <c r="C309" t="s">
        <v>8</v>
      </c>
      <c r="D309">
        <v>27</v>
      </c>
      <c r="E309" t="s">
        <v>150</v>
      </c>
      <c r="F309" t="s">
        <v>141</v>
      </c>
      <c r="G309" t="s">
        <v>173</v>
      </c>
      <c r="H309" t="s">
        <v>337</v>
      </c>
      <c r="I309" t="s">
        <v>239</v>
      </c>
      <c r="J309" t="s">
        <v>133</v>
      </c>
      <c r="L309" t="s">
        <v>134</v>
      </c>
      <c r="M309" t="s">
        <v>135</v>
      </c>
      <c r="N309" s="1">
        <v>44409</v>
      </c>
      <c r="O309" s="1">
        <v>44409</v>
      </c>
      <c r="P309" s="1">
        <v>46266</v>
      </c>
      <c r="Q309" s="1">
        <v>46266</v>
      </c>
      <c r="R309">
        <v>7</v>
      </c>
      <c r="T30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09" t="str">
        <f>IF(tblRoster[[#This Row],[급수]]="4급(임기제)","4급",tblRoster[[#This Row],[급수]])</f>
        <v>대학회계직</v>
      </c>
      <c r="V30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0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09" t="str">
        <f>IF(OR(tblRoster[[#This Row],[교직원상세구분]]="사회복무요원",tblRoster[[#This Row],[교직원상세구분]]="인턴(수습)"),"제외","포함")</f>
        <v>포함</v>
      </c>
      <c r="Y309">
        <f>1</f>
        <v>1</v>
      </c>
      <c r="Z309">
        <f>IF(tblRoster[[#This Row],[재직상태구분]]="휴직",1,0)</f>
        <v>0</v>
      </c>
      <c r="AA30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09">
        <f ca="1">IF(tblRoster[[#This Row],[본교발령시작일자]]="","",DATEDIF(tblRoster[[#This Row],[본교발령시작일자]],TODAY(),"Y"))</f>
        <v>5</v>
      </c>
      <c r="AC309">
        <f ca="1">IF(tblRoster[[#This Row],[최초발령시작일자]]="","",DATEDIF(tblRoster[[#This Row],[최초발령시작일자]],TODAY(),"Y"))</f>
        <v>5</v>
      </c>
      <c r="AD30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09">
        <f ca="1">IF(tblRoster[[#This Row],[직급발령시작일자]]="","",ROUND(YEARFRAC(tblRoster[[#This Row],[직급발령시작일자]],TODAY()),1))</f>
        <v>0</v>
      </c>
      <c r="AF30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09" t="str">
        <f ca="1">IF(OR(tblRoster[[#This Row],[공무원구분]]&lt;&gt;"공무원",tblRoster[[#This Row],[나이]]=""),"",YEAR(TODAY())+(60-tblRoster[[#This Row],[나이]]))</f>
        <v/>
      </c>
      <c r="AH309" t="str">
        <f>IF(tblRoster[[#This Row],[직위]]="","일반","보직자")</f>
        <v>일반</v>
      </c>
      <c r="AI30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0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0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09" t="str">
        <f ca="1">IF(tblRoster[[#This Row],[복직예정일]]="","",TEXT(tblRoster[[#This Row],[복직예정일]],"yyyy-mm"))</f>
        <v/>
      </c>
      <c r="AM309" t="str">
        <f ca="1">IF(tblRoster[[#This Row],[복직예정일]]="","",tblRoster[[#This Row],[복직예정일]]-TODAY())</f>
        <v/>
      </c>
      <c r="AN309" t="str">
        <f ca="1">IF(tblRoster[[#This Row],[휴직잔여일수]]="","",IF(tblRoster[[#This Row],[휴직잔여일수]]&lt;=180,"6개월내","6개월이후"))</f>
        <v/>
      </c>
      <c r="AO30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0" spans="1:41" x14ac:dyDescent="0.3">
      <c r="A310">
        <v>900308</v>
      </c>
      <c r="B310" t="s">
        <v>525</v>
      </c>
      <c r="C310" t="s">
        <v>8</v>
      </c>
      <c r="D310">
        <v>45</v>
      </c>
      <c r="E310" t="s">
        <v>150</v>
      </c>
      <c r="F310" t="s">
        <v>266</v>
      </c>
      <c r="G310" t="s">
        <v>130</v>
      </c>
      <c r="H310" t="s">
        <v>223</v>
      </c>
      <c r="I310" t="s">
        <v>144</v>
      </c>
      <c r="J310" t="s">
        <v>145</v>
      </c>
      <c r="L310" t="s">
        <v>134</v>
      </c>
      <c r="M310" t="s">
        <v>135</v>
      </c>
      <c r="N310" s="1">
        <v>39083</v>
      </c>
      <c r="O310" s="1">
        <v>46143</v>
      </c>
      <c r="P310" s="1">
        <v>46143</v>
      </c>
      <c r="Q310" s="1">
        <v>46143</v>
      </c>
      <c r="R310">
        <v>21</v>
      </c>
      <c r="T31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10" t="str">
        <f>IF(tblRoster[[#This Row],[급수]]="4급(임기제)","4급",tblRoster[[#This Row],[급수]])</f>
        <v>8급</v>
      </c>
      <c r="V31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1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0" t="str">
        <f>IF(OR(tblRoster[[#This Row],[교직원상세구분]]="사회복무요원",tblRoster[[#This Row],[교직원상세구분]]="인턴(수습)"),"제외","포함")</f>
        <v>포함</v>
      </c>
      <c r="Y310">
        <f>1</f>
        <v>1</v>
      </c>
      <c r="Z310">
        <f>IF(tblRoster[[#This Row],[재직상태구분]]="휴직",1,0)</f>
        <v>0</v>
      </c>
      <c r="AA31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10">
        <f ca="1">IF(tblRoster[[#This Row],[본교발령시작일자]]="","",DATEDIF(tblRoster[[#This Row],[본교발령시작일자]],TODAY(),"Y"))</f>
        <v>0</v>
      </c>
      <c r="AC310">
        <f ca="1">IF(tblRoster[[#This Row],[최초발령시작일자]]="","",DATEDIF(tblRoster[[#This Row],[최초발령시작일자]],TODAY(),"Y"))</f>
        <v>19</v>
      </c>
      <c r="AD31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10">
        <f ca="1">IF(tblRoster[[#This Row],[직급발령시작일자]]="","",ROUND(YEARFRAC(tblRoster[[#This Row],[직급발령시작일자]],TODAY()),1))</f>
        <v>0.4</v>
      </c>
      <c r="AF31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0">
        <f ca="1">IF(OR(tblRoster[[#This Row],[공무원구분]]&lt;&gt;"공무원",tblRoster[[#This Row],[나이]]=""),"",YEAR(TODAY())+(60-tblRoster[[#This Row],[나이]]))</f>
        <v>2041</v>
      </c>
      <c r="AH310" t="str">
        <f>IF(tblRoster[[#This Row],[직위]]="","일반","보직자")</f>
        <v>일반</v>
      </c>
      <c r="AI31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0" t="str">
        <f ca="1">IF(tblRoster[[#This Row],[복직예정일]]="","",TEXT(tblRoster[[#This Row],[복직예정일]],"yyyy-mm"))</f>
        <v/>
      </c>
      <c r="AM310" t="str">
        <f ca="1">IF(tblRoster[[#This Row],[복직예정일]]="","",tblRoster[[#This Row],[복직예정일]]-TODAY())</f>
        <v/>
      </c>
      <c r="AN310" t="str">
        <f ca="1">IF(tblRoster[[#This Row],[휴직잔여일수]]="","",IF(tblRoster[[#This Row],[휴직잔여일수]]&lt;=180,"6개월내","6개월이후"))</f>
        <v/>
      </c>
      <c r="AO31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1" spans="1:41" x14ac:dyDescent="0.3">
      <c r="A311">
        <v>900309</v>
      </c>
      <c r="B311" t="s">
        <v>526</v>
      </c>
      <c r="C311" t="s">
        <v>8</v>
      </c>
      <c r="D311">
        <v>50</v>
      </c>
      <c r="E311" t="s">
        <v>128</v>
      </c>
      <c r="F311" t="s">
        <v>154</v>
      </c>
      <c r="G311" t="s">
        <v>222</v>
      </c>
      <c r="H311" t="s">
        <v>177</v>
      </c>
      <c r="I311" t="s">
        <v>144</v>
      </c>
      <c r="J311" t="s">
        <v>145</v>
      </c>
      <c r="L311" t="s">
        <v>134</v>
      </c>
      <c r="M311" t="s">
        <v>135</v>
      </c>
      <c r="N311" s="1">
        <v>38108</v>
      </c>
      <c r="O311" s="1">
        <v>38108</v>
      </c>
      <c r="P311" s="1">
        <v>41791</v>
      </c>
      <c r="Q311" s="1">
        <v>41791</v>
      </c>
      <c r="R311">
        <v>24</v>
      </c>
      <c r="T31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311" t="str">
        <f>IF(tblRoster[[#This Row],[급수]]="4급(임기제)","4급",tblRoster[[#This Row],[급수]])</f>
        <v>4급</v>
      </c>
      <c r="V31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31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1" t="str">
        <f>IF(OR(tblRoster[[#This Row],[교직원상세구분]]="사회복무요원",tblRoster[[#This Row],[교직원상세구분]]="인턴(수습)"),"제외","포함")</f>
        <v>포함</v>
      </c>
      <c r="Y311">
        <f>1</f>
        <v>1</v>
      </c>
      <c r="Z311">
        <f>IF(tblRoster[[#This Row],[재직상태구분]]="휴직",1,0)</f>
        <v>0</v>
      </c>
      <c r="AA31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11">
        <f ca="1">IF(tblRoster[[#This Row],[본교발령시작일자]]="","",DATEDIF(tblRoster[[#This Row],[본교발령시작일자]],TODAY(),"Y"))</f>
        <v>22</v>
      </c>
      <c r="AC311">
        <f ca="1">IF(tblRoster[[#This Row],[최초발령시작일자]]="","",DATEDIF(tblRoster[[#This Row],[최초발령시작일자]],TODAY(),"Y"))</f>
        <v>22</v>
      </c>
      <c r="AD31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11">
        <f ca="1">IF(tblRoster[[#This Row],[직급발령시작일자]]="","",ROUND(YEARFRAC(tblRoster[[#This Row],[직급발령시작일자]],TODAY()),1))</f>
        <v>12.3</v>
      </c>
      <c r="AF31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11">
        <f ca="1">IF(OR(tblRoster[[#This Row],[공무원구분]]&lt;&gt;"공무원",tblRoster[[#This Row],[나이]]=""),"",YEAR(TODAY())+(60-tblRoster[[#This Row],[나이]]))</f>
        <v>2036</v>
      </c>
      <c r="AH311" t="str">
        <f>IF(tblRoster[[#This Row],[직위]]="","일반","보직자")</f>
        <v>일반</v>
      </c>
      <c r="AI31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1" t="str">
        <f ca="1">IF(tblRoster[[#This Row],[복직예정일]]="","",TEXT(tblRoster[[#This Row],[복직예정일]],"yyyy-mm"))</f>
        <v/>
      </c>
      <c r="AM311" t="str">
        <f ca="1">IF(tblRoster[[#This Row],[복직예정일]]="","",tblRoster[[#This Row],[복직예정일]]-TODAY())</f>
        <v/>
      </c>
      <c r="AN311" t="str">
        <f ca="1">IF(tblRoster[[#This Row],[휴직잔여일수]]="","",IF(tblRoster[[#This Row],[휴직잔여일수]]&lt;=180,"6개월내","6개월이후"))</f>
        <v/>
      </c>
      <c r="AO31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2" spans="1:41" x14ac:dyDescent="0.3">
      <c r="A312">
        <v>900310</v>
      </c>
      <c r="B312" t="s">
        <v>527</v>
      </c>
      <c r="C312" t="s">
        <v>8</v>
      </c>
      <c r="D312">
        <v>49</v>
      </c>
      <c r="E312" t="s">
        <v>128</v>
      </c>
      <c r="F312" t="s">
        <v>158</v>
      </c>
      <c r="G312" t="s">
        <v>202</v>
      </c>
      <c r="H312" t="s">
        <v>175</v>
      </c>
      <c r="I312" t="s">
        <v>144</v>
      </c>
      <c r="J312" t="s">
        <v>145</v>
      </c>
      <c r="L312" t="s">
        <v>134</v>
      </c>
      <c r="M312" t="s">
        <v>135</v>
      </c>
      <c r="N312" s="1">
        <v>36982</v>
      </c>
      <c r="O312" s="1">
        <v>36982</v>
      </c>
      <c r="P312" s="1">
        <v>41944</v>
      </c>
      <c r="Q312" s="1">
        <v>41944</v>
      </c>
      <c r="R312">
        <v>25</v>
      </c>
      <c r="T31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312" t="str">
        <f>IF(tblRoster[[#This Row],[급수]]="4급(임기제)","4급",tblRoster[[#This Row],[급수]])</f>
        <v>9급</v>
      </c>
      <c r="V31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31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2" t="str">
        <f>IF(OR(tblRoster[[#This Row],[교직원상세구분]]="사회복무요원",tblRoster[[#This Row],[교직원상세구분]]="인턴(수습)"),"제외","포함")</f>
        <v>포함</v>
      </c>
      <c r="Y312">
        <f>1</f>
        <v>1</v>
      </c>
      <c r="Z312">
        <f>IF(tblRoster[[#This Row],[재직상태구분]]="휴직",1,0)</f>
        <v>0</v>
      </c>
      <c r="AA31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12">
        <f ca="1">IF(tblRoster[[#This Row],[본교발령시작일자]]="","",DATEDIF(tblRoster[[#This Row],[본교발령시작일자]],TODAY(),"Y"))</f>
        <v>25</v>
      </c>
      <c r="AC312">
        <f ca="1">IF(tblRoster[[#This Row],[최초발령시작일자]]="","",DATEDIF(tblRoster[[#This Row],[최초발령시작일자]],TODAY(),"Y"))</f>
        <v>25</v>
      </c>
      <c r="AD31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12">
        <f ca="1">IF(tblRoster[[#This Row],[직급발령시작일자]]="","",ROUND(YEARFRAC(tblRoster[[#This Row],[직급발령시작일자]],TODAY()),1))</f>
        <v>11.9</v>
      </c>
      <c r="AF31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12">
        <f ca="1">IF(OR(tblRoster[[#This Row],[공무원구분]]&lt;&gt;"공무원",tblRoster[[#This Row],[나이]]=""),"",YEAR(TODAY())+(60-tblRoster[[#This Row],[나이]]))</f>
        <v>2037</v>
      </c>
      <c r="AH312" t="str">
        <f>IF(tblRoster[[#This Row],[직위]]="","일반","보직자")</f>
        <v>일반</v>
      </c>
      <c r="AI31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2" t="str">
        <f ca="1">IF(tblRoster[[#This Row],[복직예정일]]="","",TEXT(tblRoster[[#This Row],[복직예정일]],"yyyy-mm"))</f>
        <v/>
      </c>
      <c r="AM312" t="str">
        <f ca="1">IF(tblRoster[[#This Row],[복직예정일]]="","",tblRoster[[#This Row],[복직예정일]]-TODAY())</f>
        <v/>
      </c>
      <c r="AN312" t="str">
        <f ca="1">IF(tblRoster[[#This Row],[휴직잔여일수]]="","",IF(tblRoster[[#This Row],[휴직잔여일수]]&lt;=180,"6개월내","6개월이후"))</f>
        <v/>
      </c>
      <c r="AO31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3" spans="1:41" x14ac:dyDescent="0.3">
      <c r="A313">
        <v>900311</v>
      </c>
      <c r="B313" t="s">
        <v>528</v>
      </c>
      <c r="C313" t="s">
        <v>8</v>
      </c>
      <c r="D313">
        <v>33</v>
      </c>
      <c r="E313" t="s">
        <v>150</v>
      </c>
      <c r="F313" t="s">
        <v>246</v>
      </c>
      <c r="G313" t="s">
        <v>202</v>
      </c>
      <c r="H313" t="s">
        <v>180</v>
      </c>
      <c r="I313" t="s">
        <v>144</v>
      </c>
      <c r="J313" t="s">
        <v>145</v>
      </c>
      <c r="L313" t="s">
        <v>135</v>
      </c>
      <c r="M313" t="s">
        <v>135</v>
      </c>
      <c r="N313" s="1">
        <v>43891</v>
      </c>
      <c r="O313" s="1">
        <v>43891</v>
      </c>
      <c r="P313" s="1">
        <v>44743</v>
      </c>
      <c r="Q313" s="1">
        <v>44743</v>
      </c>
      <c r="R313">
        <v>8</v>
      </c>
      <c r="T31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13" t="str">
        <f>IF(tblRoster[[#This Row],[급수]]="4급(임기제)","4급",tblRoster[[#This Row],[급수]])</f>
        <v>7급</v>
      </c>
      <c r="V31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1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3" t="str">
        <f>IF(OR(tblRoster[[#This Row],[교직원상세구분]]="사회복무요원",tblRoster[[#This Row],[교직원상세구분]]="인턴(수습)"),"제외","포함")</f>
        <v>포함</v>
      </c>
      <c r="Y313">
        <f>1</f>
        <v>1</v>
      </c>
      <c r="Z313">
        <f>IF(tblRoster[[#This Row],[재직상태구분]]="휴직",1,0)</f>
        <v>0</v>
      </c>
      <c r="AA31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13">
        <f ca="1">IF(tblRoster[[#This Row],[본교발령시작일자]]="","",DATEDIF(tblRoster[[#This Row],[본교발령시작일자]],TODAY(),"Y"))</f>
        <v>6</v>
      </c>
      <c r="AC313">
        <f ca="1">IF(tblRoster[[#This Row],[최초발령시작일자]]="","",DATEDIF(tblRoster[[#This Row],[최초발령시작일자]],TODAY(),"Y"))</f>
        <v>6</v>
      </c>
      <c r="AD31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13">
        <f ca="1">IF(tblRoster[[#This Row],[직급발령시작일자]]="","",ROUND(YEARFRAC(tblRoster[[#This Row],[직급발령시작일자]],TODAY()),1))</f>
        <v>4.2</v>
      </c>
      <c r="AF31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3">
        <f ca="1">IF(OR(tblRoster[[#This Row],[공무원구분]]&lt;&gt;"공무원",tblRoster[[#This Row],[나이]]=""),"",YEAR(TODAY())+(60-tblRoster[[#This Row],[나이]]))</f>
        <v>2053</v>
      </c>
      <c r="AH313" t="str">
        <f>IF(tblRoster[[#This Row],[직위]]="","일반","보직자")</f>
        <v>일반</v>
      </c>
      <c r="AI31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3" t="str">
        <f ca="1">IF(tblRoster[[#This Row],[복직예정일]]="","",TEXT(tblRoster[[#This Row],[복직예정일]],"yyyy-mm"))</f>
        <v/>
      </c>
      <c r="AM313" t="str">
        <f ca="1">IF(tblRoster[[#This Row],[복직예정일]]="","",tblRoster[[#This Row],[복직예정일]]-TODAY())</f>
        <v/>
      </c>
      <c r="AN313" t="str">
        <f ca="1">IF(tblRoster[[#This Row],[휴직잔여일수]]="","",IF(tblRoster[[#This Row],[휴직잔여일수]]&lt;=180,"6개월내","6개월이후"))</f>
        <v/>
      </c>
      <c r="AO31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4" spans="1:41" x14ac:dyDescent="0.3">
      <c r="A314">
        <v>900312</v>
      </c>
      <c r="B314" t="s">
        <v>529</v>
      </c>
      <c r="C314" t="s">
        <v>8</v>
      </c>
      <c r="D314">
        <v>33</v>
      </c>
      <c r="E314" t="s">
        <v>150</v>
      </c>
      <c r="F314" t="s">
        <v>179</v>
      </c>
      <c r="G314" t="s">
        <v>151</v>
      </c>
      <c r="H314" t="s">
        <v>148</v>
      </c>
      <c r="I314" t="s">
        <v>132</v>
      </c>
      <c r="J314" t="s">
        <v>133</v>
      </c>
      <c r="L314" t="s">
        <v>134</v>
      </c>
      <c r="M314" t="s">
        <v>135</v>
      </c>
      <c r="N314" s="1">
        <v>44774</v>
      </c>
      <c r="O314" s="1">
        <v>44593</v>
      </c>
      <c r="P314" s="1">
        <v>44593</v>
      </c>
      <c r="Q314" s="1">
        <v>44593</v>
      </c>
      <c r="R314">
        <v>6</v>
      </c>
      <c r="T31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14" t="str">
        <f>IF(tblRoster[[#This Row],[급수]]="4급(임기제)","4급",tblRoster[[#This Row],[급수]])</f>
        <v>대학회계계약직</v>
      </c>
      <c r="V31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1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14" t="str">
        <f>IF(OR(tblRoster[[#This Row],[교직원상세구분]]="사회복무요원",tblRoster[[#This Row],[교직원상세구분]]="인턴(수습)"),"제외","포함")</f>
        <v>포함</v>
      </c>
      <c r="Y314">
        <f>1</f>
        <v>1</v>
      </c>
      <c r="Z314">
        <f>IF(tblRoster[[#This Row],[재직상태구분]]="휴직",1,0)</f>
        <v>0</v>
      </c>
      <c r="AA31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14">
        <f ca="1">IF(tblRoster[[#This Row],[본교발령시작일자]]="","",DATEDIF(tblRoster[[#This Row],[본교발령시작일자]],TODAY(),"Y"))</f>
        <v>4</v>
      </c>
      <c r="AC314">
        <f ca="1">IF(tblRoster[[#This Row],[최초발령시작일자]]="","",DATEDIF(tblRoster[[#This Row],[최초발령시작일자]],TODAY(),"Y"))</f>
        <v>4</v>
      </c>
      <c r="AD31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14">
        <f ca="1">IF(tblRoster[[#This Row],[직급발령시작일자]]="","",ROUND(YEARFRAC(tblRoster[[#This Row],[직급발령시작일자]],TODAY()),1))</f>
        <v>4.5999999999999996</v>
      </c>
      <c r="AF31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4" t="str">
        <f ca="1">IF(OR(tblRoster[[#This Row],[공무원구분]]&lt;&gt;"공무원",tblRoster[[#This Row],[나이]]=""),"",YEAR(TODAY())+(60-tblRoster[[#This Row],[나이]]))</f>
        <v/>
      </c>
      <c r="AH314" t="str">
        <f>IF(tblRoster[[#This Row],[직위]]="","일반","보직자")</f>
        <v>일반</v>
      </c>
      <c r="AI31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4" t="str">
        <f ca="1">IF(tblRoster[[#This Row],[복직예정일]]="","",TEXT(tblRoster[[#This Row],[복직예정일]],"yyyy-mm"))</f>
        <v/>
      </c>
      <c r="AM314" t="str">
        <f ca="1">IF(tblRoster[[#This Row],[복직예정일]]="","",tblRoster[[#This Row],[복직예정일]]-TODAY())</f>
        <v/>
      </c>
      <c r="AN314" t="str">
        <f ca="1">IF(tblRoster[[#This Row],[휴직잔여일수]]="","",IF(tblRoster[[#This Row],[휴직잔여일수]]&lt;=180,"6개월내","6개월이후"))</f>
        <v/>
      </c>
      <c r="AO31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5" spans="1:41" x14ac:dyDescent="0.3">
      <c r="A315">
        <v>900313</v>
      </c>
      <c r="B315" t="s">
        <v>530</v>
      </c>
      <c r="C315" t="s">
        <v>8</v>
      </c>
      <c r="D315">
        <v>30</v>
      </c>
      <c r="E315" t="s">
        <v>150</v>
      </c>
      <c r="F315" t="s">
        <v>246</v>
      </c>
      <c r="G315" t="s">
        <v>222</v>
      </c>
      <c r="H315" t="s">
        <v>148</v>
      </c>
      <c r="I315" t="s">
        <v>132</v>
      </c>
      <c r="J315" t="s">
        <v>133</v>
      </c>
      <c r="L315" t="s">
        <v>135</v>
      </c>
      <c r="M315" t="s">
        <v>135</v>
      </c>
      <c r="N315" s="1">
        <v>44105</v>
      </c>
      <c r="O315" s="1">
        <v>44105</v>
      </c>
      <c r="P315" s="1">
        <v>46082</v>
      </c>
      <c r="Q315" s="1">
        <v>46082</v>
      </c>
      <c r="R315">
        <v>7</v>
      </c>
      <c r="T31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15" t="str">
        <f>IF(tblRoster[[#This Row],[급수]]="4급(임기제)","4급",tblRoster[[#This Row],[급수]])</f>
        <v>대학회계계약직</v>
      </c>
      <c r="V31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1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15" t="str">
        <f>IF(OR(tblRoster[[#This Row],[교직원상세구분]]="사회복무요원",tblRoster[[#This Row],[교직원상세구분]]="인턴(수습)"),"제외","포함")</f>
        <v>포함</v>
      </c>
      <c r="Y315">
        <f>1</f>
        <v>1</v>
      </c>
      <c r="Z315">
        <f>IF(tblRoster[[#This Row],[재직상태구분]]="휴직",1,0)</f>
        <v>0</v>
      </c>
      <c r="AA31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15">
        <f ca="1">IF(tblRoster[[#This Row],[본교발령시작일자]]="","",DATEDIF(tblRoster[[#This Row],[본교발령시작일자]],TODAY(),"Y"))</f>
        <v>5</v>
      </c>
      <c r="AC315">
        <f ca="1">IF(tblRoster[[#This Row],[최초발령시작일자]]="","",DATEDIF(tblRoster[[#This Row],[최초발령시작일자]],TODAY(),"Y"))</f>
        <v>5</v>
      </c>
      <c r="AD31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15">
        <f ca="1">IF(tblRoster[[#This Row],[직급발령시작일자]]="","",ROUND(YEARFRAC(tblRoster[[#This Row],[직급발령시작일자]],TODAY()),1))</f>
        <v>0.5</v>
      </c>
      <c r="AF31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5" t="str">
        <f ca="1">IF(OR(tblRoster[[#This Row],[공무원구분]]&lt;&gt;"공무원",tblRoster[[#This Row],[나이]]=""),"",YEAR(TODAY())+(60-tblRoster[[#This Row],[나이]]))</f>
        <v/>
      </c>
      <c r="AH315" t="str">
        <f>IF(tblRoster[[#This Row],[직위]]="","일반","보직자")</f>
        <v>일반</v>
      </c>
      <c r="AI31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5" t="str">
        <f ca="1">IF(tblRoster[[#This Row],[복직예정일]]="","",TEXT(tblRoster[[#This Row],[복직예정일]],"yyyy-mm"))</f>
        <v/>
      </c>
      <c r="AM315" t="str">
        <f ca="1">IF(tblRoster[[#This Row],[복직예정일]]="","",tblRoster[[#This Row],[복직예정일]]-TODAY())</f>
        <v/>
      </c>
      <c r="AN315" t="str">
        <f ca="1">IF(tblRoster[[#This Row],[휴직잔여일수]]="","",IF(tblRoster[[#This Row],[휴직잔여일수]]&lt;=180,"6개월내","6개월이후"))</f>
        <v/>
      </c>
      <c r="AO31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6" spans="1:41" x14ac:dyDescent="0.3">
      <c r="A316">
        <v>900314</v>
      </c>
      <c r="B316" t="s">
        <v>531</v>
      </c>
      <c r="C316" t="s">
        <v>8</v>
      </c>
      <c r="D316">
        <v>58</v>
      </c>
      <c r="E316" t="s">
        <v>150</v>
      </c>
      <c r="F316" t="s">
        <v>141</v>
      </c>
      <c r="G316" t="s">
        <v>138</v>
      </c>
      <c r="H316" t="s">
        <v>230</v>
      </c>
      <c r="I316" t="s">
        <v>144</v>
      </c>
      <c r="J316" t="s">
        <v>145</v>
      </c>
      <c r="L316" t="s">
        <v>134</v>
      </c>
      <c r="M316" t="s">
        <v>135</v>
      </c>
      <c r="N316" s="1">
        <v>33573</v>
      </c>
      <c r="O316" s="1">
        <v>44256</v>
      </c>
      <c r="P316" s="1">
        <v>44501</v>
      </c>
      <c r="Q316" s="1">
        <v>44501</v>
      </c>
      <c r="R316">
        <v>37</v>
      </c>
      <c r="T31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16" t="str">
        <f>IF(tblRoster[[#This Row],[급수]]="4급(임기제)","4급",tblRoster[[#This Row],[급수]])</f>
        <v>6급</v>
      </c>
      <c r="V31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1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6" t="str">
        <f>IF(OR(tblRoster[[#This Row],[교직원상세구분]]="사회복무요원",tblRoster[[#This Row],[교직원상세구분]]="인턴(수습)"),"제외","포함")</f>
        <v>포함</v>
      </c>
      <c r="Y316">
        <f>1</f>
        <v>1</v>
      </c>
      <c r="Z316">
        <f>IF(tblRoster[[#This Row],[재직상태구분]]="휴직",1,0)</f>
        <v>0</v>
      </c>
      <c r="AA31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16">
        <f ca="1">IF(tblRoster[[#This Row],[본교발령시작일자]]="","",DATEDIF(tblRoster[[#This Row],[본교발령시작일자]],TODAY(),"Y"))</f>
        <v>5</v>
      </c>
      <c r="AC316">
        <f ca="1">IF(tblRoster[[#This Row],[최초발령시작일자]]="","",DATEDIF(tblRoster[[#This Row],[최초발령시작일자]],TODAY(),"Y"))</f>
        <v>34</v>
      </c>
      <c r="AD31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16">
        <f ca="1">IF(tblRoster[[#This Row],[직급발령시작일자]]="","",ROUND(YEARFRAC(tblRoster[[#This Row],[직급발령시작일자]],TODAY()),1))</f>
        <v>4.9000000000000004</v>
      </c>
      <c r="AF31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6">
        <f ca="1">IF(OR(tblRoster[[#This Row],[공무원구분]]&lt;&gt;"공무원",tblRoster[[#This Row],[나이]]=""),"",YEAR(TODAY())+(60-tblRoster[[#This Row],[나이]]))</f>
        <v>2028</v>
      </c>
      <c r="AH316" t="str">
        <f>IF(tblRoster[[#This Row],[직위]]="","일반","보직자")</f>
        <v>일반</v>
      </c>
      <c r="AI31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6" t="str">
        <f ca="1">IF(tblRoster[[#This Row],[복직예정일]]="","",TEXT(tblRoster[[#This Row],[복직예정일]],"yyyy-mm"))</f>
        <v/>
      </c>
      <c r="AM316" t="str">
        <f ca="1">IF(tblRoster[[#This Row],[복직예정일]]="","",tblRoster[[#This Row],[복직예정일]]-TODAY())</f>
        <v/>
      </c>
      <c r="AN316" t="str">
        <f ca="1">IF(tblRoster[[#This Row],[휴직잔여일수]]="","",IF(tblRoster[[#This Row],[휴직잔여일수]]&lt;=180,"6개월내","6개월이후"))</f>
        <v/>
      </c>
      <c r="AO31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7" spans="1:41" x14ac:dyDescent="0.3">
      <c r="A317">
        <v>900315</v>
      </c>
      <c r="B317" t="s">
        <v>532</v>
      </c>
      <c r="C317" t="s">
        <v>8</v>
      </c>
      <c r="D317">
        <v>35</v>
      </c>
      <c r="E317" t="s">
        <v>150</v>
      </c>
      <c r="F317" t="s">
        <v>168</v>
      </c>
      <c r="G317" t="s">
        <v>197</v>
      </c>
      <c r="H317" t="s">
        <v>219</v>
      </c>
      <c r="I317" t="s">
        <v>144</v>
      </c>
      <c r="J317" t="s">
        <v>145</v>
      </c>
      <c r="L317" t="s">
        <v>134</v>
      </c>
      <c r="M317" t="s">
        <v>135</v>
      </c>
      <c r="N317" s="1">
        <v>42005</v>
      </c>
      <c r="O317" s="1">
        <v>46357</v>
      </c>
      <c r="P317" s="1">
        <v>46357</v>
      </c>
      <c r="Q317" s="1">
        <v>46357</v>
      </c>
      <c r="T31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17" t="str">
        <f>IF(tblRoster[[#This Row],[급수]]="4급(임기제)","4급",tblRoster[[#This Row],[급수]])</f>
        <v>8급</v>
      </c>
      <c r="V31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1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17" t="str">
        <f>IF(OR(tblRoster[[#This Row],[교직원상세구분]]="사회복무요원",tblRoster[[#This Row],[교직원상세구분]]="인턴(수습)"),"제외","포함")</f>
        <v>포함</v>
      </c>
      <c r="Y317">
        <f>1</f>
        <v>1</v>
      </c>
      <c r="Z317">
        <f>IF(tblRoster[[#This Row],[재직상태구분]]="휴직",1,0)</f>
        <v>0</v>
      </c>
      <c r="AA31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17" t="e">
        <f ca="1">IF(tblRoster[[#This Row],[본교발령시작일자]]="","",DATEDIF(tblRoster[[#This Row],[본교발령시작일자]],TODAY(),"Y"))</f>
        <v>#NUM!</v>
      </c>
      <c r="AC317">
        <f ca="1">IF(tblRoster[[#This Row],[최초발령시작일자]]="","",DATEDIF(tblRoster[[#This Row],[최초발령시작일자]],TODAY(),"Y"))</f>
        <v>11</v>
      </c>
      <c r="AD31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17">
        <f ca="1">IF(tblRoster[[#This Row],[직급발령시작일자]]="","",ROUND(YEARFRAC(tblRoster[[#This Row],[직급발령시작일자]],TODAY()),1))</f>
        <v>0.2</v>
      </c>
      <c r="AF31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7">
        <f ca="1">IF(OR(tblRoster[[#This Row],[공무원구분]]&lt;&gt;"공무원",tblRoster[[#This Row],[나이]]=""),"",YEAR(TODAY())+(60-tblRoster[[#This Row],[나이]]))</f>
        <v>2051</v>
      </c>
      <c r="AH317" t="str">
        <f>IF(tblRoster[[#This Row],[직위]]="","일반","보직자")</f>
        <v>일반</v>
      </c>
      <c r="AI31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7" t="str">
        <f ca="1">IF(tblRoster[[#This Row],[복직예정일]]="","",TEXT(tblRoster[[#This Row],[복직예정일]],"yyyy-mm"))</f>
        <v/>
      </c>
      <c r="AM317" t="str">
        <f ca="1">IF(tblRoster[[#This Row],[복직예정일]]="","",tblRoster[[#This Row],[복직예정일]]-TODAY())</f>
        <v/>
      </c>
      <c r="AN317" t="str">
        <f ca="1">IF(tblRoster[[#This Row],[휴직잔여일수]]="","",IF(tblRoster[[#This Row],[휴직잔여일수]]&lt;=180,"6개월내","6개월이후"))</f>
        <v/>
      </c>
      <c r="AO31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8" spans="1:41" x14ac:dyDescent="0.3">
      <c r="A318">
        <v>900316</v>
      </c>
      <c r="B318" t="s">
        <v>533</v>
      </c>
      <c r="C318" t="s">
        <v>8</v>
      </c>
      <c r="D318">
        <v>44</v>
      </c>
      <c r="E318" t="s">
        <v>150</v>
      </c>
      <c r="F318" t="s">
        <v>171</v>
      </c>
      <c r="G318" t="s">
        <v>197</v>
      </c>
      <c r="H318" t="s">
        <v>131</v>
      </c>
      <c r="I318" t="s">
        <v>132</v>
      </c>
      <c r="J318" t="s">
        <v>133</v>
      </c>
      <c r="L318" t="s">
        <v>135</v>
      </c>
      <c r="M318" t="s">
        <v>135</v>
      </c>
      <c r="N318" s="1">
        <v>43922</v>
      </c>
      <c r="O318" s="1">
        <v>43922</v>
      </c>
      <c r="P318" s="1">
        <v>45717</v>
      </c>
      <c r="Q318" s="1">
        <v>45717</v>
      </c>
      <c r="R318">
        <v>7</v>
      </c>
      <c r="T31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18" t="str">
        <f>IF(tblRoster[[#This Row],[급수]]="4급(임기제)","4급",tblRoster[[#This Row],[급수]])</f>
        <v>대학회계계약직</v>
      </c>
      <c r="V31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1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18" t="str">
        <f>IF(OR(tblRoster[[#This Row],[교직원상세구분]]="사회복무요원",tblRoster[[#This Row],[교직원상세구분]]="인턴(수습)"),"제외","포함")</f>
        <v>포함</v>
      </c>
      <c r="Y318">
        <f>1</f>
        <v>1</v>
      </c>
      <c r="Z318">
        <f>IF(tblRoster[[#This Row],[재직상태구분]]="휴직",1,0)</f>
        <v>0</v>
      </c>
      <c r="AA31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18">
        <f ca="1">IF(tblRoster[[#This Row],[본교발령시작일자]]="","",DATEDIF(tblRoster[[#This Row],[본교발령시작일자]],TODAY(),"Y"))</f>
        <v>6</v>
      </c>
      <c r="AC318">
        <f ca="1">IF(tblRoster[[#This Row],[최초발령시작일자]]="","",DATEDIF(tblRoster[[#This Row],[최초발령시작일자]],TODAY(),"Y"))</f>
        <v>6</v>
      </c>
      <c r="AD31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18">
        <f ca="1">IF(tblRoster[[#This Row],[직급발령시작일자]]="","",ROUND(YEARFRAC(tblRoster[[#This Row],[직급발령시작일자]],TODAY()),1))</f>
        <v>1.5</v>
      </c>
      <c r="AF31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8" t="str">
        <f ca="1">IF(OR(tblRoster[[#This Row],[공무원구분]]&lt;&gt;"공무원",tblRoster[[#This Row],[나이]]=""),"",YEAR(TODAY())+(60-tblRoster[[#This Row],[나이]]))</f>
        <v/>
      </c>
      <c r="AH318" t="str">
        <f>IF(tblRoster[[#This Row],[직위]]="","일반","보직자")</f>
        <v>일반</v>
      </c>
      <c r="AI31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1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1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18" t="str">
        <f ca="1">IF(tblRoster[[#This Row],[복직예정일]]="","",TEXT(tblRoster[[#This Row],[복직예정일]],"yyyy-mm"))</f>
        <v/>
      </c>
      <c r="AM318" t="str">
        <f ca="1">IF(tblRoster[[#This Row],[복직예정일]]="","",tblRoster[[#This Row],[복직예정일]]-TODAY())</f>
        <v/>
      </c>
      <c r="AN318" t="str">
        <f ca="1">IF(tblRoster[[#This Row],[휴직잔여일수]]="","",IF(tblRoster[[#This Row],[휴직잔여일수]]&lt;=180,"6개월내","6개월이후"))</f>
        <v/>
      </c>
      <c r="AO31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19" spans="1:41" x14ac:dyDescent="0.3">
      <c r="A319">
        <v>900317</v>
      </c>
      <c r="B319" t="s">
        <v>68</v>
      </c>
      <c r="C319" t="s">
        <v>16</v>
      </c>
      <c r="D319">
        <v>39</v>
      </c>
      <c r="E319" t="s">
        <v>150</v>
      </c>
      <c r="F319" t="s">
        <v>154</v>
      </c>
      <c r="G319" t="s">
        <v>211</v>
      </c>
      <c r="H319" t="s">
        <v>148</v>
      </c>
      <c r="I319" t="s">
        <v>132</v>
      </c>
      <c r="J319" t="s">
        <v>133</v>
      </c>
      <c r="L319" t="s">
        <v>134</v>
      </c>
      <c r="M319" t="s">
        <v>135</v>
      </c>
      <c r="N319" s="1">
        <v>45597</v>
      </c>
      <c r="O319" s="1">
        <v>45597</v>
      </c>
      <c r="P319" s="1">
        <v>45597</v>
      </c>
      <c r="Q319" s="1">
        <v>45597</v>
      </c>
      <c r="S319" t="s">
        <v>534</v>
      </c>
      <c r="T31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19" t="str">
        <f>IF(tblRoster[[#This Row],[급수]]="4급(임기제)","4급",tblRoster[[#This Row],[급수]])</f>
        <v>대학회계계약직</v>
      </c>
      <c r="V31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1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19" t="str">
        <f>IF(OR(tblRoster[[#This Row],[교직원상세구분]]="사회복무요원",tblRoster[[#This Row],[교직원상세구분]]="인턴(수습)"),"제외","포함")</f>
        <v>포함</v>
      </c>
      <c r="Y319">
        <f>1</f>
        <v>1</v>
      </c>
      <c r="Z319">
        <f>IF(tblRoster[[#This Row],[재직상태구분]]="휴직",1,0)</f>
        <v>1</v>
      </c>
      <c r="AA31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19">
        <f ca="1">IF(tblRoster[[#This Row],[본교발령시작일자]]="","",DATEDIF(tblRoster[[#This Row],[본교발령시작일자]],TODAY(),"Y"))</f>
        <v>1</v>
      </c>
      <c r="AC319">
        <f ca="1">IF(tblRoster[[#This Row],[최초발령시작일자]]="","",DATEDIF(tblRoster[[#This Row],[최초발령시작일자]],TODAY(),"Y"))</f>
        <v>1</v>
      </c>
      <c r="AD31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19">
        <f ca="1">IF(tblRoster[[#This Row],[직급발령시작일자]]="","",ROUND(YEARFRAC(tblRoster[[#This Row],[직급발령시작일자]],TODAY()),1))</f>
        <v>1.9</v>
      </c>
      <c r="AF31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19" t="str">
        <f ca="1">IF(OR(tblRoster[[#This Row],[공무원구분]]&lt;&gt;"공무원",tblRoster[[#This Row],[나이]]=""),"",YEAR(TODAY())+(60-tblRoster[[#This Row],[나이]]))</f>
        <v/>
      </c>
      <c r="AH319" t="str">
        <f>IF(tblRoster[[#This Row],[직위]]="","일반","보직자")</f>
        <v>일반</v>
      </c>
      <c r="AI319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45942</v>
      </c>
      <c r="AJ31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319" s="1">
        <f ca="1">IF(tblRoster[[#This Row],[현재휴직시작일]]="","",IFERROR(INDEX(tblLeave[종료일],MATCH(tblRoster[[#This Row],[교직원번호]]&amp;"|"&amp;tblRoster[[#This Row],[현재휴직시작일]],tblLeave[매칭키],0)),""))</f>
        <v>46489</v>
      </c>
      <c r="AL319" t="str">
        <f ca="1">IF(tblRoster[[#This Row],[복직예정일]]="","",TEXT(tblRoster[[#This Row],[복직예정일]],"yyyy-mm"))</f>
        <v>2027-04</v>
      </c>
      <c r="AM319">
        <f ca="1">IF(tblRoster[[#This Row],[복직예정일]]="","",tblRoster[[#This Row],[복직예정일]]-TODAY())</f>
        <v>217</v>
      </c>
      <c r="AN319" t="str">
        <f ca="1">IF(tblRoster[[#This Row],[휴직잔여일수]]="","",IF(tblRoster[[#This Row],[휴직잔여일수]]&lt;=180,"6개월내","6개월이후"))</f>
        <v>6개월이후</v>
      </c>
      <c r="AO31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0" spans="1:41" x14ac:dyDescent="0.3">
      <c r="A320">
        <v>900318</v>
      </c>
      <c r="B320" t="s">
        <v>535</v>
      </c>
      <c r="C320" t="s">
        <v>8</v>
      </c>
      <c r="D320">
        <v>50</v>
      </c>
      <c r="E320" t="s">
        <v>128</v>
      </c>
      <c r="F320" t="s">
        <v>129</v>
      </c>
      <c r="G320" t="s">
        <v>142</v>
      </c>
      <c r="H320" t="s">
        <v>148</v>
      </c>
      <c r="I320" t="s">
        <v>132</v>
      </c>
      <c r="J320" t="s">
        <v>133</v>
      </c>
      <c r="L320" t="s">
        <v>134</v>
      </c>
      <c r="M320" t="s">
        <v>135</v>
      </c>
      <c r="N320" s="1">
        <v>43132</v>
      </c>
      <c r="O320" s="1">
        <v>43132</v>
      </c>
      <c r="P320" s="1">
        <v>45261</v>
      </c>
      <c r="Q320" s="1">
        <v>45261</v>
      </c>
      <c r="R320">
        <v>11</v>
      </c>
      <c r="T32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20" t="str">
        <f>IF(tblRoster[[#This Row],[급수]]="4급(임기제)","4급",tblRoster[[#This Row],[급수]])</f>
        <v>대학회계계약직</v>
      </c>
      <c r="V32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2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20" t="str">
        <f>IF(OR(tblRoster[[#This Row],[교직원상세구분]]="사회복무요원",tblRoster[[#This Row],[교직원상세구분]]="인턴(수습)"),"제외","포함")</f>
        <v>포함</v>
      </c>
      <c r="Y320">
        <f>1</f>
        <v>1</v>
      </c>
      <c r="Z320">
        <f>IF(tblRoster[[#This Row],[재직상태구분]]="휴직",1,0)</f>
        <v>0</v>
      </c>
      <c r="AA32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20">
        <f ca="1">IF(tblRoster[[#This Row],[본교발령시작일자]]="","",DATEDIF(tblRoster[[#This Row],[본교발령시작일자]],TODAY(),"Y"))</f>
        <v>8</v>
      </c>
      <c r="AC320">
        <f ca="1">IF(tblRoster[[#This Row],[최초발령시작일자]]="","",DATEDIF(tblRoster[[#This Row],[최초발령시작일자]],TODAY(),"Y"))</f>
        <v>8</v>
      </c>
      <c r="AD32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20">
        <f ca="1">IF(tblRoster[[#This Row],[직급발령시작일자]]="","",ROUND(YEARFRAC(tblRoster[[#This Row],[직급발령시작일자]],TODAY()),1))</f>
        <v>2.8</v>
      </c>
      <c r="AF32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20" t="str">
        <f ca="1">IF(OR(tblRoster[[#This Row],[공무원구분]]&lt;&gt;"공무원",tblRoster[[#This Row],[나이]]=""),"",YEAR(TODAY())+(60-tblRoster[[#This Row],[나이]]))</f>
        <v/>
      </c>
      <c r="AH320" t="str">
        <f>IF(tblRoster[[#This Row],[직위]]="","일반","보직자")</f>
        <v>일반</v>
      </c>
      <c r="AI32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0" t="str">
        <f ca="1">IF(tblRoster[[#This Row],[복직예정일]]="","",TEXT(tblRoster[[#This Row],[복직예정일]],"yyyy-mm"))</f>
        <v/>
      </c>
      <c r="AM320" t="str">
        <f ca="1">IF(tblRoster[[#This Row],[복직예정일]]="","",tblRoster[[#This Row],[복직예정일]]-TODAY())</f>
        <v/>
      </c>
      <c r="AN320" t="str">
        <f ca="1">IF(tblRoster[[#This Row],[휴직잔여일수]]="","",IF(tblRoster[[#This Row],[휴직잔여일수]]&lt;=180,"6개월내","6개월이후"))</f>
        <v/>
      </c>
      <c r="AO32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1" spans="1:41" x14ac:dyDescent="0.3">
      <c r="A321">
        <v>900319</v>
      </c>
      <c r="B321" t="s">
        <v>536</v>
      </c>
      <c r="C321" t="s">
        <v>8</v>
      </c>
      <c r="D321">
        <v>49</v>
      </c>
      <c r="E321" t="s">
        <v>150</v>
      </c>
      <c r="F321" t="s">
        <v>154</v>
      </c>
      <c r="G321" t="s">
        <v>222</v>
      </c>
      <c r="H321" t="s">
        <v>200</v>
      </c>
      <c r="I321" t="s">
        <v>144</v>
      </c>
      <c r="J321" t="s">
        <v>145</v>
      </c>
      <c r="L321" t="s">
        <v>135</v>
      </c>
      <c r="M321" t="s">
        <v>135</v>
      </c>
      <c r="N321" s="1">
        <v>44228</v>
      </c>
      <c r="O321" s="1">
        <v>45689</v>
      </c>
      <c r="P321" s="1">
        <v>45689</v>
      </c>
      <c r="Q321" s="1">
        <v>45689</v>
      </c>
      <c r="R321">
        <v>5</v>
      </c>
      <c r="T32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21" t="str">
        <f>IF(tblRoster[[#This Row],[급수]]="4급(임기제)","4급",tblRoster[[#This Row],[급수]])</f>
        <v>5급</v>
      </c>
      <c r="V32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2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1" t="str">
        <f>IF(OR(tblRoster[[#This Row],[교직원상세구분]]="사회복무요원",tblRoster[[#This Row],[교직원상세구분]]="인턴(수습)"),"제외","포함")</f>
        <v>포함</v>
      </c>
      <c r="Y321">
        <f>1</f>
        <v>1</v>
      </c>
      <c r="Z321">
        <f>IF(tblRoster[[#This Row],[재직상태구분]]="휴직",1,0)</f>
        <v>0</v>
      </c>
      <c r="AA32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21">
        <f ca="1">IF(tblRoster[[#This Row],[본교발령시작일자]]="","",DATEDIF(tblRoster[[#This Row],[본교발령시작일자]],TODAY(),"Y"))</f>
        <v>1</v>
      </c>
      <c r="AC321">
        <f ca="1">IF(tblRoster[[#This Row],[최초발령시작일자]]="","",DATEDIF(tblRoster[[#This Row],[최초발령시작일자]],TODAY(),"Y"))</f>
        <v>5</v>
      </c>
      <c r="AD32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21">
        <f ca="1">IF(tblRoster[[#This Row],[직급발령시작일자]]="","",ROUND(YEARFRAC(tblRoster[[#This Row],[직급발령시작일자]],TODAY()),1))</f>
        <v>1.6</v>
      </c>
      <c r="AF32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21">
        <f ca="1">IF(OR(tblRoster[[#This Row],[공무원구분]]&lt;&gt;"공무원",tblRoster[[#This Row],[나이]]=""),"",YEAR(TODAY())+(60-tblRoster[[#This Row],[나이]]))</f>
        <v>2037</v>
      </c>
      <c r="AH321" t="str">
        <f>IF(tblRoster[[#This Row],[직위]]="","일반","보직자")</f>
        <v>일반</v>
      </c>
      <c r="AI32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1" t="str">
        <f ca="1">IF(tblRoster[[#This Row],[복직예정일]]="","",TEXT(tblRoster[[#This Row],[복직예정일]],"yyyy-mm"))</f>
        <v/>
      </c>
      <c r="AM321" t="str">
        <f ca="1">IF(tblRoster[[#This Row],[복직예정일]]="","",tblRoster[[#This Row],[복직예정일]]-TODAY())</f>
        <v/>
      </c>
      <c r="AN321" t="str">
        <f ca="1">IF(tblRoster[[#This Row],[휴직잔여일수]]="","",IF(tblRoster[[#This Row],[휴직잔여일수]]&lt;=180,"6개월내","6개월이후"))</f>
        <v/>
      </c>
      <c r="AO32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2" spans="1:41" x14ac:dyDescent="0.3">
      <c r="A322">
        <v>900320</v>
      </c>
      <c r="B322" t="s">
        <v>537</v>
      </c>
      <c r="C322" t="s">
        <v>8</v>
      </c>
      <c r="D322">
        <v>53</v>
      </c>
      <c r="E322" t="s">
        <v>128</v>
      </c>
      <c r="F322" t="s">
        <v>168</v>
      </c>
      <c r="G322" t="s">
        <v>159</v>
      </c>
      <c r="H322" t="s">
        <v>148</v>
      </c>
      <c r="I322" t="s">
        <v>132</v>
      </c>
      <c r="J322" t="s">
        <v>133</v>
      </c>
      <c r="L322" t="s">
        <v>135</v>
      </c>
      <c r="M322" t="s">
        <v>135</v>
      </c>
      <c r="N322" s="1">
        <v>40026</v>
      </c>
      <c r="O322" s="1">
        <v>40026</v>
      </c>
      <c r="P322" s="1">
        <v>44013</v>
      </c>
      <c r="Q322" s="1">
        <v>44013</v>
      </c>
      <c r="R322">
        <v>18</v>
      </c>
      <c r="T32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22" t="str">
        <f>IF(tblRoster[[#This Row],[급수]]="4급(임기제)","4급",tblRoster[[#This Row],[급수]])</f>
        <v>대학회계계약직</v>
      </c>
      <c r="V32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2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22" t="str">
        <f>IF(OR(tblRoster[[#This Row],[교직원상세구분]]="사회복무요원",tblRoster[[#This Row],[교직원상세구분]]="인턴(수습)"),"제외","포함")</f>
        <v>포함</v>
      </c>
      <c r="Y322">
        <f>1</f>
        <v>1</v>
      </c>
      <c r="Z322">
        <f>IF(tblRoster[[#This Row],[재직상태구분]]="휴직",1,0)</f>
        <v>0</v>
      </c>
      <c r="AA32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22">
        <f ca="1">IF(tblRoster[[#This Row],[본교발령시작일자]]="","",DATEDIF(tblRoster[[#This Row],[본교발령시작일자]],TODAY(),"Y"))</f>
        <v>17</v>
      </c>
      <c r="AC322">
        <f ca="1">IF(tblRoster[[#This Row],[최초발령시작일자]]="","",DATEDIF(tblRoster[[#This Row],[최초발령시작일자]],TODAY(),"Y"))</f>
        <v>17</v>
      </c>
      <c r="AD32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22">
        <f ca="1">IF(tblRoster[[#This Row],[직급발령시작일자]]="","",ROUND(YEARFRAC(tblRoster[[#This Row],[직급발령시작일자]],TODAY()),1))</f>
        <v>6.2</v>
      </c>
      <c r="AF32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22" t="str">
        <f ca="1">IF(OR(tblRoster[[#This Row],[공무원구분]]&lt;&gt;"공무원",tblRoster[[#This Row],[나이]]=""),"",YEAR(TODAY())+(60-tblRoster[[#This Row],[나이]]))</f>
        <v/>
      </c>
      <c r="AH322" t="str">
        <f>IF(tblRoster[[#This Row],[직위]]="","일반","보직자")</f>
        <v>일반</v>
      </c>
      <c r="AI32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2" t="str">
        <f ca="1">IF(tblRoster[[#This Row],[복직예정일]]="","",TEXT(tblRoster[[#This Row],[복직예정일]],"yyyy-mm"))</f>
        <v/>
      </c>
      <c r="AM322" t="str">
        <f ca="1">IF(tblRoster[[#This Row],[복직예정일]]="","",tblRoster[[#This Row],[복직예정일]]-TODAY())</f>
        <v/>
      </c>
      <c r="AN322" t="str">
        <f ca="1">IF(tblRoster[[#This Row],[휴직잔여일수]]="","",IF(tblRoster[[#This Row],[휴직잔여일수]]&lt;=180,"6개월내","6개월이후"))</f>
        <v/>
      </c>
      <c r="AO32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3" spans="1:41" x14ac:dyDescent="0.3">
      <c r="A323">
        <v>900321</v>
      </c>
      <c r="B323" t="s">
        <v>538</v>
      </c>
      <c r="C323" t="s">
        <v>8</v>
      </c>
      <c r="D323">
        <v>50</v>
      </c>
      <c r="E323" t="s">
        <v>150</v>
      </c>
      <c r="F323" t="s">
        <v>216</v>
      </c>
      <c r="G323" t="s">
        <v>202</v>
      </c>
      <c r="H323" t="s">
        <v>180</v>
      </c>
      <c r="I323" t="s">
        <v>144</v>
      </c>
      <c r="J323" t="s">
        <v>145</v>
      </c>
      <c r="L323" t="s">
        <v>134</v>
      </c>
      <c r="M323" t="s">
        <v>135</v>
      </c>
      <c r="N323" s="1">
        <v>37104</v>
      </c>
      <c r="O323" s="1">
        <v>44378</v>
      </c>
      <c r="P323" s="1">
        <v>44378</v>
      </c>
      <c r="Q323" s="1">
        <v>44378</v>
      </c>
      <c r="R323">
        <v>27</v>
      </c>
      <c r="T32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23" t="str">
        <f>IF(tblRoster[[#This Row],[급수]]="4급(임기제)","4급",tblRoster[[#This Row],[급수]])</f>
        <v>7급</v>
      </c>
      <c r="V32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2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3" t="str">
        <f>IF(OR(tblRoster[[#This Row],[교직원상세구분]]="사회복무요원",tblRoster[[#This Row],[교직원상세구분]]="인턴(수습)"),"제외","포함")</f>
        <v>포함</v>
      </c>
      <c r="Y323">
        <f>1</f>
        <v>1</v>
      </c>
      <c r="Z323">
        <f>IF(tblRoster[[#This Row],[재직상태구분]]="휴직",1,0)</f>
        <v>0</v>
      </c>
      <c r="AA32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23">
        <f ca="1">IF(tblRoster[[#This Row],[본교발령시작일자]]="","",DATEDIF(tblRoster[[#This Row],[본교발령시작일자]],TODAY(),"Y"))</f>
        <v>5</v>
      </c>
      <c r="AC323">
        <f ca="1">IF(tblRoster[[#This Row],[최초발령시작일자]]="","",DATEDIF(tblRoster[[#This Row],[최초발령시작일자]],TODAY(),"Y"))</f>
        <v>25</v>
      </c>
      <c r="AD32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23">
        <f ca="1">IF(tblRoster[[#This Row],[직급발령시작일자]]="","",ROUND(YEARFRAC(tblRoster[[#This Row],[직급발령시작일자]],TODAY()),1))</f>
        <v>5.2</v>
      </c>
      <c r="AF32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23">
        <f ca="1">IF(OR(tblRoster[[#This Row],[공무원구분]]&lt;&gt;"공무원",tblRoster[[#This Row],[나이]]=""),"",YEAR(TODAY())+(60-tblRoster[[#This Row],[나이]]))</f>
        <v>2036</v>
      </c>
      <c r="AH323" t="str">
        <f>IF(tblRoster[[#This Row],[직위]]="","일반","보직자")</f>
        <v>일반</v>
      </c>
      <c r="AI32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3" t="str">
        <f ca="1">IF(tblRoster[[#This Row],[복직예정일]]="","",TEXT(tblRoster[[#This Row],[복직예정일]],"yyyy-mm"))</f>
        <v/>
      </c>
      <c r="AM323" t="str">
        <f ca="1">IF(tblRoster[[#This Row],[복직예정일]]="","",tblRoster[[#This Row],[복직예정일]]-TODAY())</f>
        <v/>
      </c>
      <c r="AN323" t="str">
        <f ca="1">IF(tblRoster[[#This Row],[휴직잔여일수]]="","",IF(tblRoster[[#This Row],[휴직잔여일수]]&lt;=180,"6개월내","6개월이후"))</f>
        <v/>
      </c>
      <c r="AO32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4" spans="1:41" x14ac:dyDescent="0.3">
      <c r="A324">
        <v>900322</v>
      </c>
      <c r="B324" t="s">
        <v>69</v>
      </c>
      <c r="C324" t="s">
        <v>16</v>
      </c>
      <c r="D324">
        <v>28</v>
      </c>
      <c r="E324" t="s">
        <v>128</v>
      </c>
      <c r="F324" t="s">
        <v>179</v>
      </c>
      <c r="G324" t="s">
        <v>207</v>
      </c>
      <c r="H324" t="s">
        <v>180</v>
      </c>
      <c r="I324" t="s">
        <v>144</v>
      </c>
      <c r="J324" t="s">
        <v>145</v>
      </c>
      <c r="L324" t="s">
        <v>135</v>
      </c>
      <c r="M324" t="s">
        <v>135</v>
      </c>
      <c r="N324" s="1">
        <v>45778</v>
      </c>
      <c r="O324" s="1">
        <v>45170</v>
      </c>
      <c r="P324" s="1">
        <v>45170</v>
      </c>
      <c r="Q324" s="1">
        <v>45170</v>
      </c>
      <c r="R324">
        <v>3</v>
      </c>
      <c r="S324" t="s">
        <v>539</v>
      </c>
      <c r="T32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24" t="str">
        <f>IF(tblRoster[[#This Row],[급수]]="4급(임기제)","4급",tblRoster[[#This Row],[급수]])</f>
        <v>7급</v>
      </c>
      <c r="V32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2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4" t="str">
        <f>IF(OR(tblRoster[[#This Row],[교직원상세구분]]="사회복무요원",tblRoster[[#This Row],[교직원상세구분]]="인턴(수습)"),"제외","포함")</f>
        <v>포함</v>
      </c>
      <c r="Y324">
        <f>1</f>
        <v>1</v>
      </c>
      <c r="Z324">
        <f>IF(tblRoster[[#This Row],[재직상태구분]]="휴직",1,0)</f>
        <v>1</v>
      </c>
      <c r="AA32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24">
        <f ca="1">IF(tblRoster[[#This Row],[본교발령시작일자]]="","",DATEDIF(tblRoster[[#This Row],[본교발령시작일자]],TODAY(),"Y"))</f>
        <v>3</v>
      </c>
      <c r="AC324">
        <f ca="1">IF(tblRoster[[#This Row],[최초발령시작일자]]="","",DATEDIF(tblRoster[[#This Row],[최초발령시작일자]],TODAY(),"Y"))</f>
        <v>1</v>
      </c>
      <c r="AD32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24">
        <f ca="1">IF(tblRoster[[#This Row],[직급발령시작일자]]="","",ROUND(YEARFRAC(tblRoster[[#This Row],[직급발령시작일자]],TODAY()),1))</f>
        <v>3</v>
      </c>
      <c r="AF32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24">
        <f ca="1">IF(OR(tblRoster[[#This Row],[공무원구분]]&lt;&gt;"공무원",tblRoster[[#This Row],[나이]]=""),"",YEAR(TODAY())+(60-tblRoster[[#This Row],[나이]]))</f>
        <v>2058</v>
      </c>
      <c r="AH324" t="str">
        <f>IF(tblRoster[[#This Row],[직위]]="","일반","보직자")</f>
        <v>일반</v>
      </c>
      <c r="AI324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46226</v>
      </c>
      <c r="AJ32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질병휴직(일반질병)</v>
      </c>
      <c r="AK324" s="1">
        <f ca="1">IF(tblRoster[[#This Row],[현재휴직시작일]]="","",IFERROR(INDEX(tblLeave[종료일],MATCH(tblRoster[[#This Row],[교직원번호]]&amp;"|"&amp;tblRoster[[#This Row],[현재휴직시작일]],tblLeave[매칭키],0)),""))</f>
        <v>46591</v>
      </c>
      <c r="AL324" t="str">
        <f ca="1">IF(tblRoster[[#This Row],[복직예정일]]="","",TEXT(tblRoster[[#This Row],[복직예정일]],"yyyy-mm"))</f>
        <v>2027-07</v>
      </c>
      <c r="AM324">
        <f ca="1">IF(tblRoster[[#This Row],[복직예정일]]="","",tblRoster[[#This Row],[복직예정일]]-TODAY())</f>
        <v>319</v>
      </c>
      <c r="AN324" t="str">
        <f ca="1">IF(tblRoster[[#This Row],[휴직잔여일수]]="","",IF(tblRoster[[#This Row],[휴직잔여일수]]&lt;=180,"6개월내","6개월이후"))</f>
        <v>6개월이후</v>
      </c>
      <c r="AO32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5" spans="1:41" x14ac:dyDescent="0.3">
      <c r="A325">
        <v>900323</v>
      </c>
      <c r="B325" t="s">
        <v>540</v>
      </c>
      <c r="C325" t="s">
        <v>8</v>
      </c>
      <c r="D325">
        <v>36</v>
      </c>
      <c r="E325" t="s">
        <v>150</v>
      </c>
      <c r="F325" t="s">
        <v>137</v>
      </c>
      <c r="G325" t="s">
        <v>173</v>
      </c>
      <c r="H325" t="s">
        <v>163</v>
      </c>
      <c r="I325" t="s">
        <v>144</v>
      </c>
      <c r="J325" t="s">
        <v>145</v>
      </c>
      <c r="L325" t="s">
        <v>134</v>
      </c>
      <c r="M325" t="s">
        <v>135</v>
      </c>
      <c r="N325" s="1">
        <v>45627</v>
      </c>
      <c r="O325" s="1">
        <v>45627</v>
      </c>
      <c r="P325" s="1">
        <v>45627</v>
      </c>
      <c r="Q325" s="1">
        <v>45627</v>
      </c>
      <c r="R325">
        <v>3</v>
      </c>
      <c r="T32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25" t="str">
        <f>IF(tblRoster[[#This Row],[급수]]="4급(임기제)","4급",tblRoster[[#This Row],[급수]])</f>
        <v>6급</v>
      </c>
      <c r="V32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2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5" t="str">
        <f>IF(OR(tblRoster[[#This Row],[교직원상세구분]]="사회복무요원",tblRoster[[#This Row],[교직원상세구분]]="인턴(수습)"),"제외","포함")</f>
        <v>포함</v>
      </c>
      <c r="Y325">
        <f>1</f>
        <v>1</v>
      </c>
      <c r="Z325">
        <f>IF(tblRoster[[#This Row],[재직상태구분]]="휴직",1,0)</f>
        <v>0</v>
      </c>
      <c r="AA32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25">
        <f ca="1">IF(tblRoster[[#This Row],[본교발령시작일자]]="","",DATEDIF(tblRoster[[#This Row],[본교발령시작일자]],TODAY(),"Y"))</f>
        <v>1</v>
      </c>
      <c r="AC325">
        <f ca="1">IF(tblRoster[[#This Row],[최초발령시작일자]]="","",DATEDIF(tblRoster[[#This Row],[최초발령시작일자]],TODAY(),"Y"))</f>
        <v>1</v>
      </c>
      <c r="AD32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25">
        <f ca="1">IF(tblRoster[[#This Row],[직급발령시작일자]]="","",ROUND(YEARFRAC(tblRoster[[#This Row],[직급발령시작일자]],TODAY()),1))</f>
        <v>1.8</v>
      </c>
      <c r="AF32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25">
        <f ca="1">IF(OR(tblRoster[[#This Row],[공무원구분]]&lt;&gt;"공무원",tblRoster[[#This Row],[나이]]=""),"",YEAR(TODAY())+(60-tblRoster[[#This Row],[나이]]))</f>
        <v>2050</v>
      </c>
      <c r="AH325" t="str">
        <f>IF(tblRoster[[#This Row],[직위]]="","일반","보직자")</f>
        <v>일반</v>
      </c>
      <c r="AI32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5" t="str">
        <f ca="1">IF(tblRoster[[#This Row],[복직예정일]]="","",TEXT(tblRoster[[#This Row],[복직예정일]],"yyyy-mm"))</f>
        <v/>
      </c>
      <c r="AM325" t="str">
        <f ca="1">IF(tblRoster[[#This Row],[복직예정일]]="","",tblRoster[[#This Row],[복직예정일]]-TODAY())</f>
        <v/>
      </c>
      <c r="AN325" t="str">
        <f ca="1">IF(tblRoster[[#This Row],[휴직잔여일수]]="","",IF(tblRoster[[#This Row],[휴직잔여일수]]&lt;=180,"6개월내","6개월이후"))</f>
        <v/>
      </c>
      <c r="AO32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6" spans="1:41" x14ac:dyDescent="0.3">
      <c r="A326">
        <v>900324</v>
      </c>
      <c r="B326" t="s">
        <v>541</v>
      </c>
      <c r="C326" t="s">
        <v>8</v>
      </c>
      <c r="D326">
        <v>35</v>
      </c>
      <c r="E326" t="s">
        <v>150</v>
      </c>
      <c r="F326" t="s">
        <v>179</v>
      </c>
      <c r="G326" t="s">
        <v>207</v>
      </c>
      <c r="H326" t="s">
        <v>139</v>
      </c>
      <c r="I326" t="s">
        <v>132</v>
      </c>
      <c r="J326" t="s">
        <v>133</v>
      </c>
      <c r="L326" t="s">
        <v>134</v>
      </c>
      <c r="M326" t="s">
        <v>135</v>
      </c>
      <c r="N326" s="1">
        <v>44348</v>
      </c>
      <c r="O326" s="1">
        <v>44348</v>
      </c>
      <c r="P326" s="1">
        <v>44348</v>
      </c>
      <c r="Q326" s="1">
        <v>44348</v>
      </c>
      <c r="R326">
        <v>7</v>
      </c>
      <c r="T32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26" t="str">
        <f>IF(tblRoster[[#This Row],[급수]]="4급(임기제)","4급",tblRoster[[#This Row],[급수]])</f>
        <v>대학회계계약직</v>
      </c>
      <c r="V32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2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26" t="str">
        <f>IF(OR(tblRoster[[#This Row],[교직원상세구분]]="사회복무요원",tblRoster[[#This Row],[교직원상세구분]]="인턴(수습)"),"제외","포함")</f>
        <v>포함</v>
      </c>
      <c r="Y326">
        <f>1</f>
        <v>1</v>
      </c>
      <c r="Z326">
        <f>IF(tblRoster[[#This Row],[재직상태구분]]="휴직",1,0)</f>
        <v>0</v>
      </c>
      <c r="AA32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26">
        <f ca="1">IF(tblRoster[[#This Row],[본교발령시작일자]]="","",DATEDIF(tblRoster[[#This Row],[본교발령시작일자]],TODAY(),"Y"))</f>
        <v>5</v>
      </c>
      <c r="AC326">
        <f ca="1">IF(tblRoster[[#This Row],[최초발령시작일자]]="","",DATEDIF(tblRoster[[#This Row],[최초발령시작일자]],TODAY(),"Y"))</f>
        <v>5</v>
      </c>
      <c r="AD32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26">
        <f ca="1">IF(tblRoster[[#This Row],[직급발령시작일자]]="","",ROUND(YEARFRAC(tblRoster[[#This Row],[직급발령시작일자]],TODAY()),1))</f>
        <v>5.3</v>
      </c>
      <c r="AF32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26" t="str">
        <f ca="1">IF(OR(tblRoster[[#This Row],[공무원구분]]&lt;&gt;"공무원",tblRoster[[#This Row],[나이]]=""),"",YEAR(TODAY())+(60-tblRoster[[#This Row],[나이]]))</f>
        <v/>
      </c>
      <c r="AH326" t="str">
        <f>IF(tblRoster[[#This Row],[직위]]="","일반","보직자")</f>
        <v>일반</v>
      </c>
      <c r="AI32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6" t="str">
        <f ca="1">IF(tblRoster[[#This Row],[복직예정일]]="","",TEXT(tblRoster[[#This Row],[복직예정일]],"yyyy-mm"))</f>
        <v/>
      </c>
      <c r="AM326" t="str">
        <f ca="1">IF(tblRoster[[#This Row],[복직예정일]]="","",tblRoster[[#This Row],[복직예정일]]-TODAY())</f>
        <v/>
      </c>
      <c r="AN326" t="str">
        <f ca="1">IF(tblRoster[[#This Row],[휴직잔여일수]]="","",IF(tblRoster[[#This Row],[휴직잔여일수]]&lt;=180,"6개월내","6개월이후"))</f>
        <v/>
      </c>
      <c r="AO32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7" spans="1:41" x14ac:dyDescent="0.3">
      <c r="A327">
        <v>900325</v>
      </c>
      <c r="B327" t="s">
        <v>70</v>
      </c>
      <c r="C327" t="s">
        <v>8</v>
      </c>
      <c r="D327">
        <v>43</v>
      </c>
      <c r="E327" t="s">
        <v>128</v>
      </c>
      <c r="F327" t="s">
        <v>171</v>
      </c>
      <c r="G327" t="s">
        <v>173</v>
      </c>
      <c r="H327" t="s">
        <v>148</v>
      </c>
      <c r="I327" t="s">
        <v>132</v>
      </c>
      <c r="J327" t="s">
        <v>133</v>
      </c>
      <c r="L327" t="s">
        <v>134</v>
      </c>
      <c r="M327" t="s">
        <v>135</v>
      </c>
      <c r="N327" s="1">
        <v>39783</v>
      </c>
      <c r="O327" s="1">
        <v>44866</v>
      </c>
      <c r="P327" s="1">
        <v>44866</v>
      </c>
      <c r="Q327" s="1">
        <v>44866</v>
      </c>
      <c r="R327">
        <v>20</v>
      </c>
      <c r="S327" t="s">
        <v>542</v>
      </c>
      <c r="T32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27" t="str">
        <f>IF(tblRoster[[#This Row],[급수]]="4급(임기제)","4급",tblRoster[[#This Row],[급수]])</f>
        <v>대학회계계약직</v>
      </c>
      <c r="V32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2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27" t="str">
        <f>IF(OR(tblRoster[[#This Row],[교직원상세구분]]="사회복무요원",tblRoster[[#This Row],[교직원상세구분]]="인턴(수습)"),"제외","포함")</f>
        <v>포함</v>
      </c>
      <c r="Y327">
        <f>1</f>
        <v>1</v>
      </c>
      <c r="Z327">
        <f>IF(tblRoster[[#This Row],[재직상태구분]]="휴직",1,0)</f>
        <v>0</v>
      </c>
      <c r="AA32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27">
        <f ca="1">IF(tblRoster[[#This Row],[본교발령시작일자]]="","",DATEDIF(tblRoster[[#This Row],[본교발령시작일자]],TODAY(),"Y"))</f>
        <v>3</v>
      </c>
      <c r="AC327">
        <f ca="1">IF(tblRoster[[#This Row],[최초발령시작일자]]="","",DATEDIF(tblRoster[[#This Row],[최초발령시작일자]],TODAY(),"Y"))</f>
        <v>17</v>
      </c>
      <c r="AD32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27">
        <f ca="1">IF(tblRoster[[#This Row],[직급발령시작일자]]="","",ROUND(YEARFRAC(tblRoster[[#This Row],[직급발령시작일자]],TODAY()),1))</f>
        <v>3.9</v>
      </c>
      <c r="AF32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27" t="str">
        <f ca="1">IF(OR(tblRoster[[#This Row],[공무원구분]]&lt;&gt;"공무원",tblRoster[[#This Row],[나이]]=""),"",YEAR(TODAY())+(60-tblRoster[[#This Row],[나이]]))</f>
        <v/>
      </c>
      <c r="AH327" t="str">
        <f>IF(tblRoster[[#This Row],[직위]]="","일반","보직자")</f>
        <v>일반</v>
      </c>
      <c r="AI32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7" t="str">
        <f ca="1">IF(tblRoster[[#This Row],[복직예정일]]="","",TEXT(tblRoster[[#This Row],[복직예정일]],"yyyy-mm"))</f>
        <v/>
      </c>
      <c r="AM327" t="str">
        <f ca="1">IF(tblRoster[[#This Row],[복직예정일]]="","",tblRoster[[#This Row],[복직예정일]]-TODAY())</f>
        <v/>
      </c>
      <c r="AN327" t="str">
        <f ca="1">IF(tblRoster[[#This Row],[휴직잔여일수]]="","",IF(tblRoster[[#This Row],[휴직잔여일수]]&lt;=180,"6개월내","6개월이후"))</f>
        <v/>
      </c>
      <c r="AO32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8" spans="1:41" x14ac:dyDescent="0.3">
      <c r="A328">
        <v>900326</v>
      </c>
      <c r="B328" t="s">
        <v>543</v>
      </c>
      <c r="C328" t="s">
        <v>8</v>
      </c>
      <c r="D328">
        <v>33</v>
      </c>
      <c r="E328" t="s">
        <v>128</v>
      </c>
      <c r="F328" t="s">
        <v>162</v>
      </c>
      <c r="G328" t="s">
        <v>197</v>
      </c>
      <c r="H328" t="s">
        <v>180</v>
      </c>
      <c r="I328" t="s">
        <v>144</v>
      </c>
      <c r="J328" t="s">
        <v>145</v>
      </c>
      <c r="L328" t="s">
        <v>134</v>
      </c>
      <c r="M328" t="s">
        <v>135</v>
      </c>
      <c r="N328" s="1">
        <v>43952</v>
      </c>
      <c r="O328" s="1">
        <v>43952</v>
      </c>
      <c r="P328" s="1">
        <v>43952</v>
      </c>
      <c r="Q328" s="1">
        <v>43952</v>
      </c>
      <c r="R328">
        <v>6</v>
      </c>
      <c r="T32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28" t="str">
        <f>IF(tblRoster[[#This Row],[급수]]="4급(임기제)","4급",tblRoster[[#This Row],[급수]])</f>
        <v>7급</v>
      </c>
      <c r="V32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2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8" t="str">
        <f>IF(OR(tblRoster[[#This Row],[교직원상세구분]]="사회복무요원",tblRoster[[#This Row],[교직원상세구분]]="인턴(수습)"),"제외","포함")</f>
        <v>포함</v>
      </c>
      <c r="Y328">
        <f>1</f>
        <v>1</v>
      </c>
      <c r="Z328">
        <f>IF(tblRoster[[#This Row],[재직상태구분]]="휴직",1,0)</f>
        <v>0</v>
      </c>
      <c r="AA32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28">
        <f ca="1">IF(tblRoster[[#This Row],[본교발령시작일자]]="","",DATEDIF(tblRoster[[#This Row],[본교발령시작일자]],TODAY(),"Y"))</f>
        <v>6</v>
      </c>
      <c r="AC328">
        <f ca="1">IF(tblRoster[[#This Row],[최초발령시작일자]]="","",DATEDIF(tblRoster[[#This Row],[최초발령시작일자]],TODAY(),"Y"))</f>
        <v>6</v>
      </c>
      <c r="AD32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28">
        <f ca="1">IF(tblRoster[[#This Row],[직급발령시작일자]]="","",ROUND(YEARFRAC(tblRoster[[#This Row],[직급발령시작일자]],TODAY()),1))</f>
        <v>6.4</v>
      </c>
      <c r="AF32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28">
        <f ca="1">IF(OR(tblRoster[[#This Row],[공무원구분]]&lt;&gt;"공무원",tblRoster[[#This Row],[나이]]=""),"",YEAR(TODAY())+(60-tblRoster[[#This Row],[나이]]))</f>
        <v>2053</v>
      </c>
      <c r="AH328" t="str">
        <f>IF(tblRoster[[#This Row],[직위]]="","일반","보직자")</f>
        <v>일반</v>
      </c>
      <c r="AI32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8" t="str">
        <f ca="1">IF(tblRoster[[#This Row],[복직예정일]]="","",TEXT(tblRoster[[#This Row],[복직예정일]],"yyyy-mm"))</f>
        <v/>
      </c>
      <c r="AM328" t="str">
        <f ca="1">IF(tblRoster[[#This Row],[복직예정일]]="","",tblRoster[[#This Row],[복직예정일]]-TODAY())</f>
        <v/>
      </c>
      <c r="AN328" t="str">
        <f ca="1">IF(tblRoster[[#This Row],[휴직잔여일수]]="","",IF(tblRoster[[#This Row],[휴직잔여일수]]&lt;=180,"6개월내","6개월이후"))</f>
        <v/>
      </c>
      <c r="AO32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29" spans="1:41" x14ac:dyDescent="0.3">
      <c r="A329">
        <v>900327</v>
      </c>
      <c r="B329" t="s">
        <v>544</v>
      </c>
      <c r="C329" t="s">
        <v>8</v>
      </c>
      <c r="D329">
        <v>41</v>
      </c>
      <c r="E329" t="s">
        <v>150</v>
      </c>
      <c r="F329" t="s">
        <v>137</v>
      </c>
      <c r="G329" t="s">
        <v>185</v>
      </c>
      <c r="H329" t="s">
        <v>165</v>
      </c>
      <c r="I329" t="s">
        <v>144</v>
      </c>
      <c r="J329" t="s">
        <v>145</v>
      </c>
      <c r="L329" t="s">
        <v>135</v>
      </c>
      <c r="M329" t="s">
        <v>135</v>
      </c>
      <c r="N329" s="1">
        <v>42705</v>
      </c>
      <c r="O329" s="1">
        <v>45536</v>
      </c>
      <c r="P329" s="1">
        <v>45566</v>
      </c>
      <c r="Q329" s="1">
        <v>45566</v>
      </c>
      <c r="T32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29" t="str">
        <f>IF(tblRoster[[#This Row],[급수]]="4급(임기제)","4급",tblRoster[[#This Row],[급수]])</f>
        <v>6급</v>
      </c>
      <c r="V32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2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29" t="str">
        <f>IF(OR(tblRoster[[#This Row],[교직원상세구분]]="사회복무요원",tblRoster[[#This Row],[교직원상세구분]]="인턴(수습)"),"제외","포함")</f>
        <v>포함</v>
      </c>
      <c r="Y329">
        <f>1</f>
        <v>1</v>
      </c>
      <c r="Z329">
        <f>IF(tblRoster[[#This Row],[재직상태구분]]="휴직",1,0)</f>
        <v>0</v>
      </c>
      <c r="AA32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29">
        <f ca="1">IF(tblRoster[[#This Row],[본교발령시작일자]]="","",DATEDIF(tblRoster[[#This Row],[본교발령시작일자]],TODAY(),"Y"))</f>
        <v>2</v>
      </c>
      <c r="AC329">
        <f ca="1">IF(tblRoster[[#This Row],[최초발령시작일자]]="","",DATEDIF(tblRoster[[#This Row],[최초발령시작일자]],TODAY(),"Y"))</f>
        <v>9</v>
      </c>
      <c r="AD32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29">
        <f ca="1">IF(tblRoster[[#This Row],[직급발령시작일자]]="","",ROUND(YEARFRAC(tblRoster[[#This Row],[직급발령시작일자]],TODAY()),1))</f>
        <v>1.9</v>
      </c>
      <c r="AF32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29">
        <f ca="1">IF(OR(tblRoster[[#This Row],[공무원구분]]&lt;&gt;"공무원",tblRoster[[#This Row],[나이]]=""),"",YEAR(TODAY())+(60-tblRoster[[#This Row],[나이]]))</f>
        <v>2045</v>
      </c>
      <c r="AH329" t="str">
        <f>IF(tblRoster[[#This Row],[직위]]="","일반","보직자")</f>
        <v>일반</v>
      </c>
      <c r="AI32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2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2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29" t="str">
        <f ca="1">IF(tblRoster[[#This Row],[복직예정일]]="","",TEXT(tblRoster[[#This Row],[복직예정일]],"yyyy-mm"))</f>
        <v/>
      </c>
      <c r="AM329" t="str">
        <f ca="1">IF(tblRoster[[#This Row],[복직예정일]]="","",tblRoster[[#This Row],[복직예정일]]-TODAY())</f>
        <v/>
      </c>
      <c r="AN329" t="str">
        <f ca="1">IF(tblRoster[[#This Row],[휴직잔여일수]]="","",IF(tblRoster[[#This Row],[휴직잔여일수]]&lt;=180,"6개월내","6개월이후"))</f>
        <v/>
      </c>
      <c r="AO32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0" spans="1:41" x14ac:dyDescent="0.3">
      <c r="A330">
        <v>900328</v>
      </c>
      <c r="B330" t="s">
        <v>545</v>
      </c>
      <c r="C330" t="s">
        <v>8</v>
      </c>
      <c r="D330">
        <v>31</v>
      </c>
      <c r="E330" t="s">
        <v>150</v>
      </c>
      <c r="F330" t="s">
        <v>236</v>
      </c>
      <c r="G330" t="s">
        <v>207</v>
      </c>
      <c r="H330" t="s">
        <v>223</v>
      </c>
      <c r="I330" t="s">
        <v>144</v>
      </c>
      <c r="J330" t="s">
        <v>145</v>
      </c>
      <c r="L330" t="s">
        <v>134</v>
      </c>
      <c r="M330" t="s">
        <v>135</v>
      </c>
      <c r="N330" s="1">
        <v>43252</v>
      </c>
      <c r="O330" s="1">
        <v>44958</v>
      </c>
      <c r="P330" s="1">
        <v>44958</v>
      </c>
      <c r="Q330" s="1">
        <v>44958</v>
      </c>
      <c r="R330">
        <v>9</v>
      </c>
      <c r="T33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30" t="str">
        <f>IF(tblRoster[[#This Row],[급수]]="4급(임기제)","4급",tblRoster[[#This Row],[급수]])</f>
        <v>8급</v>
      </c>
      <c r="V33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3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30" t="str">
        <f>IF(OR(tblRoster[[#This Row],[교직원상세구분]]="사회복무요원",tblRoster[[#This Row],[교직원상세구분]]="인턴(수습)"),"제외","포함")</f>
        <v>포함</v>
      </c>
      <c r="Y330">
        <f>1</f>
        <v>1</v>
      </c>
      <c r="Z330">
        <f>IF(tblRoster[[#This Row],[재직상태구분]]="휴직",1,0)</f>
        <v>0</v>
      </c>
      <c r="AA33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30">
        <f ca="1">IF(tblRoster[[#This Row],[본교발령시작일자]]="","",DATEDIF(tblRoster[[#This Row],[본교발령시작일자]],TODAY(),"Y"))</f>
        <v>3</v>
      </c>
      <c r="AC330">
        <f ca="1">IF(tblRoster[[#This Row],[최초발령시작일자]]="","",DATEDIF(tblRoster[[#This Row],[최초발령시작일자]],TODAY(),"Y"))</f>
        <v>8</v>
      </c>
      <c r="AD33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30">
        <f ca="1">IF(tblRoster[[#This Row],[직급발령시작일자]]="","",ROUND(YEARFRAC(tblRoster[[#This Row],[직급발령시작일자]],TODAY()),1))</f>
        <v>3.6</v>
      </c>
      <c r="AF33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30">
        <f ca="1">IF(OR(tblRoster[[#This Row],[공무원구분]]&lt;&gt;"공무원",tblRoster[[#This Row],[나이]]=""),"",YEAR(TODAY())+(60-tblRoster[[#This Row],[나이]]))</f>
        <v>2055</v>
      </c>
      <c r="AH330" t="str">
        <f>IF(tblRoster[[#This Row],[직위]]="","일반","보직자")</f>
        <v>일반</v>
      </c>
      <c r="AI33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0" t="str">
        <f ca="1">IF(tblRoster[[#This Row],[복직예정일]]="","",TEXT(tblRoster[[#This Row],[복직예정일]],"yyyy-mm"))</f>
        <v/>
      </c>
      <c r="AM330" t="str">
        <f ca="1">IF(tblRoster[[#This Row],[복직예정일]]="","",tblRoster[[#This Row],[복직예정일]]-TODAY())</f>
        <v/>
      </c>
      <c r="AN330" t="str">
        <f ca="1">IF(tblRoster[[#This Row],[휴직잔여일수]]="","",IF(tblRoster[[#This Row],[휴직잔여일수]]&lt;=180,"6개월내","6개월이후"))</f>
        <v/>
      </c>
      <c r="AO33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1" spans="1:41" x14ac:dyDescent="0.3">
      <c r="A331">
        <v>900329</v>
      </c>
      <c r="B331" t="s">
        <v>546</v>
      </c>
      <c r="C331" t="s">
        <v>8</v>
      </c>
      <c r="D331">
        <v>40</v>
      </c>
      <c r="E331" t="s">
        <v>128</v>
      </c>
      <c r="F331" t="s">
        <v>141</v>
      </c>
      <c r="G331" t="s">
        <v>197</v>
      </c>
      <c r="H331" t="s">
        <v>180</v>
      </c>
      <c r="I331" t="s">
        <v>144</v>
      </c>
      <c r="J331" t="s">
        <v>145</v>
      </c>
      <c r="L331" t="s">
        <v>134</v>
      </c>
      <c r="M331" t="s">
        <v>135</v>
      </c>
      <c r="N331" s="1">
        <v>42887</v>
      </c>
      <c r="O331" s="1">
        <v>42887</v>
      </c>
      <c r="P331" s="1">
        <v>42887</v>
      </c>
      <c r="Q331" s="1">
        <v>42887</v>
      </c>
      <c r="R331">
        <v>11</v>
      </c>
      <c r="T33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31" t="str">
        <f>IF(tblRoster[[#This Row],[급수]]="4급(임기제)","4급",tblRoster[[#This Row],[급수]])</f>
        <v>7급</v>
      </c>
      <c r="V33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3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31" t="str">
        <f>IF(OR(tblRoster[[#This Row],[교직원상세구분]]="사회복무요원",tblRoster[[#This Row],[교직원상세구분]]="인턴(수습)"),"제외","포함")</f>
        <v>포함</v>
      </c>
      <c r="Y331">
        <f>1</f>
        <v>1</v>
      </c>
      <c r="Z331">
        <f>IF(tblRoster[[#This Row],[재직상태구분]]="휴직",1,0)</f>
        <v>0</v>
      </c>
      <c r="AA33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31">
        <f ca="1">IF(tblRoster[[#This Row],[본교발령시작일자]]="","",DATEDIF(tblRoster[[#This Row],[본교발령시작일자]],TODAY(),"Y"))</f>
        <v>9</v>
      </c>
      <c r="AC331">
        <f ca="1">IF(tblRoster[[#This Row],[최초발령시작일자]]="","",DATEDIF(tblRoster[[#This Row],[최초발령시작일자]],TODAY(),"Y"))</f>
        <v>9</v>
      </c>
      <c r="AD33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31">
        <f ca="1">IF(tblRoster[[#This Row],[직급발령시작일자]]="","",ROUND(YEARFRAC(tblRoster[[#This Row],[직급발령시작일자]],TODAY()),1))</f>
        <v>9.3000000000000007</v>
      </c>
      <c r="AF33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31">
        <f ca="1">IF(OR(tblRoster[[#This Row],[공무원구분]]&lt;&gt;"공무원",tblRoster[[#This Row],[나이]]=""),"",YEAR(TODAY())+(60-tblRoster[[#This Row],[나이]]))</f>
        <v>2046</v>
      </c>
      <c r="AH331" t="str">
        <f>IF(tblRoster[[#This Row],[직위]]="","일반","보직자")</f>
        <v>일반</v>
      </c>
      <c r="AI33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1" t="str">
        <f ca="1">IF(tblRoster[[#This Row],[복직예정일]]="","",TEXT(tblRoster[[#This Row],[복직예정일]],"yyyy-mm"))</f>
        <v/>
      </c>
      <c r="AM331" t="str">
        <f ca="1">IF(tblRoster[[#This Row],[복직예정일]]="","",tblRoster[[#This Row],[복직예정일]]-TODAY())</f>
        <v/>
      </c>
      <c r="AN331" t="str">
        <f ca="1">IF(tblRoster[[#This Row],[휴직잔여일수]]="","",IF(tblRoster[[#This Row],[휴직잔여일수]]&lt;=180,"6개월내","6개월이후"))</f>
        <v/>
      </c>
      <c r="AO33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2" spans="1:41" x14ac:dyDescent="0.3">
      <c r="A332">
        <v>900330</v>
      </c>
      <c r="B332" t="s">
        <v>547</v>
      </c>
      <c r="C332" t="s">
        <v>8</v>
      </c>
      <c r="D332">
        <v>50</v>
      </c>
      <c r="E332" t="s">
        <v>128</v>
      </c>
      <c r="F332" t="s">
        <v>184</v>
      </c>
      <c r="G332" t="s">
        <v>173</v>
      </c>
      <c r="H332" t="s">
        <v>260</v>
      </c>
      <c r="I332" t="s">
        <v>239</v>
      </c>
      <c r="J332" t="s">
        <v>133</v>
      </c>
      <c r="L332" t="s">
        <v>135</v>
      </c>
      <c r="M332" t="s">
        <v>135</v>
      </c>
      <c r="N332" s="1">
        <v>44378</v>
      </c>
      <c r="O332" s="1">
        <v>45078</v>
      </c>
      <c r="P332" s="1">
        <v>45078</v>
      </c>
      <c r="Q332" s="1">
        <v>45078</v>
      </c>
      <c r="R332">
        <v>8</v>
      </c>
      <c r="T33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32" t="str">
        <f>IF(tblRoster[[#This Row],[급수]]="4급(임기제)","4급",tblRoster[[#This Row],[급수]])</f>
        <v>대학회계직</v>
      </c>
      <c r="V33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3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32" t="str">
        <f>IF(OR(tblRoster[[#This Row],[교직원상세구분]]="사회복무요원",tblRoster[[#This Row],[교직원상세구분]]="인턴(수습)"),"제외","포함")</f>
        <v>포함</v>
      </c>
      <c r="Y332">
        <f>1</f>
        <v>1</v>
      </c>
      <c r="Z332">
        <f>IF(tblRoster[[#This Row],[재직상태구분]]="휴직",1,0)</f>
        <v>0</v>
      </c>
      <c r="AA33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32">
        <f ca="1">IF(tblRoster[[#This Row],[본교발령시작일자]]="","",DATEDIF(tblRoster[[#This Row],[본교발령시작일자]],TODAY(),"Y"))</f>
        <v>3</v>
      </c>
      <c r="AC332">
        <f ca="1">IF(tblRoster[[#This Row],[최초발령시작일자]]="","",DATEDIF(tblRoster[[#This Row],[최초발령시작일자]],TODAY(),"Y"))</f>
        <v>5</v>
      </c>
      <c r="AD33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32">
        <f ca="1">IF(tblRoster[[#This Row],[직급발령시작일자]]="","",ROUND(YEARFRAC(tblRoster[[#This Row],[직급발령시작일자]],TODAY()),1))</f>
        <v>3.3</v>
      </c>
      <c r="AF33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32" t="str">
        <f ca="1">IF(OR(tblRoster[[#This Row],[공무원구분]]&lt;&gt;"공무원",tblRoster[[#This Row],[나이]]=""),"",YEAR(TODAY())+(60-tblRoster[[#This Row],[나이]]))</f>
        <v/>
      </c>
      <c r="AH332" t="str">
        <f>IF(tblRoster[[#This Row],[직위]]="","일반","보직자")</f>
        <v>일반</v>
      </c>
      <c r="AI33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2" t="str">
        <f ca="1">IF(tblRoster[[#This Row],[복직예정일]]="","",TEXT(tblRoster[[#This Row],[복직예정일]],"yyyy-mm"))</f>
        <v/>
      </c>
      <c r="AM332" t="str">
        <f ca="1">IF(tblRoster[[#This Row],[복직예정일]]="","",tblRoster[[#This Row],[복직예정일]]-TODAY())</f>
        <v/>
      </c>
      <c r="AN332" t="str">
        <f ca="1">IF(tblRoster[[#This Row],[휴직잔여일수]]="","",IF(tblRoster[[#This Row],[휴직잔여일수]]&lt;=180,"6개월내","6개월이후"))</f>
        <v/>
      </c>
      <c r="AO33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3" spans="1:41" x14ac:dyDescent="0.3">
      <c r="A333">
        <v>900331</v>
      </c>
      <c r="B333" t="s">
        <v>548</v>
      </c>
      <c r="C333" t="s">
        <v>8</v>
      </c>
      <c r="D333">
        <v>30</v>
      </c>
      <c r="E333" t="s">
        <v>150</v>
      </c>
      <c r="F333" t="s">
        <v>137</v>
      </c>
      <c r="G333" t="s">
        <v>207</v>
      </c>
      <c r="H333" t="s">
        <v>148</v>
      </c>
      <c r="I333" t="s">
        <v>132</v>
      </c>
      <c r="J333" t="s">
        <v>133</v>
      </c>
      <c r="L333" t="s">
        <v>134</v>
      </c>
      <c r="M333" t="s">
        <v>135</v>
      </c>
      <c r="N333" s="1">
        <v>43891</v>
      </c>
      <c r="O333" s="1">
        <v>43891</v>
      </c>
      <c r="P333" s="1">
        <v>43922</v>
      </c>
      <c r="Q333" s="1">
        <v>43922</v>
      </c>
      <c r="R333">
        <v>7</v>
      </c>
      <c r="T33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33" t="str">
        <f>IF(tblRoster[[#This Row],[급수]]="4급(임기제)","4급",tblRoster[[#This Row],[급수]])</f>
        <v>대학회계계약직</v>
      </c>
      <c r="V33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3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33" t="str">
        <f>IF(OR(tblRoster[[#This Row],[교직원상세구분]]="사회복무요원",tblRoster[[#This Row],[교직원상세구분]]="인턴(수습)"),"제외","포함")</f>
        <v>포함</v>
      </c>
      <c r="Y333">
        <f>1</f>
        <v>1</v>
      </c>
      <c r="Z333">
        <f>IF(tblRoster[[#This Row],[재직상태구분]]="휴직",1,0)</f>
        <v>0</v>
      </c>
      <c r="AA33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33">
        <f ca="1">IF(tblRoster[[#This Row],[본교발령시작일자]]="","",DATEDIF(tblRoster[[#This Row],[본교발령시작일자]],TODAY(),"Y"))</f>
        <v>6</v>
      </c>
      <c r="AC333">
        <f ca="1">IF(tblRoster[[#This Row],[최초발령시작일자]]="","",DATEDIF(tblRoster[[#This Row],[최초발령시작일자]],TODAY(),"Y"))</f>
        <v>6</v>
      </c>
      <c r="AD33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33">
        <f ca="1">IF(tblRoster[[#This Row],[직급발령시작일자]]="","",ROUND(YEARFRAC(tblRoster[[#This Row],[직급발령시작일자]],TODAY()),1))</f>
        <v>6.4</v>
      </c>
      <c r="AF33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33" t="str">
        <f ca="1">IF(OR(tblRoster[[#This Row],[공무원구분]]&lt;&gt;"공무원",tblRoster[[#This Row],[나이]]=""),"",YEAR(TODAY())+(60-tblRoster[[#This Row],[나이]]))</f>
        <v/>
      </c>
      <c r="AH333" t="str">
        <f>IF(tblRoster[[#This Row],[직위]]="","일반","보직자")</f>
        <v>일반</v>
      </c>
      <c r="AI33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3" t="str">
        <f ca="1">IF(tblRoster[[#This Row],[복직예정일]]="","",TEXT(tblRoster[[#This Row],[복직예정일]],"yyyy-mm"))</f>
        <v/>
      </c>
      <c r="AM333" t="str">
        <f ca="1">IF(tblRoster[[#This Row],[복직예정일]]="","",tblRoster[[#This Row],[복직예정일]]-TODAY())</f>
        <v/>
      </c>
      <c r="AN333" t="str">
        <f ca="1">IF(tblRoster[[#This Row],[휴직잔여일수]]="","",IF(tblRoster[[#This Row],[휴직잔여일수]]&lt;=180,"6개월내","6개월이후"))</f>
        <v/>
      </c>
      <c r="AO33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4" spans="1:41" x14ac:dyDescent="0.3">
      <c r="A334">
        <v>900332</v>
      </c>
      <c r="B334" t="s">
        <v>549</v>
      </c>
      <c r="C334" t="s">
        <v>8</v>
      </c>
      <c r="D334">
        <v>45</v>
      </c>
      <c r="E334" t="s">
        <v>128</v>
      </c>
      <c r="F334" t="s">
        <v>137</v>
      </c>
      <c r="G334" t="s">
        <v>197</v>
      </c>
      <c r="H334" t="s">
        <v>163</v>
      </c>
      <c r="I334" t="s">
        <v>144</v>
      </c>
      <c r="J334" t="s">
        <v>145</v>
      </c>
      <c r="L334" t="s">
        <v>135</v>
      </c>
      <c r="M334" t="s">
        <v>135</v>
      </c>
      <c r="N334" s="1">
        <v>44378</v>
      </c>
      <c r="O334" s="1">
        <v>44378</v>
      </c>
      <c r="P334" s="1">
        <v>44378</v>
      </c>
      <c r="Q334" s="1">
        <v>44378</v>
      </c>
      <c r="R334">
        <v>6</v>
      </c>
      <c r="T33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34" t="str">
        <f>IF(tblRoster[[#This Row],[급수]]="4급(임기제)","4급",tblRoster[[#This Row],[급수]])</f>
        <v>6급</v>
      </c>
      <c r="V33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3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34" t="str">
        <f>IF(OR(tblRoster[[#This Row],[교직원상세구분]]="사회복무요원",tblRoster[[#This Row],[교직원상세구분]]="인턴(수습)"),"제외","포함")</f>
        <v>포함</v>
      </c>
      <c r="Y334">
        <f>1</f>
        <v>1</v>
      </c>
      <c r="Z334">
        <f>IF(tblRoster[[#This Row],[재직상태구분]]="휴직",1,0)</f>
        <v>0</v>
      </c>
      <c r="AA33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34">
        <f ca="1">IF(tblRoster[[#This Row],[본교발령시작일자]]="","",DATEDIF(tblRoster[[#This Row],[본교발령시작일자]],TODAY(),"Y"))</f>
        <v>5</v>
      </c>
      <c r="AC334">
        <f ca="1">IF(tblRoster[[#This Row],[최초발령시작일자]]="","",DATEDIF(tblRoster[[#This Row],[최초발령시작일자]],TODAY(),"Y"))</f>
        <v>5</v>
      </c>
      <c r="AD33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34">
        <f ca="1">IF(tblRoster[[#This Row],[직급발령시작일자]]="","",ROUND(YEARFRAC(tblRoster[[#This Row],[직급발령시작일자]],TODAY()),1))</f>
        <v>5.2</v>
      </c>
      <c r="AF33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34">
        <f ca="1">IF(OR(tblRoster[[#This Row],[공무원구분]]&lt;&gt;"공무원",tblRoster[[#This Row],[나이]]=""),"",YEAR(TODAY())+(60-tblRoster[[#This Row],[나이]]))</f>
        <v>2041</v>
      </c>
      <c r="AH334" t="str">
        <f>IF(tblRoster[[#This Row],[직위]]="","일반","보직자")</f>
        <v>일반</v>
      </c>
      <c r="AI33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4" t="str">
        <f ca="1">IF(tblRoster[[#This Row],[복직예정일]]="","",TEXT(tblRoster[[#This Row],[복직예정일]],"yyyy-mm"))</f>
        <v/>
      </c>
      <c r="AM334" t="str">
        <f ca="1">IF(tblRoster[[#This Row],[복직예정일]]="","",tblRoster[[#This Row],[복직예정일]]-TODAY())</f>
        <v/>
      </c>
      <c r="AN334" t="str">
        <f ca="1">IF(tblRoster[[#This Row],[휴직잔여일수]]="","",IF(tblRoster[[#This Row],[휴직잔여일수]]&lt;=180,"6개월내","6개월이후"))</f>
        <v/>
      </c>
      <c r="AO33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5" spans="1:41" x14ac:dyDescent="0.3">
      <c r="A335">
        <v>900333</v>
      </c>
      <c r="B335" t="s">
        <v>550</v>
      </c>
      <c r="C335" t="s">
        <v>8</v>
      </c>
      <c r="D335">
        <v>47</v>
      </c>
      <c r="E335" t="s">
        <v>128</v>
      </c>
      <c r="F335" t="s">
        <v>154</v>
      </c>
      <c r="G335" t="s">
        <v>182</v>
      </c>
      <c r="H335" t="s">
        <v>163</v>
      </c>
      <c r="I335" t="s">
        <v>144</v>
      </c>
      <c r="J335" t="s">
        <v>145</v>
      </c>
      <c r="L335" t="s">
        <v>135</v>
      </c>
      <c r="M335" t="s">
        <v>135</v>
      </c>
      <c r="N335" s="1">
        <v>38353</v>
      </c>
      <c r="O335" s="1">
        <v>46266</v>
      </c>
      <c r="P335" s="1">
        <v>46266</v>
      </c>
      <c r="Q335" s="1">
        <v>46266</v>
      </c>
      <c r="R335">
        <v>22</v>
      </c>
      <c r="T33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35" t="str">
        <f>IF(tblRoster[[#This Row],[급수]]="4급(임기제)","4급",tblRoster[[#This Row],[급수]])</f>
        <v>6급</v>
      </c>
      <c r="V33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3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35" t="str">
        <f>IF(OR(tblRoster[[#This Row],[교직원상세구분]]="사회복무요원",tblRoster[[#This Row],[교직원상세구분]]="인턴(수습)"),"제외","포함")</f>
        <v>포함</v>
      </c>
      <c r="Y335">
        <f>1</f>
        <v>1</v>
      </c>
      <c r="Z335">
        <f>IF(tblRoster[[#This Row],[재직상태구분]]="휴직",1,0)</f>
        <v>0</v>
      </c>
      <c r="AA33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35">
        <f ca="1">IF(tblRoster[[#This Row],[본교발령시작일자]]="","",DATEDIF(tblRoster[[#This Row],[본교발령시작일자]],TODAY(),"Y"))</f>
        <v>0</v>
      </c>
      <c r="AC335">
        <f ca="1">IF(tblRoster[[#This Row],[최초발령시작일자]]="","",DATEDIF(tblRoster[[#This Row],[최초발령시작일자]],TODAY(),"Y"))</f>
        <v>21</v>
      </c>
      <c r="AD33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35">
        <f ca="1">IF(tblRoster[[#This Row],[직급발령시작일자]]="","",ROUND(YEARFRAC(tblRoster[[#This Row],[직급발령시작일자]],TODAY()),1))</f>
        <v>0</v>
      </c>
      <c r="AF33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35">
        <f ca="1">IF(OR(tblRoster[[#This Row],[공무원구분]]&lt;&gt;"공무원",tblRoster[[#This Row],[나이]]=""),"",YEAR(TODAY())+(60-tblRoster[[#This Row],[나이]]))</f>
        <v>2039</v>
      </c>
      <c r="AH335" t="str">
        <f>IF(tblRoster[[#This Row],[직위]]="","일반","보직자")</f>
        <v>일반</v>
      </c>
      <c r="AI33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5" t="str">
        <f ca="1">IF(tblRoster[[#This Row],[복직예정일]]="","",TEXT(tblRoster[[#This Row],[복직예정일]],"yyyy-mm"))</f>
        <v/>
      </c>
      <c r="AM335" t="str">
        <f ca="1">IF(tblRoster[[#This Row],[복직예정일]]="","",tblRoster[[#This Row],[복직예정일]]-TODAY())</f>
        <v/>
      </c>
      <c r="AN335" t="str">
        <f ca="1">IF(tblRoster[[#This Row],[휴직잔여일수]]="","",IF(tblRoster[[#This Row],[휴직잔여일수]]&lt;=180,"6개월내","6개월이후"))</f>
        <v/>
      </c>
      <c r="AO33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6" spans="1:41" x14ac:dyDescent="0.3">
      <c r="A336">
        <v>900334</v>
      </c>
      <c r="B336" t="s">
        <v>551</v>
      </c>
      <c r="C336" t="s">
        <v>8</v>
      </c>
      <c r="D336">
        <v>40</v>
      </c>
      <c r="E336" t="s">
        <v>150</v>
      </c>
      <c r="F336" t="s">
        <v>179</v>
      </c>
      <c r="G336" t="s">
        <v>173</v>
      </c>
      <c r="H336" t="s">
        <v>238</v>
      </c>
      <c r="I336" t="s">
        <v>239</v>
      </c>
      <c r="J336" t="s">
        <v>133</v>
      </c>
      <c r="L336" t="s">
        <v>135</v>
      </c>
      <c r="M336" t="s">
        <v>135</v>
      </c>
      <c r="N336" s="1">
        <v>41974</v>
      </c>
      <c r="O336" s="1">
        <v>44409</v>
      </c>
      <c r="P336" s="1">
        <v>44409</v>
      </c>
      <c r="Q336" s="1">
        <v>44409</v>
      </c>
      <c r="R336">
        <v>13</v>
      </c>
      <c r="T33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36" t="str">
        <f>IF(tblRoster[[#This Row],[급수]]="4급(임기제)","4급",tblRoster[[#This Row],[급수]])</f>
        <v>대학회계직</v>
      </c>
      <c r="V33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3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36" t="str">
        <f>IF(OR(tblRoster[[#This Row],[교직원상세구분]]="사회복무요원",tblRoster[[#This Row],[교직원상세구분]]="인턴(수습)"),"제외","포함")</f>
        <v>포함</v>
      </c>
      <c r="Y336">
        <f>1</f>
        <v>1</v>
      </c>
      <c r="Z336">
        <f>IF(tblRoster[[#This Row],[재직상태구분]]="휴직",1,0)</f>
        <v>0</v>
      </c>
      <c r="AA33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36">
        <f ca="1">IF(tblRoster[[#This Row],[본교발령시작일자]]="","",DATEDIF(tblRoster[[#This Row],[본교발령시작일자]],TODAY(),"Y"))</f>
        <v>5</v>
      </c>
      <c r="AC336">
        <f ca="1">IF(tblRoster[[#This Row],[최초발령시작일자]]="","",DATEDIF(tblRoster[[#This Row],[최초발령시작일자]],TODAY(),"Y"))</f>
        <v>11</v>
      </c>
      <c r="AD33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36">
        <f ca="1">IF(tblRoster[[#This Row],[직급발령시작일자]]="","",ROUND(YEARFRAC(tblRoster[[#This Row],[직급발령시작일자]],TODAY()),1))</f>
        <v>5.0999999999999996</v>
      </c>
      <c r="AF33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36" t="str">
        <f ca="1">IF(OR(tblRoster[[#This Row],[공무원구분]]&lt;&gt;"공무원",tblRoster[[#This Row],[나이]]=""),"",YEAR(TODAY())+(60-tblRoster[[#This Row],[나이]]))</f>
        <v/>
      </c>
      <c r="AH336" t="str">
        <f>IF(tblRoster[[#This Row],[직위]]="","일반","보직자")</f>
        <v>일반</v>
      </c>
      <c r="AI33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6" t="str">
        <f ca="1">IF(tblRoster[[#This Row],[복직예정일]]="","",TEXT(tblRoster[[#This Row],[복직예정일]],"yyyy-mm"))</f>
        <v/>
      </c>
      <c r="AM336" t="str">
        <f ca="1">IF(tblRoster[[#This Row],[복직예정일]]="","",tblRoster[[#This Row],[복직예정일]]-TODAY())</f>
        <v/>
      </c>
      <c r="AN336" t="str">
        <f ca="1">IF(tblRoster[[#This Row],[휴직잔여일수]]="","",IF(tblRoster[[#This Row],[휴직잔여일수]]&lt;=180,"6개월내","6개월이후"))</f>
        <v/>
      </c>
      <c r="AO33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7" spans="1:41" x14ac:dyDescent="0.3">
      <c r="A337">
        <v>900335</v>
      </c>
      <c r="B337" t="s">
        <v>552</v>
      </c>
      <c r="C337" t="s">
        <v>8</v>
      </c>
      <c r="D337">
        <v>24</v>
      </c>
      <c r="E337" t="s">
        <v>128</v>
      </c>
      <c r="F337" t="s">
        <v>158</v>
      </c>
      <c r="G337" t="s">
        <v>155</v>
      </c>
      <c r="H337" t="s">
        <v>260</v>
      </c>
      <c r="I337" t="s">
        <v>239</v>
      </c>
      <c r="J337" t="s">
        <v>133</v>
      </c>
      <c r="L337" t="s">
        <v>134</v>
      </c>
      <c r="M337" t="s">
        <v>135</v>
      </c>
      <c r="N337" s="1">
        <v>45474</v>
      </c>
      <c r="O337" s="1">
        <v>45689</v>
      </c>
      <c r="P337" s="1">
        <v>45689</v>
      </c>
      <c r="Q337" s="1">
        <v>45689</v>
      </c>
      <c r="R337">
        <v>5</v>
      </c>
      <c r="T33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37" t="str">
        <f>IF(tblRoster[[#This Row],[급수]]="4급(임기제)","4급",tblRoster[[#This Row],[급수]])</f>
        <v>대학회계직</v>
      </c>
      <c r="V33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3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37" t="str">
        <f>IF(OR(tblRoster[[#This Row],[교직원상세구분]]="사회복무요원",tblRoster[[#This Row],[교직원상세구분]]="인턴(수습)"),"제외","포함")</f>
        <v>포함</v>
      </c>
      <c r="Y337">
        <f>1</f>
        <v>1</v>
      </c>
      <c r="Z337">
        <f>IF(tblRoster[[#This Row],[재직상태구분]]="휴직",1,0)</f>
        <v>0</v>
      </c>
      <c r="AA33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37">
        <f ca="1">IF(tblRoster[[#This Row],[본교발령시작일자]]="","",DATEDIF(tblRoster[[#This Row],[본교발령시작일자]],TODAY(),"Y"))</f>
        <v>1</v>
      </c>
      <c r="AC337">
        <f ca="1">IF(tblRoster[[#This Row],[최초발령시작일자]]="","",DATEDIF(tblRoster[[#This Row],[최초발령시작일자]],TODAY(),"Y"))</f>
        <v>2</v>
      </c>
      <c r="AD33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37">
        <f ca="1">IF(tblRoster[[#This Row],[직급발령시작일자]]="","",ROUND(YEARFRAC(tblRoster[[#This Row],[직급발령시작일자]],TODAY()),1))</f>
        <v>1.6</v>
      </c>
      <c r="AF33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37" t="str">
        <f ca="1">IF(OR(tblRoster[[#This Row],[공무원구분]]&lt;&gt;"공무원",tblRoster[[#This Row],[나이]]=""),"",YEAR(TODAY())+(60-tblRoster[[#This Row],[나이]]))</f>
        <v/>
      </c>
      <c r="AH337" t="str">
        <f>IF(tblRoster[[#This Row],[직위]]="","일반","보직자")</f>
        <v>일반</v>
      </c>
      <c r="AI33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7" t="str">
        <f ca="1">IF(tblRoster[[#This Row],[복직예정일]]="","",TEXT(tblRoster[[#This Row],[복직예정일]],"yyyy-mm"))</f>
        <v/>
      </c>
      <c r="AM337" t="str">
        <f ca="1">IF(tblRoster[[#This Row],[복직예정일]]="","",tblRoster[[#This Row],[복직예정일]]-TODAY())</f>
        <v/>
      </c>
      <c r="AN337" t="str">
        <f ca="1">IF(tblRoster[[#This Row],[휴직잔여일수]]="","",IF(tblRoster[[#This Row],[휴직잔여일수]]&lt;=180,"6개월내","6개월이후"))</f>
        <v/>
      </c>
      <c r="AO33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8" spans="1:41" x14ac:dyDescent="0.3">
      <c r="A338">
        <v>900336</v>
      </c>
      <c r="B338" t="s">
        <v>553</v>
      </c>
      <c r="C338" t="s">
        <v>8</v>
      </c>
      <c r="D338">
        <v>46</v>
      </c>
      <c r="E338" t="s">
        <v>128</v>
      </c>
      <c r="F338" t="s">
        <v>189</v>
      </c>
      <c r="G338" t="s">
        <v>202</v>
      </c>
      <c r="H338" t="s">
        <v>301</v>
      </c>
      <c r="I338" t="s">
        <v>132</v>
      </c>
      <c r="J338" t="s">
        <v>133</v>
      </c>
      <c r="L338" t="s">
        <v>134</v>
      </c>
      <c r="M338" t="s">
        <v>135</v>
      </c>
      <c r="N338" s="1">
        <v>44378</v>
      </c>
      <c r="O338" s="1">
        <v>46023</v>
      </c>
      <c r="P338" s="1">
        <v>46023</v>
      </c>
      <c r="Q338" s="1">
        <v>46023</v>
      </c>
      <c r="R338">
        <v>7</v>
      </c>
      <c r="T33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38" t="str">
        <f>IF(tblRoster[[#This Row],[급수]]="4급(임기제)","4급",tblRoster[[#This Row],[급수]])</f>
        <v>대학회계계약직</v>
      </c>
      <c r="V33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3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38" t="str">
        <f>IF(OR(tblRoster[[#This Row],[교직원상세구분]]="사회복무요원",tblRoster[[#This Row],[교직원상세구분]]="인턴(수습)"),"제외","포함")</f>
        <v>포함</v>
      </c>
      <c r="Y338">
        <f>1</f>
        <v>1</v>
      </c>
      <c r="Z338">
        <f>IF(tblRoster[[#This Row],[재직상태구분]]="휴직",1,0)</f>
        <v>0</v>
      </c>
      <c r="AA33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38">
        <f ca="1">IF(tblRoster[[#This Row],[본교발령시작일자]]="","",DATEDIF(tblRoster[[#This Row],[본교발령시작일자]],TODAY(),"Y"))</f>
        <v>0</v>
      </c>
      <c r="AC338">
        <f ca="1">IF(tblRoster[[#This Row],[최초발령시작일자]]="","",DATEDIF(tblRoster[[#This Row],[최초발령시작일자]],TODAY(),"Y"))</f>
        <v>5</v>
      </c>
      <c r="AD33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38">
        <f ca="1">IF(tblRoster[[#This Row],[직급발령시작일자]]="","",ROUND(YEARFRAC(tblRoster[[#This Row],[직급발령시작일자]],TODAY()),1))</f>
        <v>0.7</v>
      </c>
      <c r="AF33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38" t="str">
        <f ca="1">IF(OR(tblRoster[[#This Row],[공무원구분]]&lt;&gt;"공무원",tblRoster[[#This Row],[나이]]=""),"",YEAR(TODAY())+(60-tblRoster[[#This Row],[나이]]))</f>
        <v/>
      </c>
      <c r="AH338" t="str">
        <f>IF(tblRoster[[#This Row],[직위]]="","일반","보직자")</f>
        <v>일반</v>
      </c>
      <c r="AI33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8" t="str">
        <f ca="1">IF(tblRoster[[#This Row],[복직예정일]]="","",TEXT(tblRoster[[#This Row],[복직예정일]],"yyyy-mm"))</f>
        <v/>
      </c>
      <c r="AM338" t="str">
        <f ca="1">IF(tblRoster[[#This Row],[복직예정일]]="","",tblRoster[[#This Row],[복직예정일]]-TODAY())</f>
        <v/>
      </c>
      <c r="AN338" t="str">
        <f ca="1">IF(tblRoster[[#This Row],[휴직잔여일수]]="","",IF(tblRoster[[#This Row],[휴직잔여일수]]&lt;=180,"6개월내","6개월이후"))</f>
        <v/>
      </c>
      <c r="AO33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39" spans="1:41" x14ac:dyDescent="0.3">
      <c r="A339">
        <v>900337</v>
      </c>
      <c r="B339" t="s">
        <v>554</v>
      </c>
      <c r="C339" t="s">
        <v>8</v>
      </c>
      <c r="D339">
        <v>54</v>
      </c>
      <c r="E339" t="s">
        <v>150</v>
      </c>
      <c r="F339" t="s">
        <v>216</v>
      </c>
      <c r="G339" t="s">
        <v>185</v>
      </c>
      <c r="H339" t="s">
        <v>301</v>
      </c>
      <c r="I339" t="s">
        <v>132</v>
      </c>
      <c r="J339" t="s">
        <v>133</v>
      </c>
      <c r="L339" t="s">
        <v>134</v>
      </c>
      <c r="M339" t="s">
        <v>135</v>
      </c>
      <c r="N339" s="1">
        <v>40391</v>
      </c>
      <c r="O339" s="1">
        <v>40391</v>
      </c>
      <c r="P339" s="1">
        <v>44197</v>
      </c>
      <c r="Q339" s="1">
        <v>44197</v>
      </c>
      <c r="R339">
        <v>18</v>
      </c>
      <c r="T33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39" t="str">
        <f>IF(tblRoster[[#This Row],[급수]]="4급(임기제)","4급",tblRoster[[#This Row],[급수]])</f>
        <v>대학회계계약직</v>
      </c>
      <c r="V33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3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39" t="str">
        <f>IF(OR(tblRoster[[#This Row],[교직원상세구분]]="사회복무요원",tblRoster[[#This Row],[교직원상세구분]]="인턴(수습)"),"제외","포함")</f>
        <v>포함</v>
      </c>
      <c r="Y339">
        <f>1</f>
        <v>1</v>
      </c>
      <c r="Z339">
        <f>IF(tblRoster[[#This Row],[재직상태구분]]="휴직",1,0)</f>
        <v>0</v>
      </c>
      <c r="AA33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39">
        <f ca="1">IF(tblRoster[[#This Row],[본교발령시작일자]]="","",DATEDIF(tblRoster[[#This Row],[본교발령시작일자]],TODAY(),"Y"))</f>
        <v>16</v>
      </c>
      <c r="AC339">
        <f ca="1">IF(tblRoster[[#This Row],[최초발령시작일자]]="","",DATEDIF(tblRoster[[#This Row],[최초발령시작일자]],TODAY(),"Y"))</f>
        <v>16</v>
      </c>
      <c r="AD33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39">
        <f ca="1">IF(tblRoster[[#This Row],[직급발령시작일자]]="","",ROUND(YEARFRAC(tblRoster[[#This Row],[직급발령시작일자]],TODAY()),1))</f>
        <v>5.7</v>
      </c>
      <c r="AF33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39" t="str">
        <f ca="1">IF(OR(tblRoster[[#This Row],[공무원구분]]&lt;&gt;"공무원",tblRoster[[#This Row],[나이]]=""),"",YEAR(TODAY())+(60-tblRoster[[#This Row],[나이]]))</f>
        <v/>
      </c>
      <c r="AH339" t="str">
        <f>IF(tblRoster[[#This Row],[직위]]="","일반","보직자")</f>
        <v>일반</v>
      </c>
      <c r="AI33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3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3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39" t="str">
        <f ca="1">IF(tblRoster[[#This Row],[복직예정일]]="","",TEXT(tblRoster[[#This Row],[복직예정일]],"yyyy-mm"))</f>
        <v/>
      </c>
      <c r="AM339" t="str">
        <f ca="1">IF(tblRoster[[#This Row],[복직예정일]]="","",tblRoster[[#This Row],[복직예정일]]-TODAY())</f>
        <v/>
      </c>
      <c r="AN339" t="str">
        <f ca="1">IF(tblRoster[[#This Row],[휴직잔여일수]]="","",IF(tblRoster[[#This Row],[휴직잔여일수]]&lt;=180,"6개월내","6개월이후"))</f>
        <v/>
      </c>
      <c r="AO33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0" spans="1:41" x14ac:dyDescent="0.3">
      <c r="A340">
        <v>900338</v>
      </c>
      <c r="B340" t="s">
        <v>71</v>
      </c>
      <c r="C340" t="s">
        <v>16</v>
      </c>
      <c r="D340">
        <v>52</v>
      </c>
      <c r="E340" t="s">
        <v>128</v>
      </c>
      <c r="F340" t="s">
        <v>154</v>
      </c>
      <c r="G340" t="s">
        <v>197</v>
      </c>
      <c r="H340" t="s">
        <v>163</v>
      </c>
      <c r="I340" t="s">
        <v>144</v>
      </c>
      <c r="J340" t="s">
        <v>145</v>
      </c>
      <c r="L340" t="s">
        <v>134</v>
      </c>
      <c r="M340" t="s">
        <v>135</v>
      </c>
      <c r="N340" s="1">
        <v>36312</v>
      </c>
      <c r="O340" s="1">
        <v>46113</v>
      </c>
      <c r="P340" s="1">
        <v>46113</v>
      </c>
      <c r="Q340" s="1">
        <v>46113</v>
      </c>
      <c r="R340">
        <v>28</v>
      </c>
      <c r="S340" t="s">
        <v>555</v>
      </c>
      <c r="T34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0" t="str">
        <f>IF(tblRoster[[#This Row],[급수]]="4급(임기제)","4급",tblRoster[[#This Row],[급수]])</f>
        <v>6급</v>
      </c>
      <c r="V34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0" t="str">
        <f>IF(OR(tblRoster[[#This Row],[교직원상세구분]]="사회복무요원",tblRoster[[#This Row],[교직원상세구분]]="인턴(수습)"),"제외","포함")</f>
        <v>포함</v>
      </c>
      <c r="Y340">
        <f>1</f>
        <v>1</v>
      </c>
      <c r="Z340">
        <f>IF(tblRoster[[#This Row],[재직상태구분]]="휴직",1,0)</f>
        <v>1</v>
      </c>
      <c r="AA34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40">
        <f ca="1">IF(tblRoster[[#This Row],[본교발령시작일자]]="","",DATEDIF(tblRoster[[#This Row],[본교발령시작일자]],TODAY(),"Y"))</f>
        <v>0</v>
      </c>
      <c r="AC340">
        <f ca="1">IF(tblRoster[[#This Row],[최초발령시작일자]]="","",DATEDIF(tblRoster[[#This Row],[최초발령시작일자]],TODAY(),"Y"))</f>
        <v>27</v>
      </c>
      <c r="AD34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40">
        <f ca="1">IF(tblRoster[[#This Row],[직급발령시작일자]]="","",ROUND(YEARFRAC(tblRoster[[#This Row],[직급발령시작일자]],TODAY()),1))</f>
        <v>0.4</v>
      </c>
      <c r="AF34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0">
        <f ca="1">IF(OR(tblRoster[[#This Row],[공무원구분]]&lt;&gt;"공무원",tblRoster[[#This Row],[나이]]=""),"",YEAR(TODAY())+(60-tblRoster[[#This Row],[나이]]))</f>
        <v>2034</v>
      </c>
      <c r="AH340" t="str">
        <f>IF(tblRoster[[#This Row],[직위]]="","일반","보직자")</f>
        <v>일반</v>
      </c>
      <c r="AI340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45965</v>
      </c>
      <c r="AJ34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340" s="1">
        <f ca="1">IF(tblRoster[[#This Row],[현재휴직시작일]]="","",IFERROR(INDEX(tblLeave[종료일],MATCH(tblRoster[[#This Row],[교직원번호]]&amp;"|"&amp;tblRoster[[#This Row],[현재휴직시작일]],tblLeave[매칭키],0)),""))</f>
        <v>46695</v>
      </c>
      <c r="AL340" t="str">
        <f ca="1">IF(tblRoster[[#This Row],[복직예정일]]="","",TEXT(tblRoster[[#This Row],[복직예정일]],"yyyy-mm"))</f>
        <v>2027-11</v>
      </c>
      <c r="AM340">
        <f ca="1">IF(tblRoster[[#This Row],[복직예정일]]="","",tblRoster[[#This Row],[복직예정일]]-TODAY())</f>
        <v>423</v>
      </c>
      <c r="AN340" t="str">
        <f ca="1">IF(tblRoster[[#This Row],[휴직잔여일수]]="","",IF(tblRoster[[#This Row],[휴직잔여일수]]&lt;=180,"6개월내","6개월이후"))</f>
        <v>6개월이후</v>
      </c>
      <c r="AO34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1" spans="1:41" x14ac:dyDescent="0.3">
      <c r="A341">
        <v>900339</v>
      </c>
      <c r="B341" t="s">
        <v>556</v>
      </c>
      <c r="C341" t="s">
        <v>8</v>
      </c>
      <c r="D341">
        <v>59</v>
      </c>
      <c r="E341" t="s">
        <v>150</v>
      </c>
      <c r="F341" t="s">
        <v>266</v>
      </c>
      <c r="G341" t="s">
        <v>142</v>
      </c>
      <c r="H341" t="s">
        <v>163</v>
      </c>
      <c r="I341" t="s">
        <v>144</v>
      </c>
      <c r="J341" t="s">
        <v>145</v>
      </c>
      <c r="L341" t="s">
        <v>134</v>
      </c>
      <c r="M341" t="s">
        <v>135</v>
      </c>
      <c r="N341" s="1">
        <v>40330</v>
      </c>
      <c r="O341" s="1">
        <v>40330</v>
      </c>
      <c r="P341" s="1">
        <v>44136</v>
      </c>
      <c r="Q341" s="1">
        <v>44136</v>
      </c>
      <c r="R341">
        <v>19</v>
      </c>
      <c r="T34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1" t="str">
        <f>IF(tblRoster[[#This Row],[급수]]="4급(임기제)","4급",tblRoster[[#This Row],[급수]])</f>
        <v>6급</v>
      </c>
      <c r="V34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1" t="str">
        <f>IF(OR(tblRoster[[#This Row],[교직원상세구분]]="사회복무요원",tblRoster[[#This Row],[교직원상세구분]]="인턴(수습)"),"제외","포함")</f>
        <v>포함</v>
      </c>
      <c r="Y341">
        <f>1</f>
        <v>1</v>
      </c>
      <c r="Z341">
        <f>IF(tblRoster[[#This Row],[재직상태구분]]="휴직",1,0)</f>
        <v>0</v>
      </c>
      <c r="AA34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41">
        <f ca="1">IF(tblRoster[[#This Row],[본교발령시작일자]]="","",DATEDIF(tblRoster[[#This Row],[본교발령시작일자]],TODAY(),"Y"))</f>
        <v>16</v>
      </c>
      <c r="AC341">
        <f ca="1">IF(tblRoster[[#This Row],[최초발령시작일자]]="","",DATEDIF(tblRoster[[#This Row],[최초발령시작일자]],TODAY(),"Y"))</f>
        <v>16</v>
      </c>
      <c r="AD34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41">
        <f ca="1">IF(tblRoster[[#This Row],[직급발령시작일자]]="","",ROUND(YEARFRAC(tblRoster[[#This Row],[직급발령시작일자]],TODAY()),1))</f>
        <v>5.9</v>
      </c>
      <c r="AF34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41">
        <f ca="1">IF(OR(tblRoster[[#This Row],[공무원구분]]&lt;&gt;"공무원",tblRoster[[#This Row],[나이]]=""),"",YEAR(TODAY())+(60-tblRoster[[#This Row],[나이]]))</f>
        <v>2027</v>
      </c>
      <c r="AH341" t="str">
        <f>IF(tblRoster[[#This Row],[직위]]="","일반","보직자")</f>
        <v>일반</v>
      </c>
      <c r="AI34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1" t="str">
        <f ca="1">IF(tblRoster[[#This Row],[복직예정일]]="","",TEXT(tblRoster[[#This Row],[복직예정일]],"yyyy-mm"))</f>
        <v/>
      </c>
      <c r="AM341" t="str">
        <f ca="1">IF(tblRoster[[#This Row],[복직예정일]]="","",tblRoster[[#This Row],[복직예정일]]-TODAY())</f>
        <v/>
      </c>
      <c r="AN341" t="str">
        <f ca="1">IF(tblRoster[[#This Row],[휴직잔여일수]]="","",IF(tblRoster[[#This Row],[휴직잔여일수]]&lt;=180,"6개월내","6개월이후"))</f>
        <v/>
      </c>
      <c r="AO34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2" spans="1:41" x14ac:dyDescent="0.3">
      <c r="A342">
        <v>900340</v>
      </c>
      <c r="B342" t="s">
        <v>557</v>
      </c>
      <c r="C342" t="s">
        <v>8</v>
      </c>
      <c r="D342">
        <v>46</v>
      </c>
      <c r="E342" t="s">
        <v>150</v>
      </c>
      <c r="F342" t="s">
        <v>168</v>
      </c>
      <c r="G342" t="s">
        <v>182</v>
      </c>
      <c r="H342" t="s">
        <v>163</v>
      </c>
      <c r="I342" t="s">
        <v>144</v>
      </c>
      <c r="J342" t="s">
        <v>145</v>
      </c>
      <c r="L342" t="s">
        <v>134</v>
      </c>
      <c r="M342" t="s">
        <v>135</v>
      </c>
      <c r="N342" s="1">
        <v>40787</v>
      </c>
      <c r="O342" s="1">
        <v>44682</v>
      </c>
      <c r="P342" s="1">
        <v>45566</v>
      </c>
      <c r="Q342" s="1">
        <v>45566</v>
      </c>
      <c r="T34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2" t="str">
        <f>IF(tblRoster[[#This Row],[급수]]="4급(임기제)","4급",tblRoster[[#This Row],[급수]])</f>
        <v>6급</v>
      </c>
      <c r="V34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2" t="str">
        <f>IF(OR(tblRoster[[#This Row],[교직원상세구분]]="사회복무요원",tblRoster[[#This Row],[교직원상세구분]]="인턴(수습)"),"제외","포함")</f>
        <v>포함</v>
      </c>
      <c r="Y342">
        <f>1</f>
        <v>1</v>
      </c>
      <c r="Z342">
        <f>IF(tblRoster[[#This Row],[재직상태구분]]="휴직",1,0)</f>
        <v>0</v>
      </c>
      <c r="AA34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42">
        <f ca="1">IF(tblRoster[[#This Row],[본교발령시작일자]]="","",DATEDIF(tblRoster[[#This Row],[본교발령시작일자]],TODAY(),"Y"))</f>
        <v>4</v>
      </c>
      <c r="AC342">
        <f ca="1">IF(tblRoster[[#This Row],[최초발령시작일자]]="","",DATEDIF(tblRoster[[#This Row],[최초발령시작일자]],TODAY(),"Y"))</f>
        <v>15</v>
      </c>
      <c r="AD34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42">
        <f ca="1">IF(tblRoster[[#This Row],[직급발령시작일자]]="","",ROUND(YEARFRAC(tblRoster[[#This Row],[직급발령시작일자]],TODAY()),1))</f>
        <v>1.9</v>
      </c>
      <c r="AF34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2">
        <f ca="1">IF(OR(tblRoster[[#This Row],[공무원구분]]&lt;&gt;"공무원",tblRoster[[#This Row],[나이]]=""),"",YEAR(TODAY())+(60-tblRoster[[#This Row],[나이]]))</f>
        <v>2040</v>
      </c>
      <c r="AH342" t="str">
        <f>IF(tblRoster[[#This Row],[직위]]="","일반","보직자")</f>
        <v>일반</v>
      </c>
      <c r="AI34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2" t="str">
        <f ca="1">IF(tblRoster[[#This Row],[복직예정일]]="","",TEXT(tblRoster[[#This Row],[복직예정일]],"yyyy-mm"))</f>
        <v/>
      </c>
      <c r="AM342" t="str">
        <f ca="1">IF(tblRoster[[#This Row],[복직예정일]]="","",tblRoster[[#This Row],[복직예정일]]-TODAY())</f>
        <v/>
      </c>
      <c r="AN342" t="str">
        <f ca="1">IF(tblRoster[[#This Row],[휴직잔여일수]]="","",IF(tblRoster[[#This Row],[휴직잔여일수]]&lt;=180,"6개월내","6개월이후"))</f>
        <v/>
      </c>
      <c r="AO34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3" spans="1:41" x14ac:dyDescent="0.3">
      <c r="A343">
        <v>900341</v>
      </c>
      <c r="B343" t="s">
        <v>225</v>
      </c>
      <c r="C343" t="s">
        <v>8</v>
      </c>
      <c r="D343">
        <v>44</v>
      </c>
      <c r="E343" t="s">
        <v>128</v>
      </c>
      <c r="F343" t="s">
        <v>154</v>
      </c>
      <c r="G343" t="s">
        <v>202</v>
      </c>
      <c r="H343" t="s">
        <v>148</v>
      </c>
      <c r="I343" t="s">
        <v>132</v>
      </c>
      <c r="J343" t="s">
        <v>133</v>
      </c>
      <c r="L343" t="s">
        <v>134</v>
      </c>
      <c r="M343" t="s">
        <v>135</v>
      </c>
      <c r="N343" s="1">
        <v>39083</v>
      </c>
      <c r="O343" s="1">
        <v>39083</v>
      </c>
      <c r="P343" s="1">
        <v>42736</v>
      </c>
      <c r="Q343" s="1">
        <v>42736</v>
      </c>
      <c r="R343">
        <v>22</v>
      </c>
      <c r="T34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43" t="str">
        <f>IF(tblRoster[[#This Row],[급수]]="4급(임기제)","4급",tblRoster[[#This Row],[급수]])</f>
        <v>대학회계계약직</v>
      </c>
      <c r="V34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4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43" t="str">
        <f>IF(OR(tblRoster[[#This Row],[교직원상세구분]]="사회복무요원",tblRoster[[#This Row],[교직원상세구분]]="인턴(수습)"),"제외","포함")</f>
        <v>포함</v>
      </c>
      <c r="Y343">
        <f>1</f>
        <v>1</v>
      </c>
      <c r="Z343">
        <f>IF(tblRoster[[#This Row],[재직상태구분]]="휴직",1,0)</f>
        <v>0</v>
      </c>
      <c r="AA34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43">
        <f ca="1">IF(tblRoster[[#This Row],[본교발령시작일자]]="","",DATEDIF(tblRoster[[#This Row],[본교발령시작일자]],TODAY(),"Y"))</f>
        <v>19</v>
      </c>
      <c r="AC343">
        <f ca="1">IF(tblRoster[[#This Row],[최초발령시작일자]]="","",DATEDIF(tblRoster[[#This Row],[최초발령시작일자]],TODAY(),"Y"))</f>
        <v>19</v>
      </c>
      <c r="AD34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43">
        <f ca="1">IF(tblRoster[[#This Row],[직급발령시작일자]]="","",ROUND(YEARFRAC(tblRoster[[#This Row],[직급발령시작일자]],TODAY()),1))</f>
        <v>9.6999999999999993</v>
      </c>
      <c r="AF34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43" t="str">
        <f ca="1">IF(OR(tblRoster[[#This Row],[공무원구분]]&lt;&gt;"공무원",tblRoster[[#This Row],[나이]]=""),"",YEAR(TODAY())+(60-tblRoster[[#This Row],[나이]]))</f>
        <v/>
      </c>
      <c r="AH343" t="str">
        <f>IF(tblRoster[[#This Row],[직위]]="","일반","보직자")</f>
        <v>일반</v>
      </c>
      <c r="AI34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3" t="str">
        <f ca="1">IF(tblRoster[[#This Row],[복직예정일]]="","",TEXT(tblRoster[[#This Row],[복직예정일]],"yyyy-mm"))</f>
        <v/>
      </c>
      <c r="AM343" t="str">
        <f ca="1">IF(tblRoster[[#This Row],[복직예정일]]="","",tblRoster[[#This Row],[복직예정일]]-TODAY())</f>
        <v/>
      </c>
      <c r="AN343" t="str">
        <f ca="1">IF(tblRoster[[#This Row],[휴직잔여일수]]="","",IF(tblRoster[[#This Row],[휴직잔여일수]]&lt;=180,"6개월내","6개월이후"))</f>
        <v/>
      </c>
      <c r="AO34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4" spans="1:41" x14ac:dyDescent="0.3">
      <c r="A344">
        <v>900342</v>
      </c>
      <c r="B344" t="s">
        <v>558</v>
      </c>
      <c r="C344" t="s">
        <v>8</v>
      </c>
      <c r="D344">
        <v>32</v>
      </c>
      <c r="E344" t="s">
        <v>150</v>
      </c>
      <c r="F344" t="s">
        <v>179</v>
      </c>
      <c r="G344" t="s">
        <v>202</v>
      </c>
      <c r="H344" t="s">
        <v>252</v>
      </c>
      <c r="I344" t="s">
        <v>132</v>
      </c>
      <c r="J344" t="s">
        <v>133</v>
      </c>
      <c r="L344" t="s">
        <v>134</v>
      </c>
      <c r="M344" t="s">
        <v>135</v>
      </c>
      <c r="N344" s="1">
        <v>45444</v>
      </c>
      <c r="O344" s="1">
        <v>45444</v>
      </c>
      <c r="P344" s="1">
        <v>46174</v>
      </c>
      <c r="Q344" s="1">
        <v>46174</v>
      </c>
      <c r="R344">
        <v>3</v>
      </c>
      <c r="T34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44" t="str">
        <f>IF(tblRoster[[#This Row],[급수]]="4급(임기제)","4급",tblRoster[[#This Row],[급수]])</f>
        <v>대학회계계약직</v>
      </c>
      <c r="V34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4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44" t="str">
        <f>IF(OR(tblRoster[[#This Row],[교직원상세구분]]="사회복무요원",tblRoster[[#This Row],[교직원상세구분]]="인턴(수습)"),"제외","포함")</f>
        <v>포함</v>
      </c>
      <c r="Y344">
        <f>1</f>
        <v>1</v>
      </c>
      <c r="Z344">
        <f>IF(tblRoster[[#This Row],[재직상태구분]]="휴직",1,0)</f>
        <v>0</v>
      </c>
      <c r="AA34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44">
        <f ca="1">IF(tblRoster[[#This Row],[본교발령시작일자]]="","",DATEDIF(tblRoster[[#This Row],[본교발령시작일자]],TODAY(),"Y"))</f>
        <v>2</v>
      </c>
      <c r="AC344">
        <f ca="1">IF(tblRoster[[#This Row],[최초발령시작일자]]="","",DATEDIF(tblRoster[[#This Row],[최초발령시작일자]],TODAY(),"Y"))</f>
        <v>2</v>
      </c>
      <c r="AD34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44">
        <f ca="1">IF(tblRoster[[#This Row],[직급발령시작일자]]="","",ROUND(YEARFRAC(tblRoster[[#This Row],[직급발령시작일자]],TODAY()),1))</f>
        <v>0.3</v>
      </c>
      <c r="AF34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4" t="str">
        <f ca="1">IF(OR(tblRoster[[#This Row],[공무원구분]]&lt;&gt;"공무원",tblRoster[[#This Row],[나이]]=""),"",YEAR(TODAY())+(60-tblRoster[[#This Row],[나이]]))</f>
        <v/>
      </c>
      <c r="AH344" t="str">
        <f>IF(tblRoster[[#This Row],[직위]]="","일반","보직자")</f>
        <v>일반</v>
      </c>
      <c r="AI34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4" t="str">
        <f ca="1">IF(tblRoster[[#This Row],[복직예정일]]="","",TEXT(tblRoster[[#This Row],[복직예정일]],"yyyy-mm"))</f>
        <v/>
      </c>
      <c r="AM344" t="str">
        <f ca="1">IF(tblRoster[[#This Row],[복직예정일]]="","",tblRoster[[#This Row],[복직예정일]]-TODAY())</f>
        <v/>
      </c>
      <c r="AN344" t="str">
        <f ca="1">IF(tblRoster[[#This Row],[휴직잔여일수]]="","",IF(tblRoster[[#This Row],[휴직잔여일수]]&lt;=180,"6개월내","6개월이후"))</f>
        <v/>
      </c>
      <c r="AO34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5" spans="1:41" x14ac:dyDescent="0.3">
      <c r="A345">
        <v>900343</v>
      </c>
      <c r="B345" t="s">
        <v>559</v>
      </c>
      <c r="C345" t="s">
        <v>8</v>
      </c>
      <c r="D345">
        <v>27</v>
      </c>
      <c r="E345" t="s">
        <v>150</v>
      </c>
      <c r="F345" t="s">
        <v>171</v>
      </c>
      <c r="G345" t="s">
        <v>151</v>
      </c>
      <c r="H345" t="s">
        <v>148</v>
      </c>
      <c r="I345" t="s">
        <v>132</v>
      </c>
      <c r="J345" t="s">
        <v>133</v>
      </c>
      <c r="L345" t="s">
        <v>135</v>
      </c>
      <c r="M345" t="s">
        <v>135</v>
      </c>
      <c r="N345" s="1">
        <v>45352</v>
      </c>
      <c r="O345" s="1">
        <v>45352</v>
      </c>
      <c r="P345" s="1">
        <v>45352</v>
      </c>
      <c r="Q345" s="1">
        <v>45352</v>
      </c>
      <c r="R345">
        <v>2</v>
      </c>
      <c r="T34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45" t="str">
        <f>IF(tblRoster[[#This Row],[급수]]="4급(임기제)","4급",tblRoster[[#This Row],[급수]])</f>
        <v>대학회계계약직</v>
      </c>
      <c r="V34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4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45" t="str">
        <f>IF(OR(tblRoster[[#This Row],[교직원상세구분]]="사회복무요원",tblRoster[[#This Row],[교직원상세구분]]="인턴(수습)"),"제외","포함")</f>
        <v>포함</v>
      </c>
      <c r="Y345">
        <f>1</f>
        <v>1</v>
      </c>
      <c r="Z345">
        <f>IF(tblRoster[[#This Row],[재직상태구분]]="휴직",1,0)</f>
        <v>0</v>
      </c>
      <c r="AA34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45">
        <f ca="1">IF(tblRoster[[#This Row],[본교발령시작일자]]="","",DATEDIF(tblRoster[[#This Row],[본교발령시작일자]],TODAY(),"Y"))</f>
        <v>2</v>
      </c>
      <c r="AC345">
        <f ca="1">IF(tblRoster[[#This Row],[최초발령시작일자]]="","",DATEDIF(tblRoster[[#This Row],[최초발령시작일자]],TODAY(),"Y"))</f>
        <v>2</v>
      </c>
      <c r="AD34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45">
        <f ca="1">IF(tblRoster[[#This Row],[직급발령시작일자]]="","",ROUND(YEARFRAC(tblRoster[[#This Row],[직급발령시작일자]],TODAY()),1))</f>
        <v>2.5</v>
      </c>
      <c r="AF34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5" t="str">
        <f ca="1">IF(OR(tblRoster[[#This Row],[공무원구분]]&lt;&gt;"공무원",tblRoster[[#This Row],[나이]]=""),"",YEAR(TODAY())+(60-tblRoster[[#This Row],[나이]]))</f>
        <v/>
      </c>
      <c r="AH345" t="str">
        <f>IF(tblRoster[[#This Row],[직위]]="","일반","보직자")</f>
        <v>일반</v>
      </c>
      <c r="AI34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5" t="str">
        <f ca="1">IF(tblRoster[[#This Row],[복직예정일]]="","",TEXT(tblRoster[[#This Row],[복직예정일]],"yyyy-mm"))</f>
        <v/>
      </c>
      <c r="AM345" t="str">
        <f ca="1">IF(tblRoster[[#This Row],[복직예정일]]="","",tblRoster[[#This Row],[복직예정일]]-TODAY())</f>
        <v/>
      </c>
      <c r="AN345" t="str">
        <f ca="1">IF(tblRoster[[#This Row],[휴직잔여일수]]="","",IF(tblRoster[[#This Row],[휴직잔여일수]]&lt;=180,"6개월내","6개월이후"))</f>
        <v/>
      </c>
      <c r="AO34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6" spans="1:41" x14ac:dyDescent="0.3">
      <c r="A346">
        <v>900344</v>
      </c>
      <c r="B346" t="s">
        <v>560</v>
      </c>
      <c r="C346" t="s">
        <v>8</v>
      </c>
      <c r="D346">
        <v>57</v>
      </c>
      <c r="E346" t="s">
        <v>128</v>
      </c>
      <c r="F346" t="s">
        <v>246</v>
      </c>
      <c r="G346" t="s">
        <v>185</v>
      </c>
      <c r="H346" t="s">
        <v>156</v>
      </c>
      <c r="I346" t="s">
        <v>144</v>
      </c>
      <c r="J346" t="s">
        <v>145</v>
      </c>
      <c r="L346" t="s">
        <v>134</v>
      </c>
      <c r="M346" t="s">
        <v>135</v>
      </c>
      <c r="N346" s="1">
        <v>37530</v>
      </c>
      <c r="O346" s="1">
        <v>45658</v>
      </c>
      <c r="P346" s="1">
        <v>45658</v>
      </c>
      <c r="Q346" s="1">
        <v>45658</v>
      </c>
      <c r="T34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6" t="str">
        <f>IF(tblRoster[[#This Row],[급수]]="4급(임기제)","4급",tblRoster[[#This Row],[급수]])</f>
        <v>6급</v>
      </c>
      <c r="V34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6" t="str">
        <f>IF(OR(tblRoster[[#This Row],[교직원상세구분]]="사회복무요원",tblRoster[[#This Row],[교직원상세구분]]="인턴(수습)"),"제외","포함")</f>
        <v>포함</v>
      </c>
      <c r="Y346">
        <f>1</f>
        <v>1</v>
      </c>
      <c r="Z346">
        <f>IF(tblRoster[[#This Row],[재직상태구분]]="휴직",1,0)</f>
        <v>0</v>
      </c>
      <c r="AA34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46">
        <f ca="1">IF(tblRoster[[#This Row],[본교발령시작일자]]="","",DATEDIF(tblRoster[[#This Row],[본교발령시작일자]],TODAY(),"Y"))</f>
        <v>1</v>
      </c>
      <c r="AC346">
        <f ca="1">IF(tblRoster[[#This Row],[최초발령시작일자]]="","",DATEDIF(tblRoster[[#This Row],[최초발령시작일자]],TODAY(),"Y"))</f>
        <v>23</v>
      </c>
      <c r="AD34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46">
        <f ca="1">IF(tblRoster[[#This Row],[직급발령시작일자]]="","",ROUND(YEARFRAC(tblRoster[[#This Row],[직급발령시작일자]],TODAY()),1))</f>
        <v>1.7</v>
      </c>
      <c r="AF34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6">
        <f ca="1">IF(OR(tblRoster[[#This Row],[공무원구분]]&lt;&gt;"공무원",tblRoster[[#This Row],[나이]]=""),"",YEAR(TODAY())+(60-tblRoster[[#This Row],[나이]]))</f>
        <v>2029</v>
      </c>
      <c r="AH346" t="str">
        <f>IF(tblRoster[[#This Row],[직위]]="","일반","보직자")</f>
        <v>일반</v>
      </c>
      <c r="AI34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6" t="str">
        <f ca="1">IF(tblRoster[[#This Row],[복직예정일]]="","",TEXT(tblRoster[[#This Row],[복직예정일]],"yyyy-mm"))</f>
        <v/>
      </c>
      <c r="AM346" t="str">
        <f ca="1">IF(tblRoster[[#This Row],[복직예정일]]="","",tblRoster[[#This Row],[복직예정일]]-TODAY())</f>
        <v/>
      </c>
      <c r="AN346" t="str">
        <f ca="1">IF(tblRoster[[#This Row],[휴직잔여일수]]="","",IF(tblRoster[[#This Row],[휴직잔여일수]]&lt;=180,"6개월내","6개월이후"))</f>
        <v/>
      </c>
      <c r="AO34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7" spans="1:41" x14ac:dyDescent="0.3">
      <c r="A347">
        <v>900345</v>
      </c>
      <c r="B347" t="s">
        <v>72</v>
      </c>
      <c r="C347" t="s">
        <v>8</v>
      </c>
      <c r="D347">
        <v>58</v>
      </c>
      <c r="E347" t="s">
        <v>150</v>
      </c>
      <c r="F347" t="s">
        <v>266</v>
      </c>
      <c r="G347" t="s">
        <v>207</v>
      </c>
      <c r="H347" t="s">
        <v>209</v>
      </c>
      <c r="I347" t="s">
        <v>144</v>
      </c>
      <c r="J347" t="s">
        <v>145</v>
      </c>
      <c r="L347" t="s">
        <v>134</v>
      </c>
      <c r="M347" t="s">
        <v>135</v>
      </c>
      <c r="N347" s="1">
        <v>35034</v>
      </c>
      <c r="O347" s="1">
        <v>35034</v>
      </c>
      <c r="P347" s="1">
        <v>41306</v>
      </c>
      <c r="Q347" s="1">
        <v>41306</v>
      </c>
      <c r="R347">
        <v>34</v>
      </c>
      <c r="S347" t="s">
        <v>561</v>
      </c>
      <c r="T34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7" t="str">
        <f>IF(tblRoster[[#This Row],[급수]]="4급(임기제)","4급",tblRoster[[#This Row],[급수]])</f>
        <v>6급</v>
      </c>
      <c r="V34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7" t="str">
        <f>IF(OR(tblRoster[[#This Row],[교직원상세구분]]="사회복무요원",tblRoster[[#This Row],[교직원상세구분]]="인턴(수습)"),"제외","포함")</f>
        <v>포함</v>
      </c>
      <c r="Y347">
        <f>1</f>
        <v>1</v>
      </c>
      <c r="Z347">
        <f>IF(tblRoster[[#This Row],[재직상태구분]]="휴직",1,0)</f>
        <v>0</v>
      </c>
      <c r="AA34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47">
        <f ca="1">IF(tblRoster[[#This Row],[본교발령시작일자]]="","",DATEDIF(tblRoster[[#This Row],[본교발령시작일자]],TODAY(),"Y"))</f>
        <v>30</v>
      </c>
      <c r="AC347">
        <f ca="1">IF(tblRoster[[#This Row],[최초발령시작일자]]="","",DATEDIF(tblRoster[[#This Row],[최초발령시작일자]],TODAY(),"Y"))</f>
        <v>30</v>
      </c>
      <c r="AD34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47">
        <f ca="1">IF(tblRoster[[#This Row],[직급발령시작일자]]="","",ROUND(YEARFRAC(tblRoster[[#This Row],[직급발령시작일자]],TODAY()),1))</f>
        <v>13.6</v>
      </c>
      <c r="AF34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47">
        <f ca="1">IF(OR(tblRoster[[#This Row],[공무원구분]]&lt;&gt;"공무원",tblRoster[[#This Row],[나이]]=""),"",YEAR(TODAY())+(60-tblRoster[[#This Row],[나이]]))</f>
        <v>2028</v>
      </c>
      <c r="AH347" t="str">
        <f>IF(tblRoster[[#This Row],[직위]]="","일반","보직자")</f>
        <v>일반</v>
      </c>
      <c r="AI34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7" t="str">
        <f ca="1">IF(tblRoster[[#This Row],[복직예정일]]="","",TEXT(tblRoster[[#This Row],[복직예정일]],"yyyy-mm"))</f>
        <v/>
      </c>
      <c r="AM347" t="str">
        <f ca="1">IF(tblRoster[[#This Row],[복직예정일]]="","",tblRoster[[#This Row],[복직예정일]]-TODAY())</f>
        <v/>
      </c>
      <c r="AN347" t="str">
        <f ca="1">IF(tblRoster[[#This Row],[휴직잔여일수]]="","",IF(tblRoster[[#This Row],[휴직잔여일수]]&lt;=180,"6개월내","6개월이후"))</f>
        <v/>
      </c>
      <c r="AO34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8" spans="1:41" x14ac:dyDescent="0.3">
      <c r="A348">
        <v>900346</v>
      </c>
      <c r="B348" t="s">
        <v>562</v>
      </c>
      <c r="C348" t="s">
        <v>8</v>
      </c>
      <c r="D348">
        <v>53</v>
      </c>
      <c r="E348" t="s">
        <v>150</v>
      </c>
      <c r="F348" t="s">
        <v>246</v>
      </c>
      <c r="G348" t="s">
        <v>197</v>
      </c>
      <c r="H348" t="s">
        <v>165</v>
      </c>
      <c r="I348" t="s">
        <v>144</v>
      </c>
      <c r="J348" t="s">
        <v>145</v>
      </c>
      <c r="L348" t="s">
        <v>134</v>
      </c>
      <c r="M348" t="s">
        <v>135</v>
      </c>
      <c r="N348" s="1">
        <v>39114</v>
      </c>
      <c r="O348" s="1">
        <v>39114</v>
      </c>
      <c r="P348" s="1">
        <v>45566</v>
      </c>
      <c r="Q348" s="1">
        <v>45566</v>
      </c>
      <c r="T34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48" t="str">
        <f>IF(tblRoster[[#This Row],[급수]]="4급(임기제)","4급",tblRoster[[#This Row],[급수]])</f>
        <v>6급</v>
      </c>
      <c r="V34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4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48" t="str">
        <f>IF(OR(tblRoster[[#This Row],[교직원상세구분]]="사회복무요원",tblRoster[[#This Row],[교직원상세구분]]="인턴(수습)"),"제외","포함")</f>
        <v>포함</v>
      </c>
      <c r="Y348">
        <f>1</f>
        <v>1</v>
      </c>
      <c r="Z348">
        <f>IF(tblRoster[[#This Row],[재직상태구분]]="휴직",1,0)</f>
        <v>0</v>
      </c>
      <c r="AA34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48">
        <f ca="1">IF(tblRoster[[#This Row],[본교발령시작일자]]="","",DATEDIF(tblRoster[[#This Row],[본교발령시작일자]],TODAY(),"Y"))</f>
        <v>19</v>
      </c>
      <c r="AC348">
        <f ca="1">IF(tblRoster[[#This Row],[최초발령시작일자]]="","",DATEDIF(tblRoster[[#This Row],[최초발령시작일자]],TODAY(),"Y"))</f>
        <v>19</v>
      </c>
      <c r="AD34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48">
        <f ca="1">IF(tblRoster[[#This Row],[직급발령시작일자]]="","",ROUND(YEARFRAC(tblRoster[[#This Row],[직급발령시작일자]],TODAY()),1))</f>
        <v>1.9</v>
      </c>
      <c r="AF34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48">
        <f ca="1">IF(OR(tblRoster[[#This Row],[공무원구분]]&lt;&gt;"공무원",tblRoster[[#This Row],[나이]]=""),"",YEAR(TODAY())+(60-tblRoster[[#This Row],[나이]]))</f>
        <v>2033</v>
      </c>
      <c r="AH348" t="str">
        <f>IF(tblRoster[[#This Row],[직위]]="","일반","보직자")</f>
        <v>일반</v>
      </c>
      <c r="AI34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8" t="str">
        <f ca="1">IF(tblRoster[[#This Row],[복직예정일]]="","",TEXT(tblRoster[[#This Row],[복직예정일]],"yyyy-mm"))</f>
        <v/>
      </c>
      <c r="AM348" t="str">
        <f ca="1">IF(tblRoster[[#This Row],[복직예정일]]="","",tblRoster[[#This Row],[복직예정일]]-TODAY())</f>
        <v/>
      </c>
      <c r="AN348" t="str">
        <f ca="1">IF(tblRoster[[#This Row],[휴직잔여일수]]="","",IF(tblRoster[[#This Row],[휴직잔여일수]]&lt;=180,"6개월내","6개월이후"))</f>
        <v/>
      </c>
      <c r="AO34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49" spans="1:41" x14ac:dyDescent="0.3">
      <c r="A349">
        <v>900347</v>
      </c>
      <c r="B349" t="s">
        <v>563</v>
      </c>
      <c r="C349" t="s">
        <v>8</v>
      </c>
      <c r="D349">
        <v>28</v>
      </c>
      <c r="E349" t="s">
        <v>150</v>
      </c>
      <c r="F349" t="s">
        <v>154</v>
      </c>
      <c r="G349" t="s">
        <v>155</v>
      </c>
      <c r="H349" t="s">
        <v>212</v>
      </c>
      <c r="I349" t="s">
        <v>213</v>
      </c>
      <c r="J349" t="s">
        <v>133</v>
      </c>
      <c r="L349" t="s">
        <v>135</v>
      </c>
      <c r="M349" t="s">
        <v>135</v>
      </c>
      <c r="N349" s="1">
        <v>44105</v>
      </c>
      <c r="O349" s="1">
        <v>44287</v>
      </c>
      <c r="P349" s="1">
        <v>44287</v>
      </c>
      <c r="Q349" s="1">
        <v>44287</v>
      </c>
      <c r="T34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349" t="str">
        <f>IF(tblRoster[[#This Row],[급수]]="4급(임기제)","4급",tblRoster[[#This Row],[급수]])</f>
        <v>인턴</v>
      </c>
      <c r="V34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34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49" t="str">
        <f>IF(OR(tblRoster[[#This Row],[교직원상세구분]]="사회복무요원",tblRoster[[#This Row],[교직원상세구분]]="인턴(수습)"),"제외","포함")</f>
        <v>제외</v>
      </c>
      <c r="Y349">
        <f>1</f>
        <v>1</v>
      </c>
      <c r="Z349">
        <f>IF(tblRoster[[#This Row],[재직상태구분]]="휴직",1,0)</f>
        <v>0</v>
      </c>
      <c r="AA34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49">
        <f ca="1">IF(tblRoster[[#This Row],[본교발령시작일자]]="","",DATEDIF(tblRoster[[#This Row],[본교발령시작일자]],TODAY(),"Y"))</f>
        <v>5</v>
      </c>
      <c r="AC349">
        <f ca="1">IF(tblRoster[[#This Row],[최초발령시작일자]]="","",DATEDIF(tblRoster[[#This Row],[최초발령시작일자]],TODAY(),"Y"))</f>
        <v>5</v>
      </c>
      <c r="AD34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49">
        <f ca="1">IF(tblRoster[[#This Row],[직급발령시작일자]]="","",ROUND(YEARFRAC(tblRoster[[#This Row],[직급발령시작일자]],TODAY()),1))</f>
        <v>5.4</v>
      </c>
      <c r="AF349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49" t="str">
        <f ca="1">IF(OR(tblRoster[[#This Row],[공무원구분]]&lt;&gt;"공무원",tblRoster[[#This Row],[나이]]=""),"",YEAR(TODAY())+(60-tblRoster[[#This Row],[나이]]))</f>
        <v/>
      </c>
      <c r="AH349" t="str">
        <f>IF(tblRoster[[#This Row],[직위]]="","일반","보직자")</f>
        <v>일반</v>
      </c>
      <c r="AI34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4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4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49" t="str">
        <f ca="1">IF(tblRoster[[#This Row],[복직예정일]]="","",TEXT(tblRoster[[#This Row],[복직예정일]],"yyyy-mm"))</f>
        <v/>
      </c>
      <c r="AM349" t="str">
        <f ca="1">IF(tblRoster[[#This Row],[복직예정일]]="","",tblRoster[[#This Row],[복직예정일]]-TODAY())</f>
        <v/>
      </c>
      <c r="AN349" t="str">
        <f ca="1">IF(tblRoster[[#This Row],[휴직잔여일수]]="","",IF(tblRoster[[#This Row],[휴직잔여일수]]&lt;=180,"6개월내","6개월이후"))</f>
        <v/>
      </c>
      <c r="AO34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0" spans="1:41" x14ac:dyDescent="0.3">
      <c r="A350">
        <v>900348</v>
      </c>
      <c r="B350" t="s">
        <v>73</v>
      </c>
      <c r="C350" t="s">
        <v>8</v>
      </c>
      <c r="D350">
        <v>23</v>
      </c>
      <c r="E350" t="s">
        <v>150</v>
      </c>
      <c r="F350" t="s">
        <v>137</v>
      </c>
      <c r="G350" t="s">
        <v>142</v>
      </c>
      <c r="H350" t="s">
        <v>186</v>
      </c>
      <c r="I350" t="s">
        <v>186</v>
      </c>
      <c r="J350" t="s">
        <v>133</v>
      </c>
      <c r="L350" t="s">
        <v>134</v>
      </c>
      <c r="M350" t="s">
        <v>135</v>
      </c>
      <c r="N350" s="1">
        <v>45839</v>
      </c>
      <c r="O350" s="1">
        <v>45839</v>
      </c>
      <c r="P350" s="1">
        <v>45839</v>
      </c>
      <c r="Q350" s="1">
        <v>45839</v>
      </c>
      <c r="S350" t="s">
        <v>564</v>
      </c>
      <c r="T35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350" t="str">
        <f>IF(tblRoster[[#This Row],[급수]]="4급(임기제)","4급",tblRoster[[#This Row],[급수]])</f>
        <v>사회복무요원</v>
      </c>
      <c r="V35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35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50" t="str">
        <f>IF(OR(tblRoster[[#This Row],[교직원상세구분]]="사회복무요원",tblRoster[[#This Row],[교직원상세구분]]="인턴(수습)"),"제외","포함")</f>
        <v>제외</v>
      </c>
      <c r="Y350">
        <f>1</f>
        <v>1</v>
      </c>
      <c r="Z350">
        <f>IF(tblRoster[[#This Row],[재직상태구분]]="휴직",1,0)</f>
        <v>0</v>
      </c>
      <c r="AA35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50">
        <f ca="1">IF(tblRoster[[#This Row],[본교발령시작일자]]="","",DATEDIF(tblRoster[[#This Row],[본교발령시작일자]],TODAY(),"Y"))</f>
        <v>1</v>
      </c>
      <c r="AC350">
        <f ca="1">IF(tblRoster[[#This Row],[최초발령시작일자]]="","",DATEDIF(tblRoster[[#This Row],[최초발령시작일자]],TODAY(),"Y"))</f>
        <v>1</v>
      </c>
      <c r="AD35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50">
        <f ca="1">IF(tblRoster[[#This Row],[직급발령시작일자]]="","",ROUND(YEARFRAC(tblRoster[[#This Row],[직급발령시작일자]],TODAY()),1))</f>
        <v>1.2</v>
      </c>
      <c r="AF35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50" t="str">
        <f ca="1">IF(OR(tblRoster[[#This Row],[공무원구분]]&lt;&gt;"공무원",tblRoster[[#This Row],[나이]]=""),"",YEAR(TODAY())+(60-tblRoster[[#This Row],[나이]]))</f>
        <v/>
      </c>
      <c r="AH350" t="str">
        <f>IF(tblRoster[[#This Row],[직위]]="","일반","보직자")</f>
        <v>일반</v>
      </c>
      <c r="AI35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0" t="str">
        <f ca="1">IF(tblRoster[[#This Row],[복직예정일]]="","",TEXT(tblRoster[[#This Row],[복직예정일]],"yyyy-mm"))</f>
        <v/>
      </c>
      <c r="AM350" t="str">
        <f ca="1">IF(tblRoster[[#This Row],[복직예정일]]="","",tblRoster[[#This Row],[복직예정일]]-TODAY())</f>
        <v/>
      </c>
      <c r="AN350" t="str">
        <f ca="1">IF(tblRoster[[#This Row],[휴직잔여일수]]="","",IF(tblRoster[[#This Row],[휴직잔여일수]]&lt;=180,"6개월내","6개월이후"))</f>
        <v/>
      </c>
      <c r="AO35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1" spans="1:41" x14ac:dyDescent="0.3">
      <c r="A351">
        <v>900349</v>
      </c>
      <c r="B351" t="s">
        <v>565</v>
      </c>
      <c r="C351" t="s">
        <v>8</v>
      </c>
      <c r="D351">
        <v>31</v>
      </c>
      <c r="E351" t="s">
        <v>150</v>
      </c>
      <c r="F351" t="s">
        <v>129</v>
      </c>
      <c r="G351" t="s">
        <v>155</v>
      </c>
      <c r="H351" t="s">
        <v>148</v>
      </c>
      <c r="I351" t="s">
        <v>132</v>
      </c>
      <c r="J351" t="s">
        <v>133</v>
      </c>
      <c r="L351" t="s">
        <v>135</v>
      </c>
      <c r="M351" t="s">
        <v>135</v>
      </c>
      <c r="N351" s="1">
        <v>42948</v>
      </c>
      <c r="O351" s="1">
        <v>42948</v>
      </c>
      <c r="P351" s="1">
        <v>42948</v>
      </c>
      <c r="Q351" s="1">
        <v>42948</v>
      </c>
      <c r="R351">
        <v>9</v>
      </c>
      <c r="T35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51" t="str">
        <f>IF(tblRoster[[#This Row],[급수]]="4급(임기제)","4급",tblRoster[[#This Row],[급수]])</f>
        <v>대학회계계약직</v>
      </c>
      <c r="V35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5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51" t="str">
        <f>IF(OR(tblRoster[[#This Row],[교직원상세구분]]="사회복무요원",tblRoster[[#This Row],[교직원상세구분]]="인턴(수습)"),"제외","포함")</f>
        <v>포함</v>
      </c>
      <c r="Y351">
        <f>1</f>
        <v>1</v>
      </c>
      <c r="Z351">
        <f>IF(tblRoster[[#This Row],[재직상태구분]]="휴직",1,0)</f>
        <v>0</v>
      </c>
      <c r="AA35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51">
        <f ca="1">IF(tblRoster[[#This Row],[본교발령시작일자]]="","",DATEDIF(tblRoster[[#This Row],[본교발령시작일자]],TODAY(),"Y"))</f>
        <v>9</v>
      </c>
      <c r="AC351">
        <f ca="1">IF(tblRoster[[#This Row],[최초발령시작일자]]="","",DATEDIF(tblRoster[[#This Row],[최초발령시작일자]],TODAY(),"Y"))</f>
        <v>9</v>
      </c>
      <c r="AD35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51">
        <f ca="1">IF(tblRoster[[#This Row],[직급발령시작일자]]="","",ROUND(YEARFRAC(tblRoster[[#This Row],[직급발령시작일자]],TODAY()),1))</f>
        <v>9.1</v>
      </c>
      <c r="AF35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51" t="str">
        <f ca="1">IF(OR(tblRoster[[#This Row],[공무원구분]]&lt;&gt;"공무원",tblRoster[[#This Row],[나이]]=""),"",YEAR(TODAY())+(60-tblRoster[[#This Row],[나이]]))</f>
        <v/>
      </c>
      <c r="AH351" t="str">
        <f>IF(tblRoster[[#This Row],[직위]]="","일반","보직자")</f>
        <v>일반</v>
      </c>
      <c r="AI35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1" t="str">
        <f ca="1">IF(tblRoster[[#This Row],[복직예정일]]="","",TEXT(tblRoster[[#This Row],[복직예정일]],"yyyy-mm"))</f>
        <v/>
      </c>
      <c r="AM351" t="str">
        <f ca="1">IF(tblRoster[[#This Row],[복직예정일]]="","",tblRoster[[#This Row],[복직예정일]]-TODAY())</f>
        <v/>
      </c>
      <c r="AN351" t="str">
        <f ca="1">IF(tblRoster[[#This Row],[휴직잔여일수]]="","",IF(tblRoster[[#This Row],[휴직잔여일수]]&lt;=180,"6개월내","6개월이후"))</f>
        <v/>
      </c>
      <c r="AO35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2" spans="1:41" x14ac:dyDescent="0.3">
      <c r="A352">
        <v>900350</v>
      </c>
      <c r="B352" t="s">
        <v>566</v>
      </c>
      <c r="C352" t="s">
        <v>8</v>
      </c>
      <c r="D352">
        <v>41</v>
      </c>
      <c r="E352" t="s">
        <v>128</v>
      </c>
      <c r="F352" t="s">
        <v>266</v>
      </c>
      <c r="G352" t="s">
        <v>207</v>
      </c>
      <c r="H352" t="s">
        <v>233</v>
      </c>
      <c r="I352" t="s">
        <v>144</v>
      </c>
      <c r="J352" t="s">
        <v>145</v>
      </c>
      <c r="L352" t="s">
        <v>135</v>
      </c>
      <c r="M352" t="s">
        <v>135</v>
      </c>
      <c r="N352" s="1">
        <v>39783</v>
      </c>
      <c r="O352" s="1">
        <v>39783</v>
      </c>
      <c r="P352" s="1">
        <v>42064</v>
      </c>
      <c r="Q352" s="1">
        <v>42064</v>
      </c>
      <c r="R352">
        <v>20</v>
      </c>
      <c r="T35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52" t="str">
        <f>IF(tblRoster[[#This Row],[급수]]="4급(임기제)","4급",tblRoster[[#This Row],[급수]])</f>
        <v>8급</v>
      </c>
      <c r="V35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5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2" t="str">
        <f>IF(OR(tblRoster[[#This Row],[교직원상세구분]]="사회복무요원",tblRoster[[#This Row],[교직원상세구분]]="인턴(수습)"),"제외","포함")</f>
        <v>포함</v>
      </c>
      <c r="Y352">
        <f>1</f>
        <v>1</v>
      </c>
      <c r="Z352">
        <f>IF(tblRoster[[#This Row],[재직상태구분]]="휴직",1,0)</f>
        <v>0</v>
      </c>
      <c r="AA35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52">
        <f ca="1">IF(tblRoster[[#This Row],[본교발령시작일자]]="","",DATEDIF(tblRoster[[#This Row],[본교발령시작일자]],TODAY(),"Y"))</f>
        <v>17</v>
      </c>
      <c r="AC352">
        <f ca="1">IF(tblRoster[[#This Row],[최초발령시작일자]]="","",DATEDIF(tblRoster[[#This Row],[최초발령시작일자]],TODAY(),"Y"))</f>
        <v>17</v>
      </c>
      <c r="AD35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52">
        <f ca="1">IF(tblRoster[[#This Row],[직급발령시작일자]]="","",ROUND(YEARFRAC(tblRoster[[#This Row],[직급발령시작일자]],TODAY()),1))</f>
        <v>11.5</v>
      </c>
      <c r="AF35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52">
        <f ca="1">IF(OR(tblRoster[[#This Row],[공무원구분]]&lt;&gt;"공무원",tblRoster[[#This Row],[나이]]=""),"",YEAR(TODAY())+(60-tblRoster[[#This Row],[나이]]))</f>
        <v>2045</v>
      </c>
      <c r="AH352" t="str">
        <f>IF(tblRoster[[#This Row],[직위]]="","일반","보직자")</f>
        <v>일반</v>
      </c>
      <c r="AI35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2" t="str">
        <f ca="1">IF(tblRoster[[#This Row],[복직예정일]]="","",TEXT(tblRoster[[#This Row],[복직예정일]],"yyyy-mm"))</f>
        <v/>
      </c>
      <c r="AM352" t="str">
        <f ca="1">IF(tblRoster[[#This Row],[복직예정일]]="","",tblRoster[[#This Row],[복직예정일]]-TODAY())</f>
        <v/>
      </c>
      <c r="AN352" t="str">
        <f ca="1">IF(tblRoster[[#This Row],[휴직잔여일수]]="","",IF(tblRoster[[#This Row],[휴직잔여일수]]&lt;=180,"6개월내","6개월이후"))</f>
        <v/>
      </c>
      <c r="AO35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3" spans="1:41" x14ac:dyDescent="0.3">
      <c r="A353">
        <v>900351</v>
      </c>
      <c r="B353" t="s">
        <v>74</v>
      </c>
      <c r="C353" t="s">
        <v>8</v>
      </c>
      <c r="D353">
        <v>43</v>
      </c>
      <c r="E353" t="s">
        <v>150</v>
      </c>
      <c r="F353" t="s">
        <v>158</v>
      </c>
      <c r="G353" t="s">
        <v>182</v>
      </c>
      <c r="H353" t="s">
        <v>165</v>
      </c>
      <c r="I353" t="s">
        <v>144</v>
      </c>
      <c r="J353" t="s">
        <v>145</v>
      </c>
      <c r="L353" t="s">
        <v>134</v>
      </c>
      <c r="M353" t="s">
        <v>135</v>
      </c>
      <c r="N353" s="1">
        <v>43344</v>
      </c>
      <c r="O353" s="1">
        <v>43344</v>
      </c>
      <c r="P353" s="1">
        <v>43586</v>
      </c>
      <c r="Q353" s="1">
        <v>43586</v>
      </c>
      <c r="R353">
        <v>8</v>
      </c>
      <c r="S353" t="s">
        <v>567</v>
      </c>
      <c r="T35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53" t="str">
        <f>IF(tblRoster[[#This Row],[급수]]="4급(임기제)","4급",tblRoster[[#This Row],[급수]])</f>
        <v>6급</v>
      </c>
      <c r="V35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5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3" t="str">
        <f>IF(OR(tblRoster[[#This Row],[교직원상세구분]]="사회복무요원",tblRoster[[#This Row],[교직원상세구분]]="인턴(수습)"),"제외","포함")</f>
        <v>포함</v>
      </c>
      <c r="Y353">
        <f>1</f>
        <v>1</v>
      </c>
      <c r="Z353">
        <f>IF(tblRoster[[#This Row],[재직상태구분]]="휴직",1,0)</f>
        <v>0</v>
      </c>
      <c r="AA35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53">
        <f ca="1">IF(tblRoster[[#This Row],[본교발령시작일자]]="","",DATEDIF(tblRoster[[#This Row],[본교발령시작일자]],TODAY(),"Y"))</f>
        <v>8</v>
      </c>
      <c r="AC353">
        <f ca="1">IF(tblRoster[[#This Row],[최초발령시작일자]]="","",DATEDIF(tblRoster[[#This Row],[최초발령시작일자]],TODAY(),"Y"))</f>
        <v>8</v>
      </c>
      <c r="AD35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53">
        <f ca="1">IF(tblRoster[[#This Row],[직급발령시작일자]]="","",ROUND(YEARFRAC(tblRoster[[#This Row],[직급발령시작일자]],TODAY()),1))</f>
        <v>7.4</v>
      </c>
      <c r="AF35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53">
        <f ca="1">IF(OR(tblRoster[[#This Row],[공무원구분]]&lt;&gt;"공무원",tblRoster[[#This Row],[나이]]=""),"",YEAR(TODAY())+(60-tblRoster[[#This Row],[나이]]))</f>
        <v>2043</v>
      </c>
      <c r="AH353" t="str">
        <f>IF(tblRoster[[#This Row],[직위]]="","일반","보직자")</f>
        <v>일반</v>
      </c>
      <c r="AI35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3" t="str">
        <f ca="1">IF(tblRoster[[#This Row],[복직예정일]]="","",TEXT(tblRoster[[#This Row],[복직예정일]],"yyyy-mm"))</f>
        <v/>
      </c>
      <c r="AM353" t="str">
        <f ca="1">IF(tblRoster[[#This Row],[복직예정일]]="","",tblRoster[[#This Row],[복직예정일]]-TODAY())</f>
        <v/>
      </c>
      <c r="AN353" t="str">
        <f ca="1">IF(tblRoster[[#This Row],[휴직잔여일수]]="","",IF(tblRoster[[#This Row],[휴직잔여일수]]&lt;=180,"6개월내","6개월이후"))</f>
        <v/>
      </c>
      <c r="AO35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4" spans="1:41" x14ac:dyDescent="0.3">
      <c r="A354">
        <v>900352</v>
      </c>
      <c r="B354" t="s">
        <v>568</v>
      </c>
      <c r="C354" t="s">
        <v>8</v>
      </c>
      <c r="D354">
        <v>39</v>
      </c>
      <c r="E354" t="s">
        <v>150</v>
      </c>
      <c r="F354" t="s">
        <v>158</v>
      </c>
      <c r="G354" t="s">
        <v>185</v>
      </c>
      <c r="H354" t="s">
        <v>223</v>
      </c>
      <c r="I354" t="s">
        <v>144</v>
      </c>
      <c r="J354" t="s">
        <v>145</v>
      </c>
      <c r="L354" t="s">
        <v>135</v>
      </c>
      <c r="M354" t="s">
        <v>135</v>
      </c>
      <c r="N354" s="1">
        <v>40026</v>
      </c>
      <c r="O354" s="1">
        <v>40026</v>
      </c>
      <c r="P354" s="1">
        <v>43435</v>
      </c>
      <c r="Q354" s="1">
        <v>43435</v>
      </c>
      <c r="T35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54" t="str">
        <f>IF(tblRoster[[#This Row],[급수]]="4급(임기제)","4급",tblRoster[[#This Row],[급수]])</f>
        <v>8급</v>
      </c>
      <c r="V35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5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4" t="str">
        <f>IF(OR(tblRoster[[#This Row],[교직원상세구분]]="사회복무요원",tblRoster[[#This Row],[교직원상세구분]]="인턴(수습)"),"제외","포함")</f>
        <v>포함</v>
      </c>
      <c r="Y354">
        <f>1</f>
        <v>1</v>
      </c>
      <c r="Z354">
        <f>IF(tblRoster[[#This Row],[재직상태구분]]="휴직",1,0)</f>
        <v>0</v>
      </c>
      <c r="AA35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54">
        <f ca="1">IF(tblRoster[[#This Row],[본교발령시작일자]]="","",DATEDIF(tblRoster[[#This Row],[본교발령시작일자]],TODAY(),"Y"))</f>
        <v>17</v>
      </c>
      <c r="AC354">
        <f ca="1">IF(tblRoster[[#This Row],[최초발령시작일자]]="","",DATEDIF(tblRoster[[#This Row],[최초발령시작일자]],TODAY(),"Y"))</f>
        <v>17</v>
      </c>
      <c r="AD35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54">
        <f ca="1">IF(tblRoster[[#This Row],[직급발령시작일자]]="","",ROUND(YEARFRAC(tblRoster[[#This Row],[직급발령시작일자]],TODAY()),1))</f>
        <v>7.8</v>
      </c>
      <c r="AF35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54">
        <f ca="1">IF(OR(tblRoster[[#This Row],[공무원구분]]&lt;&gt;"공무원",tblRoster[[#This Row],[나이]]=""),"",YEAR(TODAY())+(60-tblRoster[[#This Row],[나이]]))</f>
        <v>2047</v>
      </c>
      <c r="AH354" t="str">
        <f>IF(tblRoster[[#This Row],[직위]]="","일반","보직자")</f>
        <v>일반</v>
      </c>
      <c r="AI35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4" t="str">
        <f ca="1">IF(tblRoster[[#This Row],[복직예정일]]="","",TEXT(tblRoster[[#This Row],[복직예정일]],"yyyy-mm"))</f>
        <v/>
      </c>
      <c r="AM354" t="str">
        <f ca="1">IF(tblRoster[[#This Row],[복직예정일]]="","",tblRoster[[#This Row],[복직예정일]]-TODAY())</f>
        <v/>
      </c>
      <c r="AN354" t="str">
        <f ca="1">IF(tblRoster[[#This Row],[휴직잔여일수]]="","",IF(tblRoster[[#This Row],[휴직잔여일수]]&lt;=180,"6개월내","6개월이후"))</f>
        <v/>
      </c>
      <c r="AO35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5" spans="1:41" x14ac:dyDescent="0.3">
      <c r="A355">
        <v>900353</v>
      </c>
      <c r="B355" t="s">
        <v>569</v>
      </c>
      <c r="C355" t="s">
        <v>8</v>
      </c>
      <c r="D355">
        <v>29</v>
      </c>
      <c r="E355" t="s">
        <v>128</v>
      </c>
      <c r="F355" t="s">
        <v>141</v>
      </c>
      <c r="G355" t="s">
        <v>207</v>
      </c>
      <c r="H355" t="s">
        <v>148</v>
      </c>
      <c r="I355" t="s">
        <v>132</v>
      </c>
      <c r="J355" t="s">
        <v>133</v>
      </c>
      <c r="L355" t="s">
        <v>134</v>
      </c>
      <c r="M355" t="s">
        <v>135</v>
      </c>
      <c r="N355" s="1">
        <v>43709</v>
      </c>
      <c r="O355" s="1">
        <v>43709</v>
      </c>
      <c r="P355" s="1">
        <v>43709</v>
      </c>
      <c r="Q355" s="1">
        <v>43709</v>
      </c>
      <c r="R355">
        <v>9</v>
      </c>
      <c r="T35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55" t="str">
        <f>IF(tblRoster[[#This Row],[급수]]="4급(임기제)","4급",tblRoster[[#This Row],[급수]])</f>
        <v>대학회계계약직</v>
      </c>
      <c r="V35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5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55" t="str">
        <f>IF(OR(tblRoster[[#This Row],[교직원상세구분]]="사회복무요원",tblRoster[[#This Row],[교직원상세구분]]="인턴(수습)"),"제외","포함")</f>
        <v>포함</v>
      </c>
      <c r="Y355">
        <f>1</f>
        <v>1</v>
      </c>
      <c r="Z355">
        <f>IF(tblRoster[[#This Row],[재직상태구분]]="휴직",1,0)</f>
        <v>0</v>
      </c>
      <c r="AA35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55">
        <f ca="1">IF(tblRoster[[#This Row],[본교발령시작일자]]="","",DATEDIF(tblRoster[[#This Row],[본교발령시작일자]],TODAY(),"Y"))</f>
        <v>7</v>
      </c>
      <c r="AC355">
        <f ca="1">IF(tblRoster[[#This Row],[최초발령시작일자]]="","",DATEDIF(tblRoster[[#This Row],[최초발령시작일자]],TODAY(),"Y"))</f>
        <v>7</v>
      </c>
      <c r="AD35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55">
        <f ca="1">IF(tblRoster[[#This Row],[직급발령시작일자]]="","",ROUND(YEARFRAC(tblRoster[[#This Row],[직급발령시작일자]],TODAY()),1))</f>
        <v>7</v>
      </c>
      <c r="AF35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55" t="str">
        <f ca="1">IF(OR(tblRoster[[#This Row],[공무원구분]]&lt;&gt;"공무원",tblRoster[[#This Row],[나이]]=""),"",YEAR(TODAY())+(60-tblRoster[[#This Row],[나이]]))</f>
        <v/>
      </c>
      <c r="AH355" t="str">
        <f>IF(tblRoster[[#This Row],[직위]]="","일반","보직자")</f>
        <v>일반</v>
      </c>
      <c r="AI35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5" t="str">
        <f ca="1">IF(tblRoster[[#This Row],[복직예정일]]="","",TEXT(tblRoster[[#This Row],[복직예정일]],"yyyy-mm"))</f>
        <v/>
      </c>
      <c r="AM355" t="str">
        <f ca="1">IF(tblRoster[[#This Row],[복직예정일]]="","",tblRoster[[#This Row],[복직예정일]]-TODAY())</f>
        <v/>
      </c>
      <c r="AN355" t="str">
        <f ca="1">IF(tblRoster[[#This Row],[휴직잔여일수]]="","",IF(tblRoster[[#This Row],[휴직잔여일수]]&lt;=180,"6개월내","6개월이후"))</f>
        <v/>
      </c>
      <c r="AO35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6" spans="1:41" x14ac:dyDescent="0.3">
      <c r="A356">
        <v>900354</v>
      </c>
      <c r="B356" t="s">
        <v>570</v>
      </c>
      <c r="C356" t="s">
        <v>8</v>
      </c>
      <c r="D356">
        <v>54</v>
      </c>
      <c r="E356" t="s">
        <v>128</v>
      </c>
      <c r="F356" t="s">
        <v>189</v>
      </c>
      <c r="G356" t="s">
        <v>185</v>
      </c>
      <c r="H356" t="s">
        <v>163</v>
      </c>
      <c r="I356" t="s">
        <v>144</v>
      </c>
      <c r="J356" t="s">
        <v>145</v>
      </c>
      <c r="L356" t="s">
        <v>134</v>
      </c>
      <c r="M356" t="s">
        <v>135</v>
      </c>
      <c r="N356" s="1">
        <v>36526</v>
      </c>
      <c r="O356" s="1">
        <v>36526</v>
      </c>
      <c r="P356" s="1">
        <v>43709</v>
      </c>
      <c r="Q356" s="1">
        <v>43709</v>
      </c>
      <c r="R356">
        <v>26</v>
      </c>
      <c r="T35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56" t="str">
        <f>IF(tblRoster[[#This Row],[급수]]="4급(임기제)","4급",tblRoster[[#This Row],[급수]])</f>
        <v>6급</v>
      </c>
      <c r="V35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5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6" t="str">
        <f>IF(OR(tblRoster[[#This Row],[교직원상세구분]]="사회복무요원",tblRoster[[#This Row],[교직원상세구분]]="인턴(수습)"),"제외","포함")</f>
        <v>포함</v>
      </c>
      <c r="Y356">
        <f>1</f>
        <v>1</v>
      </c>
      <c r="Z356">
        <f>IF(tblRoster[[#This Row],[재직상태구분]]="휴직",1,0)</f>
        <v>0</v>
      </c>
      <c r="AA35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56">
        <f ca="1">IF(tblRoster[[#This Row],[본교발령시작일자]]="","",DATEDIF(tblRoster[[#This Row],[본교발령시작일자]],TODAY(),"Y"))</f>
        <v>26</v>
      </c>
      <c r="AC356">
        <f ca="1">IF(tblRoster[[#This Row],[최초발령시작일자]]="","",DATEDIF(tblRoster[[#This Row],[최초발령시작일자]],TODAY(),"Y"))</f>
        <v>26</v>
      </c>
      <c r="AD35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56">
        <f ca="1">IF(tblRoster[[#This Row],[직급발령시작일자]]="","",ROUND(YEARFRAC(tblRoster[[#This Row],[직급발령시작일자]],TODAY()),1))</f>
        <v>7</v>
      </c>
      <c r="AF35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56">
        <f ca="1">IF(OR(tblRoster[[#This Row],[공무원구분]]&lt;&gt;"공무원",tblRoster[[#This Row],[나이]]=""),"",YEAR(TODAY())+(60-tblRoster[[#This Row],[나이]]))</f>
        <v>2032</v>
      </c>
      <c r="AH356" t="str">
        <f>IF(tblRoster[[#This Row],[직위]]="","일반","보직자")</f>
        <v>일반</v>
      </c>
      <c r="AI35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6" t="str">
        <f ca="1">IF(tblRoster[[#This Row],[복직예정일]]="","",TEXT(tblRoster[[#This Row],[복직예정일]],"yyyy-mm"))</f>
        <v/>
      </c>
      <c r="AM356" t="str">
        <f ca="1">IF(tblRoster[[#This Row],[복직예정일]]="","",tblRoster[[#This Row],[복직예정일]]-TODAY())</f>
        <v/>
      </c>
      <c r="AN356" t="str">
        <f ca="1">IF(tblRoster[[#This Row],[휴직잔여일수]]="","",IF(tblRoster[[#This Row],[휴직잔여일수]]&lt;=180,"6개월내","6개월이후"))</f>
        <v/>
      </c>
      <c r="AO35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7" spans="1:41" x14ac:dyDescent="0.3">
      <c r="A357">
        <v>900355</v>
      </c>
      <c r="B357" t="s">
        <v>75</v>
      </c>
      <c r="C357" t="s">
        <v>8</v>
      </c>
      <c r="D357">
        <v>40</v>
      </c>
      <c r="E357" t="s">
        <v>128</v>
      </c>
      <c r="F357" t="s">
        <v>266</v>
      </c>
      <c r="G357" t="s">
        <v>142</v>
      </c>
      <c r="H357" t="s">
        <v>381</v>
      </c>
      <c r="I357" t="s">
        <v>144</v>
      </c>
      <c r="J357" t="s">
        <v>145</v>
      </c>
      <c r="L357" t="s">
        <v>135</v>
      </c>
      <c r="M357" t="s">
        <v>135</v>
      </c>
      <c r="N357" s="1">
        <v>45839</v>
      </c>
      <c r="O357" s="1">
        <v>45839</v>
      </c>
      <c r="P357" s="1">
        <v>45839</v>
      </c>
      <c r="Q357" s="1">
        <v>45839</v>
      </c>
      <c r="S357" t="s">
        <v>571</v>
      </c>
      <c r="T35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57" t="str">
        <f>IF(tblRoster[[#This Row],[급수]]="4급(임기제)","4급",tblRoster[[#This Row],[급수]])</f>
        <v>7급</v>
      </c>
      <c r="V35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5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7" t="str">
        <f>IF(OR(tblRoster[[#This Row],[교직원상세구분]]="사회복무요원",tblRoster[[#This Row],[교직원상세구분]]="인턴(수습)"),"제외","포함")</f>
        <v>포함</v>
      </c>
      <c r="Y357">
        <f>1</f>
        <v>1</v>
      </c>
      <c r="Z357">
        <f>IF(tblRoster[[#This Row],[재직상태구분]]="휴직",1,0)</f>
        <v>0</v>
      </c>
      <c r="AA35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57">
        <f ca="1">IF(tblRoster[[#This Row],[본교발령시작일자]]="","",DATEDIF(tblRoster[[#This Row],[본교발령시작일자]],TODAY(),"Y"))</f>
        <v>1</v>
      </c>
      <c r="AC357">
        <f ca="1">IF(tblRoster[[#This Row],[최초발령시작일자]]="","",DATEDIF(tblRoster[[#This Row],[최초발령시작일자]],TODAY(),"Y"))</f>
        <v>1</v>
      </c>
      <c r="AD35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57">
        <f ca="1">IF(tblRoster[[#This Row],[직급발령시작일자]]="","",ROUND(YEARFRAC(tblRoster[[#This Row],[직급발령시작일자]],TODAY()),1))</f>
        <v>1.2</v>
      </c>
      <c r="AF35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57">
        <f ca="1">IF(OR(tblRoster[[#This Row],[공무원구분]]&lt;&gt;"공무원",tblRoster[[#This Row],[나이]]=""),"",YEAR(TODAY())+(60-tblRoster[[#This Row],[나이]]))</f>
        <v>2046</v>
      </c>
      <c r="AH357" t="str">
        <f>IF(tblRoster[[#This Row],[직위]]="","일반","보직자")</f>
        <v>일반</v>
      </c>
      <c r="AI35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7" t="str">
        <f ca="1">IF(tblRoster[[#This Row],[복직예정일]]="","",TEXT(tblRoster[[#This Row],[복직예정일]],"yyyy-mm"))</f>
        <v/>
      </c>
      <c r="AM357" t="str">
        <f ca="1">IF(tblRoster[[#This Row],[복직예정일]]="","",tblRoster[[#This Row],[복직예정일]]-TODAY())</f>
        <v/>
      </c>
      <c r="AN357" t="str">
        <f ca="1">IF(tblRoster[[#This Row],[휴직잔여일수]]="","",IF(tblRoster[[#This Row],[휴직잔여일수]]&lt;=180,"6개월내","6개월이후"))</f>
        <v/>
      </c>
      <c r="AO35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8" spans="1:41" x14ac:dyDescent="0.3">
      <c r="A358">
        <v>900356</v>
      </c>
      <c r="B358" t="s">
        <v>572</v>
      </c>
      <c r="C358" t="s">
        <v>8</v>
      </c>
      <c r="D358">
        <v>46</v>
      </c>
      <c r="E358" t="s">
        <v>150</v>
      </c>
      <c r="F358" t="s">
        <v>147</v>
      </c>
      <c r="G358" t="s">
        <v>202</v>
      </c>
      <c r="H358" t="s">
        <v>131</v>
      </c>
      <c r="I358" t="s">
        <v>132</v>
      </c>
      <c r="J358" t="s">
        <v>133</v>
      </c>
      <c r="L358" t="s">
        <v>134</v>
      </c>
      <c r="M358" t="s">
        <v>135</v>
      </c>
      <c r="N358" s="1">
        <v>43160</v>
      </c>
      <c r="O358" s="1">
        <v>43160</v>
      </c>
      <c r="P358" s="1">
        <v>43160</v>
      </c>
      <c r="Q358" s="1">
        <v>43160</v>
      </c>
      <c r="R358">
        <v>9</v>
      </c>
      <c r="T35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58" t="str">
        <f>IF(tblRoster[[#This Row],[급수]]="4급(임기제)","4급",tblRoster[[#This Row],[급수]])</f>
        <v>대학회계계약직</v>
      </c>
      <c r="V35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5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58" t="str">
        <f>IF(OR(tblRoster[[#This Row],[교직원상세구분]]="사회복무요원",tblRoster[[#This Row],[교직원상세구분]]="인턴(수습)"),"제외","포함")</f>
        <v>포함</v>
      </c>
      <c r="Y358">
        <f>1</f>
        <v>1</v>
      </c>
      <c r="Z358">
        <f>IF(tblRoster[[#This Row],[재직상태구분]]="휴직",1,0)</f>
        <v>0</v>
      </c>
      <c r="AA35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58">
        <f ca="1">IF(tblRoster[[#This Row],[본교발령시작일자]]="","",DATEDIF(tblRoster[[#This Row],[본교발령시작일자]],TODAY(),"Y"))</f>
        <v>8</v>
      </c>
      <c r="AC358">
        <f ca="1">IF(tblRoster[[#This Row],[최초발령시작일자]]="","",DATEDIF(tblRoster[[#This Row],[최초발령시작일자]],TODAY(),"Y"))</f>
        <v>8</v>
      </c>
      <c r="AD35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58">
        <f ca="1">IF(tblRoster[[#This Row],[직급발령시작일자]]="","",ROUND(YEARFRAC(tblRoster[[#This Row],[직급발령시작일자]],TODAY()),1))</f>
        <v>8.5</v>
      </c>
      <c r="AF35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58" t="str">
        <f ca="1">IF(OR(tblRoster[[#This Row],[공무원구분]]&lt;&gt;"공무원",tblRoster[[#This Row],[나이]]=""),"",YEAR(TODAY())+(60-tblRoster[[#This Row],[나이]]))</f>
        <v/>
      </c>
      <c r="AH358" t="str">
        <f>IF(tblRoster[[#This Row],[직위]]="","일반","보직자")</f>
        <v>일반</v>
      </c>
      <c r="AI35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8" t="str">
        <f ca="1">IF(tblRoster[[#This Row],[복직예정일]]="","",TEXT(tblRoster[[#This Row],[복직예정일]],"yyyy-mm"))</f>
        <v/>
      </c>
      <c r="AM358" t="str">
        <f ca="1">IF(tblRoster[[#This Row],[복직예정일]]="","",tblRoster[[#This Row],[복직예정일]]-TODAY())</f>
        <v/>
      </c>
      <c r="AN358" t="str">
        <f ca="1">IF(tblRoster[[#This Row],[휴직잔여일수]]="","",IF(tblRoster[[#This Row],[휴직잔여일수]]&lt;=180,"6개월내","6개월이후"))</f>
        <v/>
      </c>
      <c r="AO35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59" spans="1:41" x14ac:dyDescent="0.3">
      <c r="A359">
        <v>900357</v>
      </c>
      <c r="B359" t="s">
        <v>573</v>
      </c>
      <c r="C359" t="s">
        <v>8</v>
      </c>
      <c r="D359">
        <v>55</v>
      </c>
      <c r="E359" t="s">
        <v>128</v>
      </c>
      <c r="F359" t="s">
        <v>171</v>
      </c>
      <c r="G359" t="s">
        <v>182</v>
      </c>
      <c r="H359" t="s">
        <v>200</v>
      </c>
      <c r="I359" t="s">
        <v>144</v>
      </c>
      <c r="J359" t="s">
        <v>145</v>
      </c>
      <c r="K359" t="s">
        <v>192</v>
      </c>
      <c r="L359" t="s">
        <v>135</v>
      </c>
      <c r="M359" t="s">
        <v>135</v>
      </c>
      <c r="N359" s="1">
        <v>36039</v>
      </c>
      <c r="O359" s="1">
        <v>36039</v>
      </c>
      <c r="P359" s="1">
        <v>42430</v>
      </c>
      <c r="Q359" s="1">
        <v>42430</v>
      </c>
      <c r="R359">
        <v>30</v>
      </c>
      <c r="T35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59" t="str">
        <f>IF(tblRoster[[#This Row],[급수]]="4급(임기제)","4급",tblRoster[[#This Row],[급수]])</f>
        <v>5급</v>
      </c>
      <c r="V35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5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59" t="str">
        <f>IF(OR(tblRoster[[#This Row],[교직원상세구분]]="사회복무요원",tblRoster[[#This Row],[교직원상세구분]]="인턴(수습)"),"제외","포함")</f>
        <v>포함</v>
      </c>
      <c r="Y359">
        <f>1</f>
        <v>1</v>
      </c>
      <c r="Z359">
        <f>IF(tblRoster[[#This Row],[재직상태구분]]="휴직",1,0)</f>
        <v>0</v>
      </c>
      <c r="AA35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59">
        <f ca="1">IF(tblRoster[[#This Row],[본교발령시작일자]]="","",DATEDIF(tblRoster[[#This Row],[본교발령시작일자]],TODAY(),"Y"))</f>
        <v>28</v>
      </c>
      <c r="AC359">
        <f ca="1">IF(tblRoster[[#This Row],[최초발령시작일자]]="","",DATEDIF(tblRoster[[#This Row],[최초발령시작일자]],TODAY(),"Y"))</f>
        <v>28</v>
      </c>
      <c r="AD35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59">
        <f ca="1">IF(tblRoster[[#This Row],[직급발령시작일자]]="","",ROUND(YEARFRAC(tblRoster[[#This Row],[직급발령시작일자]],TODAY()),1))</f>
        <v>10.5</v>
      </c>
      <c r="AF35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59">
        <f ca="1">IF(OR(tblRoster[[#This Row],[공무원구분]]&lt;&gt;"공무원",tblRoster[[#This Row],[나이]]=""),"",YEAR(TODAY())+(60-tblRoster[[#This Row],[나이]]))</f>
        <v>2031</v>
      </c>
      <c r="AH359" t="str">
        <f>IF(tblRoster[[#This Row],[직위]]="","일반","보직자")</f>
        <v>보직자</v>
      </c>
      <c r="AI35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5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5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59" t="str">
        <f ca="1">IF(tblRoster[[#This Row],[복직예정일]]="","",TEXT(tblRoster[[#This Row],[복직예정일]],"yyyy-mm"))</f>
        <v/>
      </c>
      <c r="AM359" t="str">
        <f ca="1">IF(tblRoster[[#This Row],[복직예정일]]="","",tblRoster[[#This Row],[복직예정일]]-TODAY())</f>
        <v/>
      </c>
      <c r="AN359" t="str">
        <f ca="1">IF(tblRoster[[#This Row],[휴직잔여일수]]="","",IF(tblRoster[[#This Row],[휴직잔여일수]]&lt;=180,"6개월내","6개월이후"))</f>
        <v/>
      </c>
      <c r="AO35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0" spans="1:41" x14ac:dyDescent="0.3">
      <c r="A360">
        <v>900358</v>
      </c>
      <c r="B360" t="s">
        <v>76</v>
      </c>
      <c r="C360" t="s">
        <v>8</v>
      </c>
      <c r="D360">
        <v>47</v>
      </c>
      <c r="E360" t="s">
        <v>150</v>
      </c>
      <c r="F360" t="s">
        <v>162</v>
      </c>
      <c r="G360" t="s">
        <v>130</v>
      </c>
      <c r="H360" t="s">
        <v>223</v>
      </c>
      <c r="I360" t="s">
        <v>144</v>
      </c>
      <c r="J360" t="s">
        <v>145</v>
      </c>
      <c r="L360" t="s">
        <v>134</v>
      </c>
      <c r="M360" t="s">
        <v>135</v>
      </c>
      <c r="N360" s="1">
        <v>43221</v>
      </c>
      <c r="O360" s="1">
        <v>44287</v>
      </c>
      <c r="P360" s="1">
        <v>44287</v>
      </c>
      <c r="Q360" s="1">
        <v>44287</v>
      </c>
      <c r="R360">
        <v>11</v>
      </c>
      <c r="S360" t="s">
        <v>574</v>
      </c>
      <c r="T36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60" t="str">
        <f>IF(tblRoster[[#This Row],[급수]]="4급(임기제)","4급",tblRoster[[#This Row],[급수]])</f>
        <v>8급</v>
      </c>
      <c r="V36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6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60" t="str">
        <f>IF(OR(tblRoster[[#This Row],[교직원상세구분]]="사회복무요원",tblRoster[[#This Row],[교직원상세구분]]="인턴(수습)"),"제외","포함")</f>
        <v>포함</v>
      </c>
      <c r="Y360">
        <f>1</f>
        <v>1</v>
      </c>
      <c r="Z360">
        <f>IF(tblRoster[[#This Row],[재직상태구분]]="휴직",1,0)</f>
        <v>0</v>
      </c>
      <c r="AA36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60">
        <f ca="1">IF(tblRoster[[#This Row],[본교발령시작일자]]="","",DATEDIF(tblRoster[[#This Row],[본교발령시작일자]],TODAY(),"Y"))</f>
        <v>5</v>
      </c>
      <c r="AC360">
        <f ca="1">IF(tblRoster[[#This Row],[최초발령시작일자]]="","",DATEDIF(tblRoster[[#This Row],[최초발령시작일자]],TODAY(),"Y"))</f>
        <v>8</v>
      </c>
      <c r="AD36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60">
        <f ca="1">IF(tblRoster[[#This Row],[직급발령시작일자]]="","",ROUND(YEARFRAC(tblRoster[[#This Row],[직급발령시작일자]],TODAY()),1))</f>
        <v>5.4</v>
      </c>
      <c r="AF36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60">
        <f ca="1">IF(OR(tblRoster[[#This Row],[공무원구분]]&lt;&gt;"공무원",tblRoster[[#This Row],[나이]]=""),"",YEAR(TODAY())+(60-tblRoster[[#This Row],[나이]]))</f>
        <v>2039</v>
      </c>
      <c r="AH360" t="str">
        <f>IF(tblRoster[[#This Row],[직위]]="","일반","보직자")</f>
        <v>일반</v>
      </c>
      <c r="AI36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0" t="str">
        <f ca="1">IF(tblRoster[[#This Row],[복직예정일]]="","",TEXT(tblRoster[[#This Row],[복직예정일]],"yyyy-mm"))</f>
        <v/>
      </c>
      <c r="AM360" t="str">
        <f ca="1">IF(tblRoster[[#This Row],[복직예정일]]="","",tblRoster[[#This Row],[복직예정일]]-TODAY())</f>
        <v/>
      </c>
      <c r="AN360" t="str">
        <f ca="1">IF(tblRoster[[#This Row],[휴직잔여일수]]="","",IF(tblRoster[[#This Row],[휴직잔여일수]]&lt;=180,"6개월내","6개월이후"))</f>
        <v/>
      </c>
      <c r="AO36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1" spans="1:41" x14ac:dyDescent="0.3">
      <c r="A361">
        <v>900359</v>
      </c>
      <c r="B361" t="s">
        <v>77</v>
      </c>
      <c r="C361" t="s">
        <v>16</v>
      </c>
      <c r="D361">
        <v>59</v>
      </c>
      <c r="E361" t="s">
        <v>128</v>
      </c>
      <c r="F361" t="s">
        <v>129</v>
      </c>
      <c r="G361" t="s">
        <v>159</v>
      </c>
      <c r="H361" t="s">
        <v>193</v>
      </c>
      <c r="I361" t="s">
        <v>144</v>
      </c>
      <c r="J361" t="s">
        <v>145</v>
      </c>
      <c r="L361" t="s">
        <v>134</v>
      </c>
      <c r="M361" t="s">
        <v>135</v>
      </c>
      <c r="N361" s="1">
        <v>33359</v>
      </c>
      <c r="O361" s="1">
        <v>45200</v>
      </c>
      <c r="P361" s="1">
        <v>45200</v>
      </c>
      <c r="Q361" s="1">
        <v>45200</v>
      </c>
      <c r="R361">
        <v>37</v>
      </c>
      <c r="S361" t="s">
        <v>575</v>
      </c>
      <c r="T36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361" t="str">
        <f>IF(tblRoster[[#This Row],[급수]]="4급(임기제)","4급",tblRoster[[#This Row],[급수]])</f>
        <v>4급</v>
      </c>
      <c r="V36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36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61" t="str">
        <f>IF(OR(tblRoster[[#This Row],[교직원상세구분]]="사회복무요원",tblRoster[[#This Row],[교직원상세구분]]="인턴(수습)"),"제외","포함")</f>
        <v>포함</v>
      </c>
      <c r="Y361">
        <f>1</f>
        <v>1</v>
      </c>
      <c r="Z361">
        <f>IF(tblRoster[[#This Row],[재직상태구분]]="휴직",1,0)</f>
        <v>1</v>
      </c>
      <c r="AA36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61">
        <f ca="1">IF(tblRoster[[#This Row],[본교발령시작일자]]="","",DATEDIF(tblRoster[[#This Row],[본교발령시작일자]],TODAY(),"Y"))</f>
        <v>2</v>
      </c>
      <c r="AC361">
        <f ca="1">IF(tblRoster[[#This Row],[최초발령시작일자]]="","",DATEDIF(tblRoster[[#This Row],[최초발령시작일자]],TODAY(),"Y"))</f>
        <v>35</v>
      </c>
      <c r="AD36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61">
        <f ca="1">IF(tblRoster[[#This Row],[직급발령시작일자]]="","",ROUND(YEARFRAC(tblRoster[[#This Row],[직급발령시작일자]],TODAY()),1))</f>
        <v>2.9</v>
      </c>
      <c r="AF36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1">
        <f ca="1">IF(OR(tblRoster[[#This Row],[공무원구분]]&lt;&gt;"공무원",tblRoster[[#This Row],[나이]]=""),"",YEAR(TODAY())+(60-tblRoster[[#This Row],[나이]]))</f>
        <v>2027</v>
      </c>
      <c r="AH361" t="str">
        <f>IF(tblRoster[[#This Row],[직위]]="","일반","보직자")</f>
        <v>일반</v>
      </c>
      <c r="AI361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46177</v>
      </c>
      <c r="AJ36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361" s="1">
        <f ca="1">IF(tblRoster[[#This Row],[현재휴직시작일]]="","",IFERROR(INDEX(tblLeave[종료일],MATCH(tblRoster[[#This Row],[교직원번호]]&amp;"|"&amp;tblRoster[[#This Row],[현재휴직시작일]],tblLeave[매칭키],0)),""))</f>
        <v>46360</v>
      </c>
      <c r="AL361" t="str">
        <f ca="1">IF(tblRoster[[#This Row],[복직예정일]]="","",TEXT(tblRoster[[#This Row],[복직예정일]],"yyyy-mm"))</f>
        <v>2026-12</v>
      </c>
      <c r="AM361">
        <f ca="1">IF(tblRoster[[#This Row],[복직예정일]]="","",tblRoster[[#This Row],[복직예정일]]-TODAY())</f>
        <v>88</v>
      </c>
      <c r="AN361" t="str">
        <f ca="1">IF(tblRoster[[#This Row],[휴직잔여일수]]="","",IF(tblRoster[[#This Row],[휴직잔여일수]]&lt;=180,"6개월내","6개월이후"))</f>
        <v>6개월내</v>
      </c>
      <c r="AO36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>휴직기간 오류(시작&gt;종료)</v>
      </c>
    </row>
    <row r="362" spans="1:41" x14ac:dyDescent="0.3">
      <c r="A362">
        <v>900360</v>
      </c>
      <c r="B362" t="s">
        <v>576</v>
      </c>
      <c r="C362" t="s">
        <v>8</v>
      </c>
      <c r="D362">
        <v>30</v>
      </c>
      <c r="E362" t="s">
        <v>128</v>
      </c>
      <c r="F362" t="s">
        <v>171</v>
      </c>
      <c r="G362" t="s">
        <v>182</v>
      </c>
      <c r="H362" t="s">
        <v>175</v>
      </c>
      <c r="I362" t="s">
        <v>144</v>
      </c>
      <c r="J362" t="s">
        <v>145</v>
      </c>
      <c r="L362" t="s">
        <v>134</v>
      </c>
      <c r="M362" t="s">
        <v>135</v>
      </c>
      <c r="N362" s="1">
        <v>45200</v>
      </c>
      <c r="O362" s="1">
        <v>45200</v>
      </c>
      <c r="P362" s="1">
        <v>46113</v>
      </c>
      <c r="Q362" s="1">
        <v>46113</v>
      </c>
      <c r="R362">
        <v>4</v>
      </c>
      <c r="T36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362" t="str">
        <f>IF(tblRoster[[#This Row],[급수]]="4급(임기제)","4급",tblRoster[[#This Row],[급수]])</f>
        <v>9급</v>
      </c>
      <c r="V36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36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62" t="str">
        <f>IF(OR(tblRoster[[#This Row],[교직원상세구분]]="사회복무요원",tblRoster[[#This Row],[교직원상세구분]]="인턴(수습)"),"제외","포함")</f>
        <v>포함</v>
      </c>
      <c r="Y362">
        <f>1</f>
        <v>1</v>
      </c>
      <c r="Z362">
        <f>IF(tblRoster[[#This Row],[재직상태구분]]="휴직",1,0)</f>
        <v>0</v>
      </c>
      <c r="AA36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62">
        <f ca="1">IF(tblRoster[[#This Row],[본교발령시작일자]]="","",DATEDIF(tblRoster[[#This Row],[본교발령시작일자]],TODAY(),"Y"))</f>
        <v>2</v>
      </c>
      <c r="AC362">
        <f ca="1">IF(tblRoster[[#This Row],[최초발령시작일자]]="","",DATEDIF(tblRoster[[#This Row],[최초발령시작일자]],TODAY(),"Y"))</f>
        <v>2</v>
      </c>
      <c r="AD36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62">
        <f ca="1">IF(tblRoster[[#This Row],[직급발령시작일자]]="","",ROUND(YEARFRAC(tblRoster[[#This Row],[직급발령시작일자]],TODAY()),1))</f>
        <v>0.4</v>
      </c>
      <c r="AF36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2">
        <f ca="1">IF(OR(tblRoster[[#This Row],[공무원구분]]&lt;&gt;"공무원",tblRoster[[#This Row],[나이]]=""),"",YEAR(TODAY())+(60-tblRoster[[#This Row],[나이]]))</f>
        <v>2056</v>
      </c>
      <c r="AH362" t="str">
        <f>IF(tblRoster[[#This Row],[직위]]="","일반","보직자")</f>
        <v>일반</v>
      </c>
      <c r="AI36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2" t="str">
        <f ca="1">IF(tblRoster[[#This Row],[복직예정일]]="","",TEXT(tblRoster[[#This Row],[복직예정일]],"yyyy-mm"))</f>
        <v/>
      </c>
      <c r="AM362" t="str">
        <f ca="1">IF(tblRoster[[#This Row],[복직예정일]]="","",tblRoster[[#This Row],[복직예정일]]-TODAY())</f>
        <v/>
      </c>
      <c r="AN362" t="str">
        <f ca="1">IF(tblRoster[[#This Row],[휴직잔여일수]]="","",IF(tblRoster[[#This Row],[휴직잔여일수]]&lt;=180,"6개월내","6개월이후"))</f>
        <v/>
      </c>
      <c r="AO36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3" spans="1:41" x14ac:dyDescent="0.3">
      <c r="A363">
        <v>900361</v>
      </c>
      <c r="B363" t="s">
        <v>577</v>
      </c>
      <c r="C363" t="s">
        <v>8</v>
      </c>
      <c r="D363">
        <v>44</v>
      </c>
      <c r="E363" t="s">
        <v>150</v>
      </c>
      <c r="F363" t="s">
        <v>141</v>
      </c>
      <c r="G363" t="s">
        <v>155</v>
      </c>
      <c r="H363" t="s">
        <v>163</v>
      </c>
      <c r="I363" t="s">
        <v>144</v>
      </c>
      <c r="J363" t="s">
        <v>145</v>
      </c>
      <c r="L363" t="s">
        <v>134</v>
      </c>
      <c r="M363" t="s">
        <v>135</v>
      </c>
      <c r="N363" s="1">
        <v>43282</v>
      </c>
      <c r="O363" s="1">
        <v>43282</v>
      </c>
      <c r="P363" s="1">
        <v>43282</v>
      </c>
      <c r="Q363" s="1">
        <v>43282</v>
      </c>
      <c r="R363">
        <v>9</v>
      </c>
      <c r="T36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63" t="str">
        <f>IF(tblRoster[[#This Row],[급수]]="4급(임기제)","4급",tblRoster[[#This Row],[급수]])</f>
        <v>6급</v>
      </c>
      <c r="V36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6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63" t="str">
        <f>IF(OR(tblRoster[[#This Row],[교직원상세구분]]="사회복무요원",tblRoster[[#This Row],[교직원상세구분]]="인턴(수습)"),"제외","포함")</f>
        <v>포함</v>
      </c>
      <c r="Y363">
        <f>1</f>
        <v>1</v>
      </c>
      <c r="Z363">
        <f>IF(tblRoster[[#This Row],[재직상태구분]]="휴직",1,0)</f>
        <v>0</v>
      </c>
      <c r="AA36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63">
        <f ca="1">IF(tblRoster[[#This Row],[본교발령시작일자]]="","",DATEDIF(tblRoster[[#This Row],[본교발령시작일자]],TODAY(),"Y"))</f>
        <v>8</v>
      </c>
      <c r="AC363">
        <f ca="1">IF(tblRoster[[#This Row],[최초발령시작일자]]="","",DATEDIF(tblRoster[[#This Row],[최초발령시작일자]],TODAY(),"Y"))</f>
        <v>8</v>
      </c>
      <c r="AD36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63">
        <f ca="1">IF(tblRoster[[#This Row],[직급발령시작일자]]="","",ROUND(YEARFRAC(tblRoster[[#This Row],[직급발령시작일자]],TODAY()),1))</f>
        <v>8.1999999999999993</v>
      </c>
      <c r="AF36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63">
        <f ca="1">IF(OR(tblRoster[[#This Row],[공무원구분]]&lt;&gt;"공무원",tblRoster[[#This Row],[나이]]=""),"",YEAR(TODAY())+(60-tblRoster[[#This Row],[나이]]))</f>
        <v>2042</v>
      </c>
      <c r="AH363" t="str">
        <f>IF(tblRoster[[#This Row],[직위]]="","일반","보직자")</f>
        <v>일반</v>
      </c>
      <c r="AI36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3" t="str">
        <f ca="1">IF(tblRoster[[#This Row],[복직예정일]]="","",TEXT(tblRoster[[#This Row],[복직예정일]],"yyyy-mm"))</f>
        <v/>
      </c>
      <c r="AM363" t="str">
        <f ca="1">IF(tblRoster[[#This Row],[복직예정일]]="","",tblRoster[[#This Row],[복직예정일]]-TODAY())</f>
        <v/>
      </c>
      <c r="AN363" t="str">
        <f ca="1">IF(tblRoster[[#This Row],[휴직잔여일수]]="","",IF(tblRoster[[#This Row],[휴직잔여일수]]&lt;=180,"6개월내","6개월이후"))</f>
        <v/>
      </c>
      <c r="AO36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4" spans="1:41" x14ac:dyDescent="0.3">
      <c r="A364">
        <v>900362</v>
      </c>
      <c r="B364" t="s">
        <v>78</v>
      </c>
      <c r="C364" t="s">
        <v>8</v>
      </c>
      <c r="D364">
        <v>54</v>
      </c>
      <c r="E364" t="s">
        <v>128</v>
      </c>
      <c r="F364" t="s">
        <v>179</v>
      </c>
      <c r="G364" t="s">
        <v>222</v>
      </c>
      <c r="H364" t="s">
        <v>148</v>
      </c>
      <c r="I364" t="s">
        <v>132</v>
      </c>
      <c r="J364" t="s">
        <v>133</v>
      </c>
      <c r="L364" t="s">
        <v>134</v>
      </c>
      <c r="M364" t="s">
        <v>135</v>
      </c>
      <c r="N364" s="1">
        <v>38808</v>
      </c>
      <c r="O364" s="1">
        <v>38808</v>
      </c>
      <c r="P364" s="1">
        <v>45839</v>
      </c>
      <c r="Q364" s="1">
        <v>45839</v>
      </c>
      <c r="R364">
        <v>21</v>
      </c>
      <c r="S364" t="s">
        <v>578</v>
      </c>
      <c r="T36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64" t="str">
        <f>IF(tblRoster[[#This Row],[급수]]="4급(임기제)","4급",tblRoster[[#This Row],[급수]])</f>
        <v>대학회계계약직</v>
      </c>
      <c r="V36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6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64" t="str">
        <f>IF(OR(tblRoster[[#This Row],[교직원상세구분]]="사회복무요원",tblRoster[[#This Row],[교직원상세구분]]="인턴(수습)"),"제외","포함")</f>
        <v>포함</v>
      </c>
      <c r="Y364">
        <f>1</f>
        <v>1</v>
      </c>
      <c r="Z364">
        <f>IF(tblRoster[[#This Row],[재직상태구분]]="휴직",1,0)</f>
        <v>0</v>
      </c>
      <c r="AA36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64">
        <f ca="1">IF(tblRoster[[#This Row],[본교발령시작일자]]="","",DATEDIF(tblRoster[[#This Row],[본교발령시작일자]],TODAY(),"Y"))</f>
        <v>20</v>
      </c>
      <c r="AC364">
        <f ca="1">IF(tblRoster[[#This Row],[최초발령시작일자]]="","",DATEDIF(tblRoster[[#This Row],[최초발령시작일자]],TODAY(),"Y"))</f>
        <v>20</v>
      </c>
      <c r="AD36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64">
        <f ca="1">IF(tblRoster[[#This Row],[직급발령시작일자]]="","",ROUND(YEARFRAC(tblRoster[[#This Row],[직급발령시작일자]],TODAY()),1))</f>
        <v>1.2</v>
      </c>
      <c r="AF36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4" t="str">
        <f ca="1">IF(OR(tblRoster[[#This Row],[공무원구분]]&lt;&gt;"공무원",tblRoster[[#This Row],[나이]]=""),"",YEAR(TODAY())+(60-tblRoster[[#This Row],[나이]]))</f>
        <v/>
      </c>
      <c r="AH364" t="str">
        <f>IF(tblRoster[[#This Row],[직위]]="","일반","보직자")</f>
        <v>일반</v>
      </c>
      <c r="AI36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4" t="str">
        <f ca="1">IF(tblRoster[[#This Row],[복직예정일]]="","",TEXT(tblRoster[[#This Row],[복직예정일]],"yyyy-mm"))</f>
        <v/>
      </c>
      <c r="AM364" t="str">
        <f ca="1">IF(tblRoster[[#This Row],[복직예정일]]="","",tblRoster[[#This Row],[복직예정일]]-TODAY())</f>
        <v/>
      </c>
      <c r="AN364" t="str">
        <f ca="1">IF(tblRoster[[#This Row],[휴직잔여일수]]="","",IF(tblRoster[[#This Row],[휴직잔여일수]]&lt;=180,"6개월내","6개월이후"))</f>
        <v/>
      </c>
      <c r="AO36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5" spans="1:41" x14ac:dyDescent="0.3">
      <c r="A365">
        <v>900363</v>
      </c>
      <c r="B365" t="s">
        <v>79</v>
      </c>
      <c r="C365" t="s">
        <v>16</v>
      </c>
      <c r="D365">
        <v>47</v>
      </c>
      <c r="E365" t="s">
        <v>128</v>
      </c>
      <c r="F365" t="s">
        <v>147</v>
      </c>
      <c r="G365" t="s">
        <v>211</v>
      </c>
      <c r="H365" t="s">
        <v>139</v>
      </c>
      <c r="I365" t="s">
        <v>132</v>
      </c>
      <c r="J365" t="s">
        <v>133</v>
      </c>
      <c r="L365" t="s">
        <v>134</v>
      </c>
      <c r="M365" t="s">
        <v>135</v>
      </c>
      <c r="N365" s="1">
        <v>41244</v>
      </c>
      <c r="O365" s="1">
        <v>44743</v>
      </c>
      <c r="P365" s="1">
        <v>44743</v>
      </c>
      <c r="Q365" s="1">
        <v>44743</v>
      </c>
      <c r="R365">
        <v>16</v>
      </c>
      <c r="S365" t="s">
        <v>579</v>
      </c>
      <c r="T36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65" t="str">
        <f>IF(tblRoster[[#This Row],[급수]]="4급(임기제)","4급",tblRoster[[#This Row],[급수]])</f>
        <v>대학회계계약직</v>
      </c>
      <c r="V36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6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65" t="str">
        <f>IF(OR(tblRoster[[#This Row],[교직원상세구분]]="사회복무요원",tblRoster[[#This Row],[교직원상세구분]]="인턴(수습)"),"제외","포함")</f>
        <v>포함</v>
      </c>
      <c r="Y365">
        <f>1</f>
        <v>1</v>
      </c>
      <c r="Z365">
        <f>IF(tblRoster[[#This Row],[재직상태구분]]="휴직",1,0)</f>
        <v>1</v>
      </c>
      <c r="AA36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65">
        <f ca="1">IF(tblRoster[[#This Row],[본교발령시작일자]]="","",DATEDIF(tblRoster[[#This Row],[본교발령시작일자]],TODAY(),"Y"))</f>
        <v>4</v>
      </c>
      <c r="AC365">
        <f ca="1">IF(tblRoster[[#This Row],[최초발령시작일자]]="","",DATEDIF(tblRoster[[#This Row],[최초발령시작일자]],TODAY(),"Y"))</f>
        <v>13</v>
      </c>
      <c r="AD36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65">
        <f ca="1">IF(tblRoster[[#This Row],[직급발령시작일자]]="","",ROUND(YEARFRAC(tblRoster[[#This Row],[직급발령시작일자]],TODAY()),1))</f>
        <v>4.2</v>
      </c>
      <c r="AF36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5" t="str">
        <f ca="1">IF(OR(tblRoster[[#This Row],[공무원구분]]&lt;&gt;"공무원",tblRoster[[#This Row],[나이]]=""),"",YEAR(TODAY())+(60-tblRoster[[#This Row],[나이]]))</f>
        <v/>
      </c>
      <c r="AH365" t="str">
        <f>IF(tblRoster[[#This Row],[직위]]="","일반","보직자")</f>
        <v>일반</v>
      </c>
      <c r="AI365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46094</v>
      </c>
      <c r="AJ36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연수휴직</v>
      </c>
      <c r="AK365" s="1">
        <f ca="1">IF(tblRoster[[#This Row],[현재휴직시작일]]="","",IFERROR(INDEX(tblLeave[종료일],MATCH(tblRoster[[#This Row],[교직원번호]]&amp;"|"&amp;tblRoster[[#This Row],[현재휴직시작일]],tblLeave[매칭키],0)),""))</f>
        <v>46459</v>
      </c>
      <c r="AL365" t="str">
        <f ca="1">IF(tblRoster[[#This Row],[복직예정일]]="","",TEXT(tblRoster[[#This Row],[복직예정일]],"yyyy-mm"))</f>
        <v>2027-03</v>
      </c>
      <c r="AM365">
        <f ca="1">IF(tblRoster[[#This Row],[복직예정일]]="","",tblRoster[[#This Row],[복직예정일]]-TODAY())</f>
        <v>187</v>
      </c>
      <c r="AN365" t="str">
        <f ca="1">IF(tblRoster[[#This Row],[휴직잔여일수]]="","",IF(tblRoster[[#This Row],[휴직잔여일수]]&lt;=180,"6개월내","6개월이후"))</f>
        <v>6개월이후</v>
      </c>
      <c r="AO36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6" spans="1:41" x14ac:dyDescent="0.3">
      <c r="A366">
        <v>900364</v>
      </c>
      <c r="B366" t="s">
        <v>80</v>
      </c>
      <c r="C366" t="s">
        <v>8</v>
      </c>
      <c r="D366">
        <v>32</v>
      </c>
      <c r="E366" t="s">
        <v>150</v>
      </c>
      <c r="F366" t="s">
        <v>137</v>
      </c>
      <c r="G366" t="s">
        <v>202</v>
      </c>
      <c r="H366" t="s">
        <v>416</v>
      </c>
      <c r="I366" t="s">
        <v>132</v>
      </c>
      <c r="J366" t="s">
        <v>133</v>
      </c>
      <c r="L366" t="s">
        <v>134</v>
      </c>
      <c r="M366" t="s">
        <v>135</v>
      </c>
      <c r="N366" s="1">
        <v>45323</v>
      </c>
      <c r="O366" s="1">
        <v>45323</v>
      </c>
      <c r="P366" s="1">
        <v>45323</v>
      </c>
      <c r="Q366" s="1">
        <v>45323</v>
      </c>
      <c r="R366">
        <v>5</v>
      </c>
      <c r="S366" t="s">
        <v>580</v>
      </c>
      <c r="T36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66" t="str">
        <f>IF(tblRoster[[#This Row],[급수]]="4급(임기제)","4급",tblRoster[[#This Row],[급수]])</f>
        <v>대학회계계약직</v>
      </c>
      <c r="V36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6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66" t="str">
        <f>IF(OR(tblRoster[[#This Row],[교직원상세구분]]="사회복무요원",tblRoster[[#This Row],[교직원상세구분]]="인턴(수습)"),"제외","포함")</f>
        <v>포함</v>
      </c>
      <c r="Y366">
        <f>1</f>
        <v>1</v>
      </c>
      <c r="Z366">
        <f>IF(tblRoster[[#This Row],[재직상태구분]]="휴직",1,0)</f>
        <v>0</v>
      </c>
      <c r="AA36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66">
        <f ca="1">IF(tblRoster[[#This Row],[본교발령시작일자]]="","",DATEDIF(tblRoster[[#This Row],[본교발령시작일자]],TODAY(),"Y"))</f>
        <v>2</v>
      </c>
      <c r="AC366">
        <f ca="1">IF(tblRoster[[#This Row],[최초발령시작일자]]="","",DATEDIF(tblRoster[[#This Row],[최초발령시작일자]],TODAY(),"Y"))</f>
        <v>2</v>
      </c>
      <c r="AD36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66">
        <f ca="1">IF(tblRoster[[#This Row],[직급발령시작일자]]="","",ROUND(YEARFRAC(tblRoster[[#This Row],[직급발령시작일자]],TODAY()),1))</f>
        <v>2.6</v>
      </c>
      <c r="AF36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6" t="str">
        <f ca="1">IF(OR(tblRoster[[#This Row],[공무원구분]]&lt;&gt;"공무원",tblRoster[[#This Row],[나이]]=""),"",YEAR(TODAY())+(60-tblRoster[[#This Row],[나이]]))</f>
        <v/>
      </c>
      <c r="AH366" t="str">
        <f>IF(tblRoster[[#This Row],[직위]]="","일반","보직자")</f>
        <v>일반</v>
      </c>
      <c r="AI36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6" t="str">
        <f ca="1">IF(tblRoster[[#This Row],[복직예정일]]="","",TEXT(tblRoster[[#This Row],[복직예정일]],"yyyy-mm"))</f>
        <v/>
      </c>
      <c r="AM366" t="str">
        <f ca="1">IF(tblRoster[[#This Row],[복직예정일]]="","",tblRoster[[#This Row],[복직예정일]]-TODAY())</f>
        <v/>
      </c>
      <c r="AN366" t="str">
        <f ca="1">IF(tblRoster[[#This Row],[휴직잔여일수]]="","",IF(tblRoster[[#This Row],[휴직잔여일수]]&lt;=180,"6개월내","6개월이후"))</f>
        <v/>
      </c>
      <c r="AO36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7" spans="1:41" x14ac:dyDescent="0.3">
      <c r="A367">
        <v>900365</v>
      </c>
      <c r="B367" t="s">
        <v>581</v>
      </c>
      <c r="C367" t="s">
        <v>8</v>
      </c>
      <c r="D367">
        <v>43</v>
      </c>
      <c r="E367" t="s">
        <v>150</v>
      </c>
      <c r="F367" t="s">
        <v>236</v>
      </c>
      <c r="G367" t="s">
        <v>169</v>
      </c>
      <c r="H367" t="s">
        <v>238</v>
      </c>
      <c r="I367" t="s">
        <v>239</v>
      </c>
      <c r="J367" t="s">
        <v>133</v>
      </c>
      <c r="L367" t="s">
        <v>134</v>
      </c>
      <c r="M367" t="s">
        <v>135</v>
      </c>
      <c r="N367" s="1">
        <v>45139</v>
      </c>
      <c r="O367" s="1">
        <v>45139</v>
      </c>
      <c r="P367" s="1">
        <v>45139</v>
      </c>
      <c r="Q367" s="1">
        <v>45139</v>
      </c>
      <c r="T36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67" t="str">
        <f>IF(tblRoster[[#This Row],[급수]]="4급(임기제)","4급",tblRoster[[#This Row],[급수]])</f>
        <v>대학회계직</v>
      </c>
      <c r="V36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6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67" t="str">
        <f>IF(OR(tblRoster[[#This Row],[교직원상세구분]]="사회복무요원",tblRoster[[#This Row],[교직원상세구분]]="인턴(수습)"),"제외","포함")</f>
        <v>포함</v>
      </c>
      <c r="Y367">
        <f>1</f>
        <v>1</v>
      </c>
      <c r="Z367">
        <f>IF(tblRoster[[#This Row],[재직상태구분]]="휴직",1,0)</f>
        <v>0</v>
      </c>
      <c r="AA36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67">
        <f ca="1">IF(tblRoster[[#This Row],[본교발령시작일자]]="","",DATEDIF(tblRoster[[#This Row],[본교발령시작일자]],TODAY(),"Y"))</f>
        <v>3</v>
      </c>
      <c r="AC367">
        <f ca="1">IF(tblRoster[[#This Row],[최초발령시작일자]]="","",DATEDIF(tblRoster[[#This Row],[최초발령시작일자]],TODAY(),"Y"))</f>
        <v>3</v>
      </c>
      <c r="AD36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67">
        <f ca="1">IF(tblRoster[[#This Row],[직급발령시작일자]]="","",ROUND(YEARFRAC(tblRoster[[#This Row],[직급발령시작일자]],TODAY()),1))</f>
        <v>3.1</v>
      </c>
      <c r="AF36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7" t="str">
        <f ca="1">IF(OR(tblRoster[[#This Row],[공무원구분]]&lt;&gt;"공무원",tblRoster[[#This Row],[나이]]=""),"",YEAR(TODAY())+(60-tblRoster[[#This Row],[나이]]))</f>
        <v/>
      </c>
      <c r="AH367" t="str">
        <f>IF(tblRoster[[#This Row],[직위]]="","일반","보직자")</f>
        <v>일반</v>
      </c>
      <c r="AI36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7" t="str">
        <f ca="1">IF(tblRoster[[#This Row],[복직예정일]]="","",TEXT(tblRoster[[#This Row],[복직예정일]],"yyyy-mm"))</f>
        <v/>
      </c>
      <c r="AM367" t="str">
        <f ca="1">IF(tblRoster[[#This Row],[복직예정일]]="","",tblRoster[[#This Row],[복직예정일]]-TODAY())</f>
        <v/>
      </c>
      <c r="AN367" t="str">
        <f ca="1">IF(tblRoster[[#This Row],[휴직잔여일수]]="","",IF(tblRoster[[#This Row],[휴직잔여일수]]&lt;=180,"6개월내","6개월이후"))</f>
        <v/>
      </c>
      <c r="AO36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8" spans="1:41" x14ac:dyDescent="0.3">
      <c r="A368">
        <v>900366</v>
      </c>
      <c r="B368" t="s">
        <v>582</v>
      </c>
      <c r="C368" t="s">
        <v>8</v>
      </c>
      <c r="D368">
        <v>25</v>
      </c>
      <c r="E368" t="s">
        <v>150</v>
      </c>
      <c r="F368" t="s">
        <v>168</v>
      </c>
      <c r="G368" t="s">
        <v>211</v>
      </c>
      <c r="H368" t="s">
        <v>212</v>
      </c>
      <c r="I368" t="s">
        <v>213</v>
      </c>
      <c r="J368" t="s">
        <v>133</v>
      </c>
      <c r="L368" t="s">
        <v>134</v>
      </c>
      <c r="M368" t="s">
        <v>135</v>
      </c>
      <c r="N368" s="1">
        <v>45017</v>
      </c>
      <c r="O368" s="1">
        <v>45017</v>
      </c>
      <c r="P368" s="1">
        <v>45017</v>
      </c>
      <c r="Q368" s="1">
        <v>45017</v>
      </c>
      <c r="T36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368" t="str">
        <f>IF(tblRoster[[#This Row],[급수]]="4급(임기제)","4급",tblRoster[[#This Row],[급수]])</f>
        <v>인턴</v>
      </c>
      <c r="V36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36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68" t="str">
        <f>IF(OR(tblRoster[[#This Row],[교직원상세구분]]="사회복무요원",tblRoster[[#This Row],[교직원상세구분]]="인턴(수습)"),"제외","포함")</f>
        <v>제외</v>
      </c>
      <c r="Y368">
        <f>1</f>
        <v>1</v>
      </c>
      <c r="Z368">
        <f>IF(tblRoster[[#This Row],[재직상태구분]]="휴직",1,0)</f>
        <v>0</v>
      </c>
      <c r="AA36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68">
        <f ca="1">IF(tblRoster[[#This Row],[본교발령시작일자]]="","",DATEDIF(tblRoster[[#This Row],[본교발령시작일자]],TODAY(),"Y"))</f>
        <v>3</v>
      </c>
      <c r="AC368">
        <f ca="1">IF(tblRoster[[#This Row],[최초발령시작일자]]="","",DATEDIF(tblRoster[[#This Row],[최초발령시작일자]],TODAY(),"Y"))</f>
        <v>3</v>
      </c>
      <c r="AD36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68">
        <f ca="1">IF(tblRoster[[#This Row],[직급발령시작일자]]="","",ROUND(YEARFRAC(tblRoster[[#This Row],[직급발령시작일자]],TODAY()),1))</f>
        <v>3.4</v>
      </c>
      <c r="AF36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68" t="str">
        <f ca="1">IF(OR(tblRoster[[#This Row],[공무원구분]]&lt;&gt;"공무원",tblRoster[[#This Row],[나이]]=""),"",YEAR(TODAY())+(60-tblRoster[[#This Row],[나이]]))</f>
        <v/>
      </c>
      <c r="AH368" t="str">
        <f>IF(tblRoster[[#This Row],[직위]]="","일반","보직자")</f>
        <v>일반</v>
      </c>
      <c r="AI36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8" t="str">
        <f ca="1">IF(tblRoster[[#This Row],[복직예정일]]="","",TEXT(tblRoster[[#This Row],[복직예정일]],"yyyy-mm"))</f>
        <v/>
      </c>
      <c r="AM368" t="str">
        <f ca="1">IF(tblRoster[[#This Row],[복직예정일]]="","",tblRoster[[#This Row],[복직예정일]]-TODAY())</f>
        <v/>
      </c>
      <c r="AN368" t="str">
        <f ca="1">IF(tblRoster[[#This Row],[휴직잔여일수]]="","",IF(tblRoster[[#This Row],[휴직잔여일수]]&lt;=180,"6개월내","6개월이후"))</f>
        <v/>
      </c>
      <c r="AO36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69" spans="1:41" x14ac:dyDescent="0.3">
      <c r="A369">
        <v>900367</v>
      </c>
      <c r="B369" t="s">
        <v>81</v>
      </c>
      <c r="C369" t="s">
        <v>8</v>
      </c>
      <c r="D369">
        <v>37</v>
      </c>
      <c r="E369" t="s">
        <v>128</v>
      </c>
      <c r="F369" t="s">
        <v>246</v>
      </c>
      <c r="G369" t="s">
        <v>185</v>
      </c>
      <c r="H369" t="s">
        <v>163</v>
      </c>
      <c r="I369" t="s">
        <v>144</v>
      </c>
      <c r="J369" t="s">
        <v>145</v>
      </c>
      <c r="L369" t="s">
        <v>134</v>
      </c>
      <c r="M369" t="s">
        <v>135</v>
      </c>
      <c r="N369" s="1">
        <v>42064</v>
      </c>
      <c r="O369" s="1">
        <v>42064</v>
      </c>
      <c r="P369" s="1">
        <v>42064</v>
      </c>
      <c r="Q369" s="1">
        <v>42064</v>
      </c>
      <c r="R369">
        <v>13</v>
      </c>
      <c r="S369" t="s">
        <v>583</v>
      </c>
      <c r="T36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69" t="str">
        <f>IF(tblRoster[[#This Row],[급수]]="4급(임기제)","4급",tblRoster[[#This Row],[급수]])</f>
        <v>6급</v>
      </c>
      <c r="V36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6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69" t="str">
        <f>IF(OR(tblRoster[[#This Row],[교직원상세구분]]="사회복무요원",tblRoster[[#This Row],[교직원상세구분]]="인턴(수습)"),"제외","포함")</f>
        <v>포함</v>
      </c>
      <c r="Y369">
        <f>1</f>
        <v>1</v>
      </c>
      <c r="Z369">
        <f>IF(tblRoster[[#This Row],[재직상태구분]]="휴직",1,0)</f>
        <v>0</v>
      </c>
      <c r="AA36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69">
        <f ca="1">IF(tblRoster[[#This Row],[본교발령시작일자]]="","",DATEDIF(tblRoster[[#This Row],[본교발령시작일자]],TODAY(),"Y"))</f>
        <v>11</v>
      </c>
      <c r="AC369">
        <f ca="1">IF(tblRoster[[#This Row],[최초발령시작일자]]="","",DATEDIF(tblRoster[[#This Row],[최초발령시작일자]],TODAY(),"Y"))</f>
        <v>11</v>
      </c>
      <c r="AD36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69">
        <f ca="1">IF(tblRoster[[#This Row],[직급발령시작일자]]="","",ROUND(YEARFRAC(tblRoster[[#This Row],[직급발령시작일자]],TODAY()),1))</f>
        <v>11.5</v>
      </c>
      <c r="AF36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69">
        <f ca="1">IF(OR(tblRoster[[#This Row],[공무원구분]]&lt;&gt;"공무원",tblRoster[[#This Row],[나이]]=""),"",YEAR(TODAY())+(60-tblRoster[[#This Row],[나이]]))</f>
        <v>2049</v>
      </c>
      <c r="AH369" t="str">
        <f>IF(tblRoster[[#This Row],[직위]]="","일반","보직자")</f>
        <v>일반</v>
      </c>
      <c r="AI36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6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6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69" t="str">
        <f ca="1">IF(tblRoster[[#This Row],[복직예정일]]="","",TEXT(tblRoster[[#This Row],[복직예정일]],"yyyy-mm"))</f>
        <v/>
      </c>
      <c r="AM369" t="str">
        <f ca="1">IF(tblRoster[[#This Row],[복직예정일]]="","",tblRoster[[#This Row],[복직예정일]]-TODAY())</f>
        <v/>
      </c>
      <c r="AN369" t="str">
        <f ca="1">IF(tblRoster[[#This Row],[휴직잔여일수]]="","",IF(tblRoster[[#This Row],[휴직잔여일수]]&lt;=180,"6개월내","6개월이후"))</f>
        <v/>
      </c>
      <c r="AO36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0" spans="1:41" x14ac:dyDescent="0.3">
      <c r="A370">
        <v>900368</v>
      </c>
      <c r="B370" t="s">
        <v>584</v>
      </c>
      <c r="C370" t="s">
        <v>8</v>
      </c>
      <c r="D370">
        <v>57</v>
      </c>
      <c r="E370" t="s">
        <v>150</v>
      </c>
      <c r="F370" t="s">
        <v>246</v>
      </c>
      <c r="G370" t="s">
        <v>207</v>
      </c>
      <c r="H370" t="s">
        <v>163</v>
      </c>
      <c r="I370" t="s">
        <v>144</v>
      </c>
      <c r="J370" t="s">
        <v>145</v>
      </c>
      <c r="L370" t="s">
        <v>134</v>
      </c>
      <c r="M370" t="s">
        <v>135</v>
      </c>
      <c r="N370" s="1">
        <v>40544</v>
      </c>
      <c r="O370" s="1">
        <v>40544</v>
      </c>
      <c r="P370" s="1">
        <v>45383</v>
      </c>
      <c r="Q370" s="1">
        <v>45383</v>
      </c>
      <c r="R370">
        <v>16</v>
      </c>
      <c r="T37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70" t="str">
        <f>IF(tblRoster[[#This Row],[급수]]="4급(임기제)","4급",tblRoster[[#This Row],[급수]])</f>
        <v>6급</v>
      </c>
      <c r="V37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7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70" t="str">
        <f>IF(OR(tblRoster[[#This Row],[교직원상세구분]]="사회복무요원",tblRoster[[#This Row],[교직원상세구분]]="인턴(수습)"),"제외","포함")</f>
        <v>포함</v>
      </c>
      <c r="Y370">
        <f>1</f>
        <v>1</v>
      </c>
      <c r="Z370">
        <f>IF(tblRoster[[#This Row],[재직상태구분]]="휴직",1,0)</f>
        <v>0</v>
      </c>
      <c r="AA37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70">
        <f ca="1">IF(tblRoster[[#This Row],[본교발령시작일자]]="","",DATEDIF(tblRoster[[#This Row],[본교발령시작일자]],TODAY(),"Y"))</f>
        <v>15</v>
      </c>
      <c r="AC370">
        <f ca="1">IF(tblRoster[[#This Row],[최초발령시작일자]]="","",DATEDIF(tblRoster[[#This Row],[최초발령시작일자]],TODAY(),"Y"))</f>
        <v>15</v>
      </c>
      <c r="AD37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70">
        <f ca="1">IF(tblRoster[[#This Row],[직급발령시작일자]]="","",ROUND(YEARFRAC(tblRoster[[#This Row],[직급발령시작일자]],TODAY()),1))</f>
        <v>2.4</v>
      </c>
      <c r="AF37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0">
        <f ca="1">IF(OR(tblRoster[[#This Row],[공무원구분]]&lt;&gt;"공무원",tblRoster[[#This Row],[나이]]=""),"",YEAR(TODAY())+(60-tblRoster[[#This Row],[나이]]))</f>
        <v>2029</v>
      </c>
      <c r="AH370" t="str">
        <f>IF(tblRoster[[#This Row],[직위]]="","일반","보직자")</f>
        <v>일반</v>
      </c>
      <c r="AI37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0" t="str">
        <f ca="1">IF(tblRoster[[#This Row],[복직예정일]]="","",TEXT(tblRoster[[#This Row],[복직예정일]],"yyyy-mm"))</f>
        <v/>
      </c>
      <c r="AM370" t="str">
        <f ca="1">IF(tblRoster[[#This Row],[복직예정일]]="","",tblRoster[[#This Row],[복직예정일]]-TODAY())</f>
        <v/>
      </c>
      <c r="AN370" t="str">
        <f ca="1">IF(tblRoster[[#This Row],[휴직잔여일수]]="","",IF(tblRoster[[#This Row],[휴직잔여일수]]&lt;=180,"6개월내","6개월이후"))</f>
        <v/>
      </c>
      <c r="AO37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1" spans="1:41" x14ac:dyDescent="0.3">
      <c r="A371">
        <v>900369</v>
      </c>
      <c r="B371" t="s">
        <v>585</v>
      </c>
      <c r="C371" t="s">
        <v>8</v>
      </c>
      <c r="D371">
        <v>51</v>
      </c>
      <c r="E371" t="s">
        <v>150</v>
      </c>
      <c r="F371" t="s">
        <v>246</v>
      </c>
      <c r="G371" t="s">
        <v>173</v>
      </c>
      <c r="H371" t="s">
        <v>163</v>
      </c>
      <c r="I371" t="s">
        <v>144</v>
      </c>
      <c r="J371" t="s">
        <v>145</v>
      </c>
      <c r="L371" t="s">
        <v>134</v>
      </c>
      <c r="M371" t="s">
        <v>135</v>
      </c>
      <c r="N371" s="1">
        <v>42491</v>
      </c>
      <c r="O371" s="1">
        <v>45962</v>
      </c>
      <c r="P371" s="1">
        <v>45962</v>
      </c>
      <c r="Q371" s="1">
        <v>45962</v>
      </c>
      <c r="R371">
        <v>12</v>
      </c>
      <c r="T37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71" t="str">
        <f>IF(tblRoster[[#This Row],[급수]]="4급(임기제)","4급",tblRoster[[#This Row],[급수]])</f>
        <v>6급</v>
      </c>
      <c r="V37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7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71" t="str">
        <f>IF(OR(tblRoster[[#This Row],[교직원상세구분]]="사회복무요원",tblRoster[[#This Row],[교직원상세구분]]="인턴(수습)"),"제외","포함")</f>
        <v>포함</v>
      </c>
      <c r="Y371">
        <f>1</f>
        <v>1</v>
      </c>
      <c r="Z371">
        <f>IF(tblRoster[[#This Row],[재직상태구분]]="휴직",1,0)</f>
        <v>0</v>
      </c>
      <c r="AA37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71">
        <f ca="1">IF(tblRoster[[#This Row],[본교발령시작일자]]="","",DATEDIF(tblRoster[[#This Row],[본교발령시작일자]],TODAY(),"Y"))</f>
        <v>0</v>
      </c>
      <c r="AC371">
        <f ca="1">IF(tblRoster[[#This Row],[최초발령시작일자]]="","",DATEDIF(tblRoster[[#This Row],[최초발령시작일자]],TODAY(),"Y"))</f>
        <v>10</v>
      </c>
      <c r="AD37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71">
        <f ca="1">IF(tblRoster[[#This Row],[직급발령시작일자]]="","",ROUND(YEARFRAC(tblRoster[[#This Row],[직급발령시작일자]],TODAY()),1))</f>
        <v>0.9</v>
      </c>
      <c r="AF37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1">
        <f ca="1">IF(OR(tblRoster[[#This Row],[공무원구분]]&lt;&gt;"공무원",tblRoster[[#This Row],[나이]]=""),"",YEAR(TODAY())+(60-tblRoster[[#This Row],[나이]]))</f>
        <v>2035</v>
      </c>
      <c r="AH371" t="str">
        <f>IF(tblRoster[[#This Row],[직위]]="","일반","보직자")</f>
        <v>일반</v>
      </c>
      <c r="AI37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1" t="str">
        <f ca="1">IF(tblRoster[[#This Row],[복직예정일]]="","",TEXT(tblRoster[[#This Row],[복직예정일]],"yyyy-mm"))</f>
        <v/>
      </c>
      <c r="AM371" t="str">
        <f ca="1">IF(tblRoster[[#This Row],[복직예정일]]="","",tblRoster[[#This Row],[복직예정일]]-TODAY())</f>
        <v/>
      </c>
      <c r="AN371" t="str">
        <f ca="1">IF(tblRoster[[#This Row],[휴직잔여일수]]="","",IF(tblRoster[[#This Row],[휴직잔여일수]]&lt;=180,"6개월내","6개월이후"))</f>
        <v/>
      </c>
      <c r="AO37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2" spans="1:41" x14ac:dyDescent="0.3">
      <c r="A372">
        <v>900370</v>
      </c>
      <c r="B372" t="s">
        <v>586</v>
      </c>
      <c r="C372" t="s">
        <v>8</v>
      </c>
      <c r="D372">
        <v>36</v>
      </c>
      <c r="E372" t="s">
        <v>150</v>
      </c>
      <c r="F372" t="s">
        <v>184</v>
      </c>
      <c r="G372" t="s">
        <v>182</v>
      </c>
      <c r="H372" t="s">
        <v>180</v>
      </c>
      <c r="I372" t="s">
        <v>144</v>
      </c>
      <c r="J372" t="s">
        <v>145</v>
      </c>
      <c r="L372" t="s">
        <v>135</v>
      </c>
      <c r="M372" t="s">
        <v>135</v>
      </c>
      <c r="N372" s="1">
        <v>43435</v>
      </c>
      <c r="O372" s="1">
        <v>43435</v>
      </c>
      <c r="P372" s="1">
        <v>43435</v>
      </c>
      <c r="Q372" s="1">
        <v>43435</v>
      </c>
      <c r="R372">
        <v>11</v>
      </c>
      <c r="T37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72" t="str">
        <f>IF(tblRoster[[#This Row],[급수]]="4급(임기제)","4급",tblRoster[[#This Row],[급수]])</f>
        <v>7급</v>
      </c>
      <c r="V37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7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72" t="str">
        <f>IF(OR(tblRoster[[#This Row],[교직원상세구분]]="사회복무요원",tblRoster[[#This Row],[교직원상세구분]]="인턴(수습)"),"제외","포함")</f>
        <v>포함</v>
      </c>
      <c r="Y372">
        <f>1</f>
        <v>1</v>
      </c>
      <c r="Z372">
        <f>IF(tblRoster[[#This Row],[재직상태구분]]="휴직",1,0)</f>
        <v>0</v>
      </c>
      <c r="AA37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72">
        <f ca="1">IF(tblRoster[[#This Row],[본교발령시작일자]]="","",DATEDIF(tblRoster[[#This Row],[본교발령시작일자]],TODAY(),"Y"))</f>
        <v>7</v>
      </c>
      <c r="AC372">
        <f ca="1">IF(tblRoster[[#This Row],[최초발령시작일자]]="","",DATEDIF(tblRoster[[#This Row],[최초발령시작일자]],TODAY(),"Y"))</f>
        <v>7</v>
      </c>
      <c r="AD37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72">
        <f ca="1">IF(tblRoster[[#This Row],[직급발령시작일자]]="","",ROUND(YEARFRAC(tblRoster[[#This Row],[직급발령시작일자]],TODAY()),1))</f>
        <v>7.8</v>
      </c>
      <c r="AF37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72">
        <f ca="1">IF(OR(tblRoster[[#This Row],[공무원구분]]&lt;&gt;"공무원",tblRoster[[#This Row],[나이]]=""),"",YEAR(TODAY())+(60-tblRoster[[#This Row],[나이]]))</f>
        <v>2050</v>
      </c>
      <c r="AH372" t="str">
        <f>IF(tblRoster[[#This Row],[직위]]="","일반","보직자")</f>
        <v>일반</v>
      </c>
      <c r="AI37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2" t="str">
        <f ca="1">IF(tblRoster[[#This Row],[복직예정일]]="","",TEXT(tblRoster[[#This Row],[복직예정일]],"yyyy-mm"))</f>
        <v/>
      </c>
      <c r="AM372" t="str">
        <f ca="1">IF(tblRoster[[#This Row],[복직예정일]]="","",tblRoster[[#This Row],[복직예정일]]-TODAY())</f>
        <v/>
      </c>
      <c r="AN372" t="str">
        <f ca="1">IF(tblRoster[[#This Row],[휴직잔여일수]]="","",IF(tblRoster[[#This Row],[휴직잔여일수]]&lt;=180,"6개월내","6개월이후"))</f>
        <v/>
      </c>
      <c r="AO37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3" spans="1:41" x14ac:dyDescent="0.3">
      <c r="A373">
        <v>900371</v>
      </c>
      <c r="B373" t="s">
        <v>587</v>
      </c>
      <c r="C373" t="s">
        <v>8</v>
      </c>
      <c r="D373">
        <v>20</v>
      </c>
      <c r="E373" t="s">
        <v>128</v>
      </c>
      <c r="F373" t="s">
        <v>141</v>
      </c>
      <c r="G373" t="s">
        <v>151</v>
      </c>
      <c r="H373" t="s">
        <v>186</v>
      </c>
      <c r="I373" t="s">
        <v>186</v>
      </c>
      <c r="J373" t="s">
        <v>133</v>
      </c>
      <c r="L373" t="s">
        <v>135</v>
      </c>
      <c r="M373" t="s">
        <v>135</v>
      </c>
      <c r="N373" s="1">
        <v>46023</v>
      </c>
      <c r="O373" s="1">
        <v>46023</v>
      </c>
      <c r="P373" s="1">
        <v>46023</v>
      </c>
      <c r="Q373" s="1">
        <v>46023</v>
      </c>
      <c r="T37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373" t="str">
        <f>IF(tblRoster[[#This Row],[급수]]="4급(임기제)","4급",tblRoster[[#This Row],[급수]])</f>
        <v>사회복무요원</v>
      </c>
      <c r="V37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37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73" t="str">
        <f>IF(OR(tblRoster[[#This Row],[교직원상세구분]]="사회복무요원",tblRoster[[#This Row],[교직원상세구분]]="인턴(수습)"),"제외","포함")</f>
        <v>제외</v>
      </c>
      <c r="Y373">
        <f>1</f>
        <v>1</v>
      </c>
      <c r="Z373">
        <f>IF(tblRoster[[#This Row],[재직상태구분]]="휴직",1,0)</f>
        <v>0</v>
      </c>
      <c r="AA37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73">
        <f ca="1">IF(tblRoster[[#This Row],[본교발령시작일자]]="","",DATEDIF(tblRoster[[#This Row],[본교발령시작일자]],TODAY(),"Y"))</f>
        <v>0</v>
      </c>
      <c r="AC373">
        <f ca="1">IF(tblRoster[[#This Row],[최초발령시작일자]]="","",DATEDIF(tblRoster[[#This Row],[최초발령시작일자]],TODAY(),"Y"))</f>
        <v>0</v>
      </c>
      <c r="AD37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73">
        <f ca="1">IF(tblRoster[[#This Row],[직급발령시작일자]]="","",ROUND(YEARFRAC(tblRoster[[#This Row],[직급발령시작일자]],TODAY()),1))</f>
        <v>0.7</v>
      </c>
      <c r="AF37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3" t="str">
        <f ca="1">IF(OR(tblRoster[[#This Row],[공무원구분]]&lt;&gt;"공무원",tblRoster[[#This Row],[나이]]=""),"",YEAR(TODAY())+(60-tblRoster[[#This Row],[나이]]))</f>
        <v/>
      </c>
      <c r="AH373" t="str">
        <f>IF(tblRoster[[#This Row],[직위]]="","일반","보직자")</f>
        <v>일반</v>
      </c>
      <c r="AI37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3" t="str">
        <f ca="1">IF(tblRoster[[#This Row],[복직예정일]]="","",TEXT(tblRoster[[#This Row],[복직예정일]],"yyyy-mm"))</f>
        <v/>
      </c>
      <c r="AM373" t="str">
        <f ca="1">IF(tblRoster[[#This Row],[복직예정일]]="","",tblRoster[[#This Row],[복직예정일]]-TODAY())</f>
        <v/>
      </c>
      <c r="AN373" t="str">
        <f ca="1">IF(tblRoster[[#This Row],[휴직잔여일수]]="","",IF(tblRoster[[#This Row],[휴직잔여일수]]&lt;=180,"6개월내","6개월이후"))</f>
        <v/>
      </c>
      <c r="AO37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4" spans="1:41" x14ac:dyDescent="0.3">
      <c r="A374">
        <v>900372</v>
      </c>
      <c r="B374" t="s">
        <v>82</v>
      </c>
      <c r="C374" t="s">
        <v>8</v>
      </c>
      <c r="D374">
        <v>53</v>
      </c>
      <c r="E374" t="s">
        <v>128</v>
      </c>
      <c r="F374" t="s">
        <v>216</v>
      </c>
      <c r="G374" t="s">
        <v>202</v>
      </c>
      <c r="H374" t="s">
        <v>163</v>
      </c>
      <c r="I374" t="s">
        <v>144</v>
      </c>
      <c r="J374" t="s">
        <v>145</v>
      </c>
      <c r="L374" t="s">
        <v>134</v>
      </c>
      <c r="M374" t="s">
        <v>135</v>
      </c>
      <c r="N374" s="1">
        <v>42430</v>
      </c>
      <c r="O374" s="1">
        <v>42430</v>
      </c>
      <c r="P374" s="1">
        <v>44562</v>
      </c>
      <c r="Q374" s="1">
        <v>44562</v>
      </c>
      <c r="R374">
        <v>11</v>
      </c>
      <c r="S374" t="s">
        <v>588</v>
      </c>
      <c r="T37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74" t="str">
        <f>IF(tblRoster[[#This Row],[급수]]="4급(임기제)","4급",tblRoster[[#This Row],[급수]])</f>
        <v>6급</v>
      </c>
      <c r="V37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7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74" t="str">
        <f>IF(OR(tblRoster[[#This Row],[교직원상세구분]]="사회복무요원",tblRoster[[#This Row],[교직원상세구분]]="인턴(수습)"),"제외","포함")</f>
        <v>포함</v>
      </c>
      <c r="Y374">
        <f>1</f>
        <v>1</v>
      </c>
      <c r="Z374">
        <f>IF(tblRoster[[#This Row],[재직상태구분]]="휴직",1,0)</f>
        <v>0</v>
      </c>
      <c r="AA37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74">
        <f ca="1">IF(tblRoster[[#This Row],[본교발령시작일자]]="","",DATEDIF(tblRoster[[#This Row],[본교발령시작일자]],TODAY(),"Y"))</f>
        <v>10</v>
      </c>
      <c r="AC374">
        <f ca="1">IF(tblRoster[[#This Row],[최초발령시작일자]]="","",DATEDIF(tblRoster[[#This Row],[최초발령시작일자]],TODAY(),"Y"))</f>
        <v>10</v>
      </c>
      <c r="AD37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74">
        <f ca="1">IF(tblRoster[[#This Row],[직급발령시작일자]]="","",ROUND(YEARFRAC(tblRoster[[#This Row],[직급발령시작일자]],TODAY()),1))</f>
        <v>4.7</v>
      </c>
      <c r="AF37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4">
        <f ca="1">IF(OR(tblRoster[[#This Row],[공무원구분]]&lt;&gt;"공무원",tblRoster[[#This Row],[나이]]=""),"",YEAR(TODAY())+(60-tblRoster[[#This Row],[나이]]))</f>
        <v>2033</v>
      </c>
      <c r="AH374" t="str">
        <f>IF(tblRoster[[#This Row],[직위]]="","일반","보직자")</f>
        <v>일반</v>
      </c>
      <c r="AI37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4" t="str">
        <f ca="1">IF(tblRoster[[#This Row],[복직예정일]]="","",TEXT(tblRoster[[#This Row],[복직예정일]],"yyyy-mm"))</f>
        <v/>
      </c>
      <c r="AM374" t="str">
        <f ca="1">IF(tblRoster[[#This Row],[복직예정일]]="","",tblRoster[[#This Row],[복직예정일]]-TODAY())</f>
        <v/>
      </c>
      <c r="AN374" t="str">
        <f ca="1">IF(tblRoster[[#This Row],[휴직잔여일수]]="","",IF(tblRoster[[#This Row],[휴직잔여일수]]&lt;=180,"6개월내","6개월이후"))</f>
        <v/>
      </c>
      <c r="AO37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5" spans="1:41" x14ac:dyDescent="0.3">
      <c r="A375">
        <v>900373</v>
      </c>
      <c r="B375" t="s">
        <v>83</v>
      </c>
      <c r="C375" t="s">
        <v>16</v>
      </c>
      <c r="D375">
        <v>30</v>
      </c>
      <c r="E375" t="s">
        <v>128</v>
      </c>
      <c r="F375" t="s">
        <v>129</v>
      </c>
      <c r="G375" t="s">
        <v>155</v>
      </c>
      <c r="H375" t="s">
        <v>148</v>
      </c>
      <c r="I375" t="s">
        <v>132</v>
      </c>
      <c r="J375" t="s">
        <v>133</v>
      </c>
      <c r="L375" t="s">
        <v>134</v>
      </c>
      <c r="M375" t="s">
        <v>135</v>
      </c>
      <c r="N375" s="1">
        <v>45809</v>
      </c>
      <c r="O375" s="1">
        <v>45809</v>
      </c>
      <c r="P375" s="1">
        <v>45809</v>
      </c>
      <c r="Q375" s="1">
        <v>45809</v>
      </c>
      <c r="R375">
        <v>3</v>
      </c>
      <c r="S375" t="s">
        <v>589</v>
      </c>
      <c r="T37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75" t="str">
        <f>IF(tblRoster[[#This Row],[급수]]="4급(임기제)","4급",tblRoster[[#This Row],[급수]])</f>
        <v>대학회계계약직</v>
      </c>
      <c r="V37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7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75" t="str">
        <f>IF(OR(tblRoster[[#This Row],[교직원상세구분]]="사회복무요원",tblRoster[[#This Row],[교직원상세구분]]="인턴(수습)"),"제외","포함")</f>
        <v>포함</v>
      </c>
      <c r="Y375">
        <f>1</f>
        <v>1</v>
      </c>
      <c r="Z375">
        <f>IF(tblRoster[[#This Row],[재직상태구분]]="휴직",1,0)</f>
        <v>1</v>
      </c>
      <c r="AA37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75">
        <f ca="1">IF(tblRoster[[#This Row],[본교발령시작일자]]="","",DATEDIF(tblRoster[[#This Row],[본교발령시작일자]],TODAY(),"Y"))</f>
        <v>1</v>
      </c>
      <c r="AC375">
        <f ca="1">IF(tblRoster[[#This Row],[최초발령시작일자]]="","",DATEDIF(tblRoster[[#This Row],[최초발령시작일자]],TODAY(),"Y"))</f>
        <v>1</v>
      </c>
      <c r="AD37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75">
        <f ca="1">IF(tblRoster[[#This Row],[직급발령시작일자]]="","",ROUND(YEARFRAC(tblRoster[[#This Row],[직급발령시작일자]],TODAY()),1))</f>
        <v>1.3</v>
      </c>
      <c r="AF37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5" t="str">
        <f ca="1">IF(OR(tblRoster[[#This Row],[공무원구분]]&lt;&gt;"공무원",tblRoster[[#This Row],[나이]]=""),"",YEAR(TODAY())+(60-tblRoster[[#This Row],[나이]]))</f>
        <v/>
      </c>
      <c r="AH375" t="str">
        <f>IF(tblRoster[[#This Row],[직위]]="","일반","보직자")</f>
        <v>일반</v>
      </c>
      <c r="AI375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46047</v>
      </c>
      <c r="AJ37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375" s="1">
        <f ca="1">IF(tblRoster[[#This Row],[현재휴직시작일]]="","",IFERROR(INDEX(tblLeave[종료일],MATCH(tblRoster[[#This Row],[교직원번호]]&amp;"|"&amp;tblRoster[[#This Row],[현재휴직시작일]],tblLeave[매칭키],0)),""))</f>
        <v>46369</v>
      </c>
      <c r="AL375" t="str">
        <f ca="1">IF(tblRoster[[#This Row],[복직예정일]]="","",TEXT(tblRoster[[#This Row],[복직예정일]],"yyyy-mm"))</f>
        <v>2026-12</v>
      </c>
      <c r="AM375">
        <f ca="1">IF(tblRoster[[#This Row],[복직예정일]]="","",tblRoster[[#This Row],[복직예정일]]-TODAY())</f>
        <v>97</v>
      </c>
      <c r="AN375" t="str">
        <f ca="1">IF(tblRoster[[#This Row],[휴직잔여일수]]="","",IF(tblRoster[[#This Row],[휴직잔여일수]]&lt;=180,"6개월내","6개월이후"))</f>
        <v>6개월내</v>
      </c>
      <c r="AO37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6" spans="1:41" x14ac:dyDescent="0.3">
      <c r="A376">
        <v>900374</v>
      </c>
      <c r="B376" t="s">
        <v>84</v>
      </c>
      <c r="C376" t="s">
        <v>16</v>
      </c>
      <c r="D376">
        <v>51</v>
      </c>
      <c r="E376" t="s">
        <v>128</v>
      </c>
      <c r="F376" t="s">
        <v>184</v>
      </c>
      <c r="G376" t="s">
        <v>138</v>
      </c>
      <c r="H376" t="s">
        <v>200</v>
      </c>
      <c r="I376" t="s">
        <v>144</v>
      </c>
      <c r="J376" t="s">
        <v>145</v>
      </c>
      <c r="L376" t="s">
        <v>134</v>
      </c>
      <c r="M376" t="s">
        <v>135</v>
      </c>
      <c r="N376" s="1">
        <v>41671</v>
      </c>
      <c r="O376" s="1">
        <v>45962</v>
      </c>
      <c r="P376" s="1">
        <v>45962</v>
      </c>
      <c r="Q376" s="1">
        <v>45962</v>
      </c>
      <c r="R376">
        <v>13</v>
      </c>
      <c r="S376" t="s">
        <v>590</v>
      </c>
      <c r="T37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76" t="str">
        <f>IF(tblRoster[[#This Row],[급수]]="4급(임기제)","4급",tblRoster[[#This Row],[급수]])</f>
        <v>5급</v>
      </c>
      <c r="V37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7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76" t="str">
        <f>IF(OR(tblRoster[[#This Row],[교직원상세구분]]="사회복무요원",tblRoster[[#This Row],[교직원상세구분]]="인턴(수습)"),"제외","포함")</f>
        <v>포함</v>
      </c>
      <c r="Y376">
        <f>1</f>
        <v>1</v>
      </c>
      <c r="Z376">
        <f>IF(tblRoster[[#This Row],[재직상태구분]]="휴직",1,0)</f>
        <v>1</v>
      </c>
      <c r="AA37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76">
        <f ca="1">IF(tblRoster[[#This Row],[본교발령시작일자]]="","",DATEDIF(tblRoster[[#This Row],[본교발령시작일자]],TODAY(),"Y"))</f>
        <v>0</v>
      </c>
      <c r="AC376">
        <f ca="1">IF(tblRoster[[#This Row],[최초발령시작일자]]="","",DATEDIF(tblRoster[[#This Row],[최초발령시작일자]],TODAY(),"Y"))</f>
        <v>12</v>
      </c>
      <c r="AD37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76">
        <f ca="1">IF(tblRoster[[#This Row],[직급발령시작일자]]="","",ROUND(YEARFRAC(tblRoster[[#This Row],[직급발령시작일자]],TODAY()),1))</f>
        <v>0.9</v>
      </c>
      <c r="AF37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6">
        <f ca="1">IF(OR(tblRoster[[#This Row],[공무원구분]]&lt;&gt;"공무원",tblRoster[[#This Row],[나이]]=""),"",YEAR(TODAY())+(60-tblRoster[[#This Row],[나이]]))</f>
        <v>2035</v>
      </c>
      <c r="AH376" t="str">
        <f>IF(tblRoster[[#This Row],[직위]]="","일반","보직자")</f>
        <v>일반</v>
      </c>
      <c r="AI376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46145</v>
      </c>
      <c r="AJ37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질병휴직(일반질병)</v>
      </c>
      <c r="AK376" s="1">
        <f ca="1">IF(tblRoster[[#This Row],[현재휴직시작일]]="","",IFERROR(INDEX(tblLeave[종료일],MATCH(tblRoster[[#This Row],[교직원번호]]&amp;"|"&amp;tblRoster[[#This Row],[현재휴직시작일]],tblLeave[매칭키],0)),""))</f>
        <v>46510</v>
      </c>
      <c r="AL376" t="str">
        <f ca="1">IF(tblRoster[[#This Row],[복직예정일]]="","",TEXT(tblRoster[[#This Row],[복직예정일]],"yyyy-mm"))</f>
        <v>2027-05</v>
      </c>
      <c r="AM376">
        <f ca="1">IF(tblRoster[[#This Row],[복직예정일]]="","",tblRoster[[#This Row],[복직예정일]]-TODAY())</f>
        <v>238</v>
      </c>
      <c r="AN376" t="str">
        <f ca="1">IF(tblRoster[[#This Row],[휴직잔여일수]]="","",IF(tblRoster[[#This Row],[휴직잔여일수]]&lt;=180,"6개월내","6개월이후"))</f>
        <v>6개월이후</v>
      </c>
      <c r="AO37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7" spans="1:41" x14ac:dyDescent="0.3">
      <c r="A377">
        <v>900375</v>
      </c>
      <c r="B377" t="s">
        <v>591</v>
      </c>
      <c r="C377" t="s">
        <v>8</v>
      </c>
      <c r="D377">
        <v>27</v>
      </c>
      <c r="E377" t="s">
        <v>150</v>
      </c>
      <c r="F377" t="s">
        <v>189</v>
      </c>
      <c r="G377" t="s">
        <v>207</v>
      </c>
      <c r="H377" t="s">
        <v>238</v>
      </c>
      <c r="I377" t="s">
        <v>239</v>
      </c>
      <c r="J377" t="s">
        <v>133</v>
      </c>
      <c r="L377" t="s">
        <v>135</v>
      </c>
      <c r="M377" t="s">
        <v>135</v>
      </c>
      <c r="N377" s="1">
        <v>45444</v>
      </c>
      <c r="O377" s="1">
        <v>45444</v>
      </c>
      <c r="P377" s="1">
        <v>45444</v>
      </c>
      <c r="Q377" s="1">
        <v>45444</v>
      </c>
      <c r="R377">
        <v>5</v>
      </c>
      <c r="T37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77" t="str">
        <f>IF(tblRoster[[#This Row],[급수]]="4급(임기제)","4급",tblRoster[[#This Row],[급수]])</f>
        <v>대학회계직</v>
      </c>
      <c r="V37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7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77" t="str">
        <f>IF(OR(tblRoster[[#This Row],[교직원상세구분]]="사회복무요원",tblRoster[[#This Row],[교직원상세구분]]="인턴(수습)"),"제외","포함")</f>
        <v>포함</v>
      </c>
      <c r="Y377">
        <f>1</f>
        <v>1</v>
      </c>
      <c r="Z377">
        <f>IF(tblRoster[[#This Row],[재직상태구분]]="휴직",1,0)</f>
        <v>0</v>
      </c>
      <c r="AA37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77">
        <f ca="1">IF(tblRoster[[#This Row],[본교발령시작일자]]="","",DATEDIF(tblRoster[[#This Row],[본교발령시작일자]],TODAY(),"Y"))</f>
        <v>2</v>
      </c>
      <c r="AC377">
        <f ca="1">IF(tblRoster[[#This Row],[최초발령시작일자]]="","",DATEDIF(tblRoster[[#This Row],[최초발령시작일자]],TODAY(),"Y"))</f>
        <v>2</v>
      </c>
      <c r="AD37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77">
        <f ca="1">IF(tblRoster[[#This Row],[직급발령시작일자]]="","",ROUND(YEARFRAC(tblRoster[[#This Row],[직급발령시작일자]],TODAY()),1))</f>
        <v>2.2999999999999998</v>
      </c>
      <c r="AF37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7" t="str">
        <f ca="1">IF(OR(tblRoster[[#This Row],[공무원구분]]&lt;&gt;"공무원",tblRoster[[#This Row],[나이]]=""),"",YEAR(TODAY())+(60-tblRoster[[#This Row],[나이]]))</f>
        <v/>
      </c>
      <c r="AH377" t="str">
        <f>IF(tblRoster[[#This Row],[직위]]="","일반","보직자")</f>
        <v>일반</v>
      </c>
      <c r="AI37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7" t="str">
        <f ca="1">IF(tblRoster[[#This Row],[복직예정일]]="","",TEXT(tblRoster[[#This Row],[복직예정일]],"yyyy-mm"))</f>
        <v/>
      </c>
      <c r="AM377" t="str">
        <f ca="1">IF(tblRoster[[#This Row],[복직예정일]]="","",tblRoster[[#This Row],[복직예정일]]-TODAY())</f>
        <v/>
      </c>
      <c r="AN377" t="str">
        <f ca="1">IF(tblRoster[[#This Row],[휴직잔여일수]]="","",IF(tblRoster[[#This Row],[휴직잔여일수]]&lt;=180,"6개월내","6개월이후"))</f>
        <v/>
      </c>
      <c r="AO37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8" spans="1:41" x14ac:dyDescent="0.3">
      <c r="A378">
        <v>900376</v>
      </c>
      <c r="B378" t="s">
        <v>592</v>
      </c>
      <c r="C378" t="s">
        <v>8</v>
      </c>
      <c r="D378">
        <v>21</v>
      </c>
      <c r="E378" t="s">
        <v>150</v>
      </c>
      <c r="F378" t="s">
        <v>168</v>
      </c>
      <c r="G378" t="s">
        <v>173</v>
      </c>
      <c r="H378" t="s">
        <v>186</v>
      </c>
      <c r="I378" t="s">
        <v>186</v>
      </c>
      <c r="J378" t="s">
        <v>133</v>
      </c>
      <c r="L378" t="s">
        <v>134</v>
      </c>
      <c r="M378" t="s">
        <v>135</v>
      </c>
      <c r="N378" s="1">
        <v>46204</v>
      </c>
      <c r="O378" s="1">
        <v>46204</v>
      </c>
      <c r="P378" s="1">
        <v>46204</v>
      </c>
      <c r="Q378" s="1">
        <v>46204</v>
      </c>
      <c r="T37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378" t="str">
        <f>IF(tblRoster[[#This Row],[급수]]="4급(임기제)","4급",tblRoster[[#This Row],[급수]])</f>
        <v>사회복무요원</v>
      </c>
      <c r="V37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37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378" t="str">
        <f>IF(OR(tblRoster[[#This Row],[교직원상세구분]]="사회복무요원",tblRoster[[#This Row],[교직원상세구분]]="인턴(수습)"),"제외","포함")</f>
        <v>제외</v>
      </c>
      <c r="Y378">
        <f>1</f>
        <v>1</v>
      </c>
      <c r="Z378">
        <f>IF(tblRoster[[#This Row],[재직상태구분]]="휴직",1,0)</f>
        <v>0</v>
      </c>
      <c r="AA37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78">
        <f ca="1">IF(tblRoster[[#This Row],[본교발령시작일자]]="","",DATEDIF(tblRoster[[#This Row],[본교발령시작일자]],TODAY(),"Y"))</f>
        <v>0</v>
      </c>
      <c r="AC378">
        <f ca="1">IF(tblRoster[[#This Row],[최초발령시작일자]]="","",DATEDIF(tblRoster[[#This Row],[최초발령시작일자]],TODAY(),"Y"))</f>
        <v>0</v>
      </c>
      <c r="AD37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378">
        <f ca="1">IF(tblRoster[[#This Row],[직급발령시작일자]]="","",ROUND(YEARFRAC(tblRoster[[#This Row],[직급발령시작일자]],TODAY()),1))</f>
        <v>0.2</v>
      </c>
      <c r="AF37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8" t="str">
        <f ca="1">IF(OR(tblRoster[[#This Row],[공무원구분]]&lt;&gt;"공무원",tblRoster[[#This Row],[나이]]=""),"",YEAR(TODAY())+(60-tblRoster[[#This Row],[나이]]))</f>
        <v/>
      </c>
      <c r="AH378" t="str">
        <f>IF(tblRoster[[#This Row],[직위]]="","일반","보직자")</f>
        <v>일반</v>
      </c>
      <c r="AI37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8" t="str">
        <f ca="1">IF(tblRoster[[#This Row],[복직예정일]]="","",TEXT(tblRoster[[#This Row],[복직예정일]],"yyyy-mm"))</f>
        <v/>
      </c>
      <c r="AM378" t="str">
        <f ca="1">IF(tblRoster[[#This Row],[복직예정일]]="","",tblRoster[[#This Row],[복직예정일]]-TODAY())</f>
        <v/>
      </c>
      <c r="AN378" t="str">
        <f ca="1">IF(tblRoster[[#This Row],[휴직잔여일수]]="","",IF(tblRoster[[#This Row],[휴직잔여일수]]&lt;=180,"6개월내","6개월이후"))</f>
        <v/>
      </c>
      <c r="AO37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79" spans="1:41" x14ac:dyDescent="0.3">
      <c r="A379">
        <v>900377</v>
      </c>
      <c r="B379" t="s">
        <v>85</v>
      </c>
      <c r="C379" t="s">
        <v>8</v>
      </c>
      <c r="D379">
        <v>39</v>
      </c>
      <c r="E379" t="s">
        <v>128</v>
      </c>
      <c r="F379" t="s">
        <v>179</v>
      </c>
      <c r="G379" t="s">
        <v>151</v>
      </c>
      <c r="H379" t="s">
        <v>148</v>
      </c>
      <c r="I379" t="s">
        <v>132</v>
      </c>
      <c r="J379" t="s">
        <v>133</v>
      </c>
      <c r="L379" t="s">
        <v>134</v>
      </c>
      <c r="M379" t="s">
        <v>135</v>
      </c>
      <c r="N379" s="1">
        <v>45047</v>
      </c>
      <c r="O379" s="1">
        <v>45047</v>
      </c>
      <c r="P379" s="1">
        <v>45047</v>
      </c>
      <c r="Q379" s="1">
        <v>45047</v>
      </c>
      <c r="R379">
        <v>3</v>
      </c>
      <c r="S379" t="s">
        <v>567</v>
      </c>
      <c r="T37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79" t="str">
        <f>IF(tblRoster[[#This Row],[급수]]="4급(임기제)","4급",tblRoster[[#This Row],[급수]])</f>
        <v>대학회계계약직</v>
      </c>
      <c r="V37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7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79" t="str">
        <f>IF(OR(tblRoster[[#This Row],[교직원상세구분]]="사회복무요원",tblRoster[[#This Row],[교직원상세구분]]="인턴(수습)"),"제외","포함")</f>
        <v>포함</v>
      </c>
      <c r="Y379">
        <f>1</f>
        <v>1</v>
      </c>
      <c r="Z379">
        <f>IF(tblRoster[[#This Row],[재직상태구분]]="휴직",1,0)</f>
        <v>0</v>
      </c>
      <c r="AA37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79">
        <f ca="1">IF(tblRoster[[#This Row],[본교발령시작일자]]="","",DATEDIF(tblRoster[[#This Row],[본교발령시작일자]],TODAY(),"Y"))</f>
        <v>3</v>
      </c>
      <c r="AC379">
        <f ca="1">IF(tblRoster[[#This Row],[최초발령시작일자]]="","",DATEDIF(tblRoster[[#This Row],[최초발령시작일자]],TODAY(),"Y"))</f>
        <v>3</v>
      </c>
      <c r="AD37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79">
        <f ca="1">IF(tblRoster[[#This Row],[직급발령시작일자]]="","",ROUND(YEARFRAC(tblRoster[[#This Row],[직급발령시작일자]],TODAY()),1))</f>
        <v>3.4</v>
      </c>
      <c r="AF37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79" t="str">
        <f ca="1">IF(OR(tblRoster[[#This Row],[공무원구분]]&lt;&gt;"공무원",tblRoster[[#This Row],[나이]]=""),"",YEAR(TODAY())+(60-tblRoster[[#This Row],[나이]]))</f>
        <v/>
      </c>
      <c r="AH379" t="str">
        <f>IF(tblRoster[[#This Row],[직위]]="","일반","보직자")</f>
        <v>일반</v>
      </c>
      <c r="AI37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7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7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79" t="str">
        <f ca="1">IF(tblRoster[[#This Row],[복직예정일]]="","",TEXT(tblRoster[[#This Row],[복직예정일]],"yyyy-mm"))</f>
        <v/>
      </c>
      <c r="AM379" t="str">
        <f ca="1">IF(tblRoster[[#This Row],[복직예정일]]="","",tblRoster[[#This Row],[복직예정일]]-TODAY())</f>
        <v/>
      </c>
      <c r="AN379" t="str">
        <f ca="1">IF(tblRoster[[#This Row],[휴직잔여일수]]="","",IF(tblRoster[[#This Row],[휴직잔여일수]]&lt;=180,"6개월내","6개월이후"))</f>
        <v/>
      </c>
      <c r="AO37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0" spans="1:41" x14ac:dyDescent="0.3">
      <c r="A380">
        <v>900378</v>
      </c>
      <c r="B380" t="s">
        <v>86</v>
      </c>
      <c r="C380" t="s">
        <v>8</v>
      </c>
      <c r="D380">
        <v>55</v>
      </c>
      <c r="E380" t="s">
        <v>128</v>
      </c>
      <c r="F380" t="s">
        <v>141</v>
      </c>
      <c r="G380" t="s">
        <v>142</v>
      </c>
      <c r="H380" t="s">
        <v>223</v>
      </c>
      <c r="I380" t="s">
        <v>144</v>
      </c>
      <c r="J380" t="s">
        <v>145</v>
      </c>
      <c r="L380" t="s">
        <v>134</v>
      </c>
      <c r="M380" t="s">
        <v>135</v>
      </c>
      <c r="N380" s="1">
        <v>35582</v>
      </c>
      <c r="O380" s="1">
        <v>35582</v>
      </c>
      <c r="P380" s="1">
        <v>43739</v>
      </c>
      <c r="Q380" s="1">
        <v>43739</v>
      </c>
      <c r="R380">
        <v>30</v>
      </c>
      <c r="S380" t="s">
        <v>593</v>
      </c>
      <c r="T38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80" t="str">
        <f>IF(tblRoster[[#This Row],[급수]]="4급(임기제)","4급",tblRoster[[#This Row],[급수]])</f>
        <v>8급</v>
      </c>
      <c r="V38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8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0" t="str">
        <f>IF(OR(tblRoster[[#This Row],[교직원상세구분]]="사회복무요원",tblRoster[[#This Row],[교직원상세구분]]="인턴(수습)"),"제외","포함")</f>
        <v>포함</v>
      </c>
      <c r="Y380">
        <f>1</f>
        <v>1</v>
      </c>
      <c r="Z380">
        <f>IF(tblRoster[[#This Row],[재직상태구분]]="휴직",1,0)</f>
        <v>0</v>
      </c>
      <c r="AA38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80">
        <f ca="1">IF(tblRoster[[#This Row],[본교발령시작일자]]="","",DATEDIF(tblRoster[[#This Row],[본교발령시작일자]],TODAY(),"Y"))</f>
        <v>29</v>
      </c>
      <c r="AC380">
        <f ca="1">IF(tblRoster[[#This Row],[최초발령시작일자]]="","",DATEDIF(tblRoster[[#This Row],[최초발령시작일자]],TODAY(),"Y"))</f>
        <v>29</v>
      </c>
      <c r="AD38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80">
        <f ca="1">IF(tblRoster[[#This Row],[직급발령시작일자]]="","",ROUND(YEARFRAC(tblRoster[[#This Row],[직급발령시작일자]],TODAY()),1))</f>
        <v>6.9</v>
      </c>
      <c r="AF380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80">
        <f ca="1">IF(OR(tblRoster[[#This Row],[공무원구분]]&lt;&gt;"공무원",tblRoster[[#This Row],[나이]]=""),"",YEAR(TODAY())+(60-tblRoster[[#This Row],[나이]]))</f>
        <v>2031</v>
      </c>
      <c r="AH380" t="str">
        <f>IF(tblRoster[[#This Row],[직위]]="","일반","보직자")</f>
        <v>일반</v>
      </c>
      <c r="AI38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0" t="str">
        <f ca="1">IF(tblRoster[[#This Row],[복직예정일]]="","",TEXT(tblRoster[[#This Row],[복직예정일]],"yyyy-mm"))</f>
        <v/>
      </c>
      <c r="AM380" t="str">
        <f ca="1">IF(tblRoster[[#This Row],[복직예정일]]="","",tblRoster[[#This Row],[복직예정일]]-TODAY())</f>
        <v/>
      </c>
      <c r="AN380" t="str">
        <f ca="1">IF(tblRoster[[#This Row],[휴직잔여일수]]="","",IF(tblRoster[[#This Row],[휴직잔여일수]]&lt;=180,"6개월내","6개월이후"))</f>
        <v/>
      </c>
      <c r="AO38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1" spans="1:41" x14ac:dyDescent="0.3">
      <c r="A381">
        <v>900379</v>
      </c>
      <c r="B381" t="s">
        <v>594</v>
      </c>
      <c r="C381" t="s">
        <v>8</v>
      </c>
      <c r="D381">
        <v>59</v>
      </c>
      <c r="E381" t="s">
        <v>150</v>
      </c>
      <c r="F381" t="s">
        <v>162</v>
      </c>
      <c r="G381" t="s">
        <v>151</v>
      </c>
      <c r="H381" t="s">
        <v>163</v>
      </c>
      <c r="I381" t="s">
        <v>144</v>
      </c>
      <c r="J381" t="s">
        <v>145</v>
      </c>
      <c r="L381" t="s">
        <v>134</v>
      </c>
      <c r="M381" t="s">
        <v>135</v>
      </c>
      <c r="N381" s="1">
        <v>34029</v>
      </c>
      <c r="O381" s="1">
        <v>34029</v>
      </c>
      <c r="P381" s="1">
        <v>42552</v>
      </c>
      <c r="Q381" s="1">
        <v>42552</v>
      </c>
      <c r="R381">
        <v>33</v>
      </c>
      <c r="T38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81" t="str">
        <f>IF(tblRoster[[#This Row],[급수]]="4급(임기제)","4급",tblRoster[[#This Row],[급수]])</f>
        <v>6급</v>
      </c>
      <c r="V38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8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1" t="str">
        <f>IF(OR(tblRoster[[#This Row],[교직원상세구분]]="사회복무요원",tblRoster[[#This Row],[교직원상세구분]]="인턴(수습)"),"제외","포함")</f>
        <v>포함</v>
      </c>
      <c r="Y381">
        <f>1</f>
        <v>1</v>
      </c>
      <c r="Z381">
        <f>IF(tblRoster[[#This Row],[재직상태구분]]="휴직",1,0)</f>
        <v>0</v>
      </c>
      <c r="AA38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81">
        <f ca="1">IF(tblRoster[[#This Row],[본교발령시작일자]]="","",DATEDIF(tblRoster[[#This Row],[본교발령시작일자]],TODAY(),"Y"))</f>
        <v>33</v>
      </c>
      <c r="AC381">
        <f ca="1">IF(tblRoster[[#This Row],[최초발령시작일자]]="","",DATEDIF(tblRoster[[#This Row],[최초발령시작일자]],TODAY(),"Y"))</f>
        <v>33</v>
      </c>
      <c r="AD38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81">
        <f ca="1">IF(tblRoster[[#This Row],[직급발령시작일자]]="","",ROUND(YEARFRAC(tblRoster[[#This Row],[직급발령시작일자]],TODAY()),1))</f>
        <v>10.199999999999999</v>
      </c>
      <c r="AF38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81">
        <f ca="1">IF(OR(tblRoster[[#This Row],[공무원구분]]&lt;&gt;"공무원",tblRoster[[#This Row],[나이]]=""),"",YEAR(TODAY())+(60-tblRoster[[#This Row],[나이]]))</f>
        <v>2027</v>
      </c>
      <c r="AH381" t="str">
        <f>IF(tblRoster[[#This Row],[직위]]="","일반","보직자")</f>
        <v>일반</v>
      </c>
      <c r="AI38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1" t="str">
        <f ca="1">IF(tblRoster[[#This Row],[복직예정일]]="","",TEXT(tblRoster[[#This Row],[복직예정일]],"yyyy-mm"))</f>
        <v/>
      </c>
      <c r="AM381" t="str">
        <f ca="1">IF(tblRoster[[#This Row],[복직예정일]]="","",tblRoster[[#This Row],[복직예정일]]-TODAY())</f>
        <v/>
      </c>
      <c r="AN381" t="str">
        <f ca="1">IF(tblRoster[[#This Row],[휴직잔여일수]]="","",IF(tblRoster[[#This Row],[휴직잔여일수]]&lt;=180,"6개월내","6개월이후"))</f>
        <v/>
      </c>
      <c r="AO38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2" spans="1:41" x14ac:dyDescent="0.3">
      <c r="A382">
        <v>900380</v>
      </c>
      <c r="B382" t="s">
        <v>595</v>
      </c>
      <c r="C382" t="s">
        <v>8</v>
      </c>
      <c r="D382">
        <v>53</v>
      </c>
      <c r="E382" t="s">
        <v>128</v>
      </c>
      <c r="F382" t="s">
        <v>171</v>
      </c>
      <c r="G382" t="s">
        <v>130</v>
      </c>
      <c r="H382" t="s">
        <v>148</v>
      </c>
      <c r="I382" t="s">
        <v>132</v>
      </c>
      <c r="J382" t="s">
        <v>133</v>
      </c>
      <c r="L382" t="s">
        <v>134</v>
      </c>
      <c r="M382" t="s">
        <v>135</v>
      </c>
      <c r="N382" s="1">
        <v>43344</v>
      </c>
      <c r="O382" s="1">
        <v>43344</v>
      </c>
      <c r="P382" s="1">
        <v>44621</v>
      </c>
      <c r="Q382" s="1">
        <v>44621</v>
      </c>
      <c r="R382">
        <v>9</v>
      </c>
      <c r="T38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82" t="str">
        <f>IF(tblRoster[[#This Row],[급수]]="4급(임기제)","4급",tblRoster[[#This Row],[급수]])</f>
        <v>대학회계계약직</v>
      </c>
      <c r="V38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8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82" t="str">
        <f>IF(OR(tblRoster[[#This Row],[교직원상세구분]]="사회복무요원",tblRoster[[#This Row],[교직원상세구분]]="인턴(수습)"),"제외","포함")</f>
        <v>포함</v>
      </c>
      <c r="Y382">
        <f>1</f>
        <v>1</v>
      </c>
      <c r="Z382">
        <f>IF(tblRoster[[#This Row],[재직상태구분]]="휴직",1,0)</f>
        <v>0</v>
      </c>
      <c r="AA38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82">
        <f ca="1">IF(tblRoster[[#This Row],[본교발령시작일자]]="","",DATEDIF(tblRoster[[#This Row],[본교발령시작일자]],TODAY(),"Y"))</f>
        <v>8</v>
      </c>
      <c r="AC382">
        <f ca="1">IF(tblRoster[[#This Row],[최초발령시작일자]]="","",DATEDIF(tblRoster[[#This Row],[최초발령시작일자]],TODAY(),"Y"))</f>
        <v>8</v>
      </c>
      <c r="AD38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82">
        <f ca="1">IF(tblRoster[[#This Row],[직급발령시작일자]]="","",ROUND(YEARFRAC(tblRoster[[#This Row],[직급발령시작일자]],TODAY()),1))</f>
        <v>4.5</v>
      </c>
      <c r="AF38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82" t="str">
        <f ca="1">IF(OR(tblRoster[[#This Row],[공무원구분]]&lt;&gt;"공무원",tblRoster[[#This Row],[나이]]=""),"",YEAR(TODAY())+(60-tblRoster[[#This Row],[나이]]))</f>
        <v/>
      </c>
      <c r="AH382" t="str">
        <f>IF(tblRoster[[#This Row],[직위]]="","일반","보직자")</f>
        <v>일반</v>
      </c>
      <c r="AI38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2" t="str">
        <f ca="1">IF(tblRoster[[#This Row],[복직예정일]]="","",TEXT(tblRoster[[#This Row],[복직예정일]],"yyyy-mm"))</f>
        <v/>
      </c>
      <c r="AM382" t="str">
        <f ca="1">IF(tblRoster[[#This Row],[복직예정일]]="","",tblRoster[[#This Row],[복직예정일]]-TODAY())</f>
        <v/>
      </c>
      <c r="AN382" t="str">
        <f ca="1">IF(tblRoster[[#This Row],[휴직잔여일수]]="","",IF(tblRoster[[#This Row],[휴직잔여일수]]&lt;=180,"6개월내","6개월이후"))</f>
        <v/>
      </c>
      <c r="AO38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3" spans="1:41" x14ac:dyDescent="0.3">
      <c r="A383">
        <v>900381</v>
      </c>
      <c r="B383" t="s">
        <v>596</v>
      </c>
      <c r="C383" t="s">
        <v>8</v>
      </c>
      <c r="D383">
        <v>34</v>
      </c>
      <c r="E383" t="s">
        <v>150</v>
      </c>
      <c r="F383" t="s">
        <v>236</v>
      </c>
      <c r="G383" t="s">
        <v>202</v>
      </c>
      <c r="H383" t="s">
        <v>301</v>
      </c>
      <c r="I383" t="s">
        <v>132</v>
      </c>
      <c r="J383" t="s">
        <v>133</v>
      </c>
      <c r="L383" t="s">
        <v>134</v>
      </c>
      <c r="M383" t="s">
        <v>135</v>
      </c>
      <c r="N383" s="1">
        <v>43617</v>
      </c>
      <c r="O383" s="1">
        <v>45231</v>
      </c>
      <c r="P383" s="1">
        <v>45658</v>
      </c>
      <c r="Q383" s="1">
        <v>45658</v>
      </c>
      <c r="R383">
        <v>7</v>
      </c>
      <c r="T38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83" t="str">
        <f>IF(tblRoster[[#This Row],[급수]]="4급(임기제)","4급",tblRoster[[#This Row],[급수]])</f>
        <v>대학회계계약직</v>
      </c>
      <c r="V38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8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83" t="str">
        <f>IF(OR(tblRoster[[#This Row],[교직원상세구분]]="사회복무요원",tblRoster[[#This Row],[교직원상세구분]]="인턴(수습)"),"제외","포함")</f>
        <v>포함</v>
      </c>
      <c r="Y383">
        <f>1</f>
        <v>1</v>
      </c>
      <c r="Z383">
        <f>IF(tblRoster[[#This Row],[재직상태구분]]="휴직",1,0)</f>
        <v>0</v>
      </c>
      <c r="AA38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83">
        <f ca="1">IF(tblRoster[[#This Row],[본교발령시작일자]]="","",DATEDIF(tblRoster[[#This Row],[본교발령시작일자]],TODAY(),"Y"))</f>
        <v>2</v>
      </c>
      <c r="AC383">
        <f ca="1">IF(tblRoster[[#This Row],[최초발령시작일자]]="","",DATEDIF(tblRoster[[#This Row],[최초발령시작일자]],TODAY(),"Y"))</f>
        <v>7</v>
      </c>
      <c r="AD38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383">
        <f ca="1">IF(tblRoster[[#This Row],[직급발령시작일자]]="","",ROUND(YEARFRAC(tblRoster[[#This Row],[직급발령시작일자]],TODAY()),1))</f>
        <v>1.7</v>
      </c>
      <c r="AF38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83" t="str">
        <f ca="1">IF(OR(tblRoster[[#This Row],[공무원구분]]&lt;&gt;"공무원",tblRoster[[#This Row],[나이]]=""),"",YEAR(TODAY())+(60-tblRoster[[#This Row],[나이]]))</f>
        <v/>
      </c>
      <c r="AH383" t="str">
        <f>IF(tblRoster[[#This Row],[직위]]="","일반","보직자")</f>
        <v>일반</v>
      </c>
      <c r="AI38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3" t="str">
        <f ca="1">IF(tblRoster[[#This Row],[복직예정일]]="","",TEXT(tblRoster[[#This Row],[복직예정일]],"yyyy-mm"))</f>
        <v/>
      </c>
      <c r="AM383" t="str">
        <f ca="1">IF(tblRoster[[#This Row],[복직예정일]]="","",tblRoster[[#This Row],[복직예정일]]-TODAY())</f>
        <v/>
      </c>
      <c r="AN383" t="str">
        <f ca="1">IF(tblRoster[[#This Row],[휴직잔여일수]]="","",IF(tblRoster[[#This Row],[휴직잔여일수]]&lt;=180,"6개월내","6개월이후"))</f>
        <v/>
      </c>
      <c r="AO38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4" spans="1:41" x14ac:dyDescent="0.3">
      <c r="A384">
        <v>900382</v>
      </c>
      <c r="B384" t="s">
        <v>597</v>
      </c>
      <c r="C384" t="s">
        <v>8</v>
      </c>
      <c r="D384">
        <v>25</v>
      </c>
      <c r="E384" t="s">
        <v>128</v>
      </c>
      <c r="F384" t="s">
        <v>137</v>
      </c>
      <c r="G384" t="s">
        <v>185</v>
      </c>
      <c r="H384" t="s">
        <v>198</v>
      </c>
      <c r="I384" t="s">
        <v>144</v>
      </c>
      <c r="J384" t="s">
        <v>145</v>
      </c>
      <c r="L384" t="s">
        <v>134</v>
      </c>
      <c r="M384" t="s">
        <v>135</v>
      </c>
      <c r="N384" s="1">
        <v>45778</v>
      </c>
      <c r="O384" s="1">
        <v>44713</v>
      </c>
      <c r="P384" s="1">
        <v>44713</v>
      </c>
      <c r="Q384" s="1">
        <v>44713</v>
      </c>
      <c r="R384">
        <v>1</v>
      </c>
      <c r="T38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384" t="str">
        <f>IF(tblRoster[[#This Row],[급수]]="4급(임기제)","4급",tblRoster[[#This Row],[급수]])</f>
        <v>7급</v>
      </c>
      <c r="V38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38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4" t="str">
        <f>IF(OR(tblRoster[[#This Row],[교직원상세구분]]="사회복무요원",tblRoster[[#This Row],[교직원상세구분]]="인턴(수습)"),"제외","포함")</f>
        <v>포함</v>
      </c>
      <c r="Y384">
        <f>1</f>
        <v>1</v>
      </c>
      <c r="Z384">
        <f>IF(tblRoster[[#This Row],[재직상태구분]]="휴직",1,0)</f>
        <v>0</v>
      </c>
      <c r="AA38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384">
        <f ca="1">IF(tblRoster[[#This Row],[본교발령시작일자]]="","",DATEDIF(tblRoster[[#This Row],[본교발령시작일자]],TODAY(),"Y"))</f>
        <v>4</v>
      </c>
      <c r="AC384">
        <f ca="1">IF(tblRoster[[#This Row],[최초발령시작일자]]="","",DATEDIF(tblRoster[[#This Row],[최초발령시작일자]],TODAY(),"Y"))</f>
        <v>1</v>
      </c>
      <c r="AD38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384">
        <f ca="1">IF(tblRoster[[#This Row],[직급발령시작일자]]="","",ROUND(YEARFRAC(tblRoster[[#This Row],[직급발령시작일자]],TODAY()),1))</f>
        <v>4.3</v>
      </c>
      <c r="AF38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84">
        <f ca="1">IF(OR(tblRoster[[#This Row],[공무원구분]]&lt;&gt;"공무원",tblRoster[[#This Row],[나이]]=""),"",YEAR(TODAY())+(60-tblRoster[[#This Row],[나이]]))</f>
        <v>2061</v>
      </c>
      <c r="AH384" t="str">
        <f>IF(tblRoster[[#This Row],[직위]]="","일반","보직자")</f>
        <v>일반</v>
      </c>
      <c r="AI38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4" t="str">
        <f ca="1">IF(tblRoster[[#This Row],[복직예정일]]="","",TEXT(tblRoster[[#This Row],[복직예정일]],"yyyy-mm"))</f>
        <v/>
      </c>
      <c r="AM384" t="str">
        <f ca="1">IF(tblRoster[[#This Row],[복직예정일]]="","",tblRoster[[#This Row],[복직예정일]]-TODAY())</f>
        <v/>
      </c>
      <c r="AN384" t="str">
        <f ca="1">IF(tblRoster[[#This Row],[휴직잔여일수]]="","",IF(tblRoster[[#This Row],[휴직잔여일수]]&lt;=180,"6개월내","6개월이후"))</f>
        <v/>
      </c>
      <c r="AO38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5" spans="1:41" x14ac:dyDescent="0.3">
      <c r="A385">
        <v>900383</v>
      </c>
      <c r="B385" t="s">
        <v>598</v>
      </c>
      <c r="C385" t="s">
        <v>8</v>
      </c>
      <c r="D385">
        <v>52</v>
      </c>
      <c r="E385" t="s">
        <v>128</v>
      </c>
      <c r="F385" t="s">
        <v>236</v>
      </c>
      <c r="G385" t="s">
        <v>130</v>
      </c>
      <c r="H385" t="s">
        <v>233</v>
      </c>
      <c r="I385" t="s">
        <v>144</v>
      </c>
      <c r="J385" t="s">
        <v>145</v>
      </c>
      <c r="L385" t="s">
        <v>134</v>
      </c>
      <c r="M385" t="s">
        <v>135</v>
      </c>
      <c r="N385" s="1">
        <v>35886</v>
      </c>
      <c r="O385" s="1">
        <v>35886</v>
      </c>
      <c r="P385" s="1">
        <v>43435</v>
      </c>
      <c r="Q385" s="1">
        <v>43435</v>
      </c>
      <c r="R385">
        <v>30</v>
      </c>
      <c r="T38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85" t="str">
        <f>IF(tblRoster[[#This Row],[급수]]="4급(임기제)","4급",tblRoster[[#This Row],[급수]])</f>
        <v>8급</v>
      </c>
      <c r="V38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8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5" t="str">
        <f>IF(OR(tblRoster[[#This Row],[교직원상세구분]]="사회복무요원",tblRoster[[#This Row],[교직원상세구분]]="인턴(수습)"),"제외","포함")</f>
        <v>포함</v>
      </c>
      <c r="Y385">
        <f>1</f>
        <v>1</v>
      </c>
      <c r="Z385">
        <f>IF(tblRoster[[#This Row],[재직상태구분]]="휴직",1,0)</f>
        <v>0</v>
      </c>
      <c r="AA38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85">
        <f ca="1">IF(tblRoster[[#This Row],[본교발령시작일자]]="","",DATEDIF(tblRoster[[#This Row],[본교발령시작일자]],TODAY(),"Y"))</f>
        <v>28</v>
      </c>
      <c r="AC385">
        <f ca="1">IF(tblRoster[[#This Row],[최초발령시작일자]]="","",DATEDIF(tblRoster[[#This Row],[최초발령시작일자]],TODAY(),"Y"))</f>
        <v>28</v>
      </c>
      <c r="AD38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85">
        <f ca="1">IF(tblRoster[[#This Row],[직급발령시작일자]]="","",ROUND(YEARFRAC(tblRoster[[#This Row],[직급발령시작일자]],TODAY()),1))</f>
        <v>7.8</v>
      </c>
      <c r="AF38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85">
        <f ca="1">IF(OR(tblRoster[[#This Row],[공무원구분]]&lt;&gt;"공무원",tblRoster[[#This Row],[나이]]=""),"",YEAR(TODAY())+(60-tblRoster[[#This Row],[나이]]))</f>
        <v>2034</v>
      </c>
      <c r="AH385" t="str">
        <f>IF(tblRoster[[#This Row],[직위]]="","일반","보직자")</f>
        <v>일반</v>
      </c>
      <c r="AI38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5" t="str">
        <f ca="1">IF(tblRoster[[#This Row],[복직예정일]]="","",TEXT(tblRoster[[#This Row],[복직예정일]],"yyyy-mm"))</f>
        <v/>
      </c>
      <c r="AM385" t="str">
        <f ca="1">IF(tblRoster[[#This Row],[복직예정일]]="","",tblRoster[[#This Row],[복직예정일]]-TODAY())</f>
        <v/>
      </c>
      <c r="AN385" t="str">
        <f ca="1">IF(tblRoster[[#This Row],[휴직잔여일수]]="","",IF(tblRoster[[#This Row],[휴직잔여일수]]&lt;=180,"6개월내","6개월이후"))</f>
        <v/>
      </c>
      <c r="AO38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6" spans="1:41" x14ac:dyDescent="0.3">
      <c r="A386">
        <v>900384</v>
      </c>
      <c r="B386" t="s">
        <v>599</v>
      </c>
      <c r="C386" t="s">
        <v>8</v>
      </c>
      <c r="D386">
        <v>37</v>
      </c>
      <c r="E386" t="s">
        <v>128</v>
      </c>
      <c r="F386" t="s">
        <v>266</v>
      </c>
      <c r="G386" t="s">
        <v>207</v>
      </c>
      <c r="H386" t="s">
        <v>301</v>
      </c>
      <c r="I386" t="s">
        <v>132</v>
      </c>
      <c r="J386" t="s">
        <v>133</v>
      </c>
      <c r="L386" t="s">
        <v>134</v>
      </c>
      <c r="M386" t="s">
        <v>135</v>
      </c>
      <c r="N386" s="1">
        <v>40817</v>
      </c>
      <c r="O386" s="1">
        <v>40817</v>
      </c>
      <c r="P386" s="1">
        <v>43586</v>
      </c>
      <c r="Q386" s="1">
        <v>43586</v>
      </c>
      <c r="R386">
        <v>18</v>
      </c>
      <c r="T38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86" t="str">
        <f>IF(tblRoster[[#This Row],[급수]]="4급(임기제)","4급",tblRoster[[#This Row],[급수]])</f>
        <v>대학회계계약직</v>
      </c>
      <c r="V38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8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86" t="str">
        <f>IF(OR(tblRoster[[#This Row],[교직원상세구분]]="사회복무요원",tblRoster[[#This Row],[교직원상세구분]]="인턴(수습)"),"제외","포함")</f>
        <v>포함</v>
      </c>
      <c r="Y386">
        <f>1</f>
        <v>1</v>
      </c>
      <c r="Z386">
        <f>IF(tblRoster[[#This Row],[재직상태구분]]="휴직",1,0)</f>
        <v>0</v>
      </c>
      <c r="AA38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86">
        <f ca="1">IF(tblRoster[[#This Row],[본교발령시작일자]]="","",DATEDIF(tblRoster[[#This Row],[본교발령시작일자]],TODAY(),"Y"))</f>
        <v>14</v>
      </c>
      <c r="AC386">
        <f ca="1">IF(tblRoster[[#This Row],[최초발령시작일자]]="","",DATEDIF(tblRoster[[#This Row],[최초발령시작일자]],TODAY(),"Y"))</f>
        <v>14</v>
      </c>
      <c r="AD38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86">
        <f ca="1">IF(tblRoster[[#This Row],[직급발령시작일자]]="","",ROUND(YEARFRAC(tblRoster[[#This Row],[직급발령시작일자]],TODAY()),1))</f>
        <v>7.4</v>
      </c>
      <c r="AF38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86" t="str">
        <f ca="1">IF(OR(tblRoster[[#This Row],[공무원구분]]&lt;&gt;"공무원",tblRoster[[#This Row],[나이]]=""),"",YEAR(TODAY())+(60-tblRoster[[#This Row],[나이]]))</f>
        <v/>
      </c>
      <c r="AH386" t="str">
        <f>IF(tblRoster[[#This Row],[직위]]="","일반","보직자")</f>
        <v>일반</v>
      </c>
      <c r="AI38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6" t="str">
        <f ca="1">IF(tblRoster[[#This Row],[복직예정일]]="","",TEXT(tblRoster[[#This Row],[복직예정일]],"yyyy-mm"))</f>
        <v/>
      </c>
      <c r="AM386" t="str">
        <f ca="1">IF(tblRoster[[#This Row],[복직예정일]]="","",tblRoster[[#This Row],[복직예정일]]-TODAY())</f>
        <v/>
      </c>
      <c r="AN386" t="str">
        <f ca="1">IF(tblRoster[[#This Row],[휴직잔여일수]]="","",IF(tblRoster[[#This Row],[휴직잔여일수]]&lt;=180,"6개월내","6개월이후"))</f>
        <v/>
      </c>
      <c r="AO38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7" spans="1:41" x14ac:dyDescent="0.3">
      <c r="A387">
        <v>900385</v>
      </c>
      <c r="B387" t="s">
        <v>600</v>
      </c>
      <c r="C387" t="s">
        <v>8</v>
      </c>
      <c r="D387">
        <v>45</v>
      </c>
      <c r="E387" t="s">
        <v>128</v>
      </c>
      <c r="F387" t="s">
        <v>168</v>
      </c>
      <c r="G387" t="s">
        <v>155</v>
      </c>
      <c r="H387" t="s">
        <v>398</v>
      </c>
      <c r="I387" t="s">
        <v>399</v>
      </c>
      <c r="J387" t="s">
        <v>145</v>
      </c>
      <c r="L387" t="s">
        <v>135</v>
      </c>
      <c r="M387" t="s">
        <v>135</v>
      </c>
      <c r="N387" s="1">
        <v>38292</v>
      </c>
      <c r="O387" s="1">
        <v>45078</v>
      </c>
      <c r="P387" s="1">
        <v>45078</v>
      </c>
      <c r="Q387" s="1">
        <v>45078</v>
      </c>
      <c r="R387">
        <v>23</v>
      </c>
      <c r="T38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87" t="str">
        <f>IF(tblRoster[[#This Row],[급수]]="4급(임기제)","4급",tblRoster[[#This Row],[급수]])</f>
        <v>6급</v>
      </c>
      <c r="V38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8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7" t="str">
        <f>IF(OR(tblRoster[[#This Row],[교직원상세구분]]="사회복무요원",tblRoster[[#This Row],[교직원상세구분]]="인턴(수습)"),"제외","포함")</f>
        <v>포함</v>
      </c>
      <c r="Y387">
        <f>1</f>
        <v>1</v>
      </c>
      <c r="Z387">
        <f>IF(tblRoster[[#This Row],[재직상태구분]]="휴직",1,0)</f>
        <v>0</v>
      </c>
      <c r="AA38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87">
        <f ca="1">IF(tblRoster[[#This Row],[본교발령시작일자]]="","",DATEDIF(tblRoster[[#This Row],[본교발령시작일자]],TODAY(),"Y"))</f>
        <v>3</v>
      </c>
      <c r="AC387">
        <f ca="1">IF(tblRoster[[#This Row],[최초발령시작일자]]="","",DATEDIF(tblRoster[[#This Row],[최초발령시작일자]],TODAY(),"Y"))</f>
        <v>21</v>
      </c>
      <c r="AD38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87">
        <f ca="1">IF(tblRoster[[#This Row],[직급발령시작일자]]="","",ROUND(YEARFRAC(tblRoster[[#This Row],[직급발령시작일자]],TODAY()),1))</f>
        <v>3.3</v>
      </c>
      <c r="AF38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87">
        <f ca="1">IF(OR(tblRoster[[#This Row],[공무원구분]]&lt;&gt;"공무원",tblRoster[[#This Row],[나이]]=""),"",YEAR(TODAY())+(60-tblRoster[[#This Row],[나이]]))</f>
        <v>2041</v>
      </c>
      <c r="AH387" t="str">
        <f>IF(tblRoster[[#This Row],[직위]]="","일반","보직자")</f>
        <v>일반</v>
      </c>
      <c r="AI38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7" t="str">
        <f ca="1">IF(tblRoster[[#This Row],[복직예정일]]="","",TEXT(tblRoster[[#This Row],[복직예정일]],"yyyy-mm"))</f>
        <v/>
      </c>
      <c r="AM387" t="str">
        <f ca="1">IF(tblRoster[[#This Row],[복직예정일]]="","",tblRoster[[#This Row],[복직예정일]]-TODAY())</f>
        <v/>
      </c>
      <c r="AN387" t="str">
        <f ca="1">IF(tblRoster[[#This Row],[휴직잔여일수]]="","",IF(tblRoster[[#This Row],[휴직잔여일수]]&lt;=180,"6개월내","6개월이후"))</f>
        <v/>
      </c>
      <c r="AO38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8" spans="1:41" x14ac:dyDescent="0.3">
      <c r="A388">
        <v>900386</v>
      </c>
      <c r="B388" t="s">
        <v>601</v>
      </c>
      <c r="C388" t="s">
        <v>8</v>
      </c>
      <c r="D388">
        <v>48</v>
      </c>
      <c r="E388" t="s">
        <v>128</v>
      </c>
      <c r="F388" t="s">
        <v>154</v>
      </c>
      <c r="G388" t="s">
        <v>202</v>
      </c>
      <c r="H388" t="s">
        <v>163</v>
      </c>
      <c r="I388" t="s">
        <v>144</v>
      </c>
      <c r="J388" t="s">
        <v>145</v>
      </c>
      <c r="L388" t="s">
        <v>135</v>
      </c>
      <c r="M388" t="s">
        <v>135</v>
      </c>
      <c r="N388" s="1">
        <v>38991</v>
      </c>
      <c r="O388" s="1">
        <v>38991</v>
      </c>
      <c r="P388" s="1">
        <v>45717</v>
      </c>
      <c r="Q388" s="1">
        <v>45717</v>
      </c>
      <c r="R388">
        <v>20</v>
      </c>
      <c r="T38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88" t="str">
        <f>IF(tblRoster[[#This Row],[급수]]="4급(임기제)","4급",tblRoster[[#This Row],[급수]])</f>
        <v>6급</v>
      </c>
      <c r="V38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8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88" t="str">
        <f>IF(OR(tblRoster[[#This Row],[교직원상세구분]]="사회복무요원",tblRoster[[#This Row],[교직원상세구분]]="인턴(수습)"),"제외","포함")</f>
        <v>포함</v>
      </c>
      <c r="Y388">
        <f>1</f>
        <v>1</v>
      </c>
      <c r="Z388">
        <f>IF(tblRoster[[#This Row],[재직상태구분]]="휴직",1,0)</f>
        <v>0</v>
      </c>
      <c r="AA38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88">
        <f ca="1">IF(tblRoster[[#This Row],[본교발령시작일자]]="","",DATEDIF(tblRoster[[#This Row],[본교발령시작일자]],TODAY(),"Y"))</f>
        <v>19</v>
      </c>
      <c r="AC388">
        <f ca="1">IF(tblRoster[[#This Row],[최초발령시작일자]]="","",DATEDIF(tblRoster[[#This Row],[최초발령시작일자]],TODAY(),"Y"))</f>
        <v>19</v>
      </c>
      <c r="AD38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88">
        <f ca="1">IF(tblRoster[[#This Row],[직급발령시작일자]]="","",ROUND(YEARFRAC(tblRoster[[#This Row],[직급발령시작일자]],TODAY()),1))</f>
        <v>1.5</v>
      </c>
      <c r="AF38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88">
        <f ca="1">IF(OR(tblRoster[[#This Row],[공무원구분]]&lt;&gt;"공무원",tblRoster[[#This Row],[나이]]=""),"",YEAR(TODAY())+(60-tblRoster[[#This Row],[나이]]))</f>
        <v>2038</v>
      </c>
      <c r="AH388" t="str">
        <f>IF(tblRoster[[#This Row],[직위]]="","일반","보직자")</f>
        <v>일반</v>
      </c>
      <c r="AI38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8" t="str">
        <f ca="1">IF(tblRoster[[#This Row],[복직예정일]]="","",TEXT(tblRoster[[#This Row],[복직예정일]],"yyyy-mm"))</f>
        <v/>
      </c>
      <c r="AM388" t="str">
        <f ca="1">IF(tblRoster[[#This Row],[복직예정일]]="","",tblRoster[[#This Row],[복직예정일]]-TODAY())</f>
        <v/>
      </c>
      <c r="AN388" t="str">
        <f ca="1">IF(tblRoster[[#This Row],[휴직잔여일수]]="","",IF(tblRoster[[#This Row],[휴직잔여일수]]&lt;=180,"6개월내","6개월이후"))</f>
        <v/>
      </c>
      <c r="AO38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89" spans="1:41" x14ac:dyDescent="0.3">
      <c r="A389">
        <v>900387</v>
      </c>
      <c r="B389" t="s">
        <v>602</v>
      </c>
      <c r="C389" t="s">
        <v>8</v>
      </c>
      <c r="D389">
        <v>52</v>
      </c>
      <c r="E389" t="s">
        <v>150</v>
      </c>
      <c r="F389" t="s">
        <v>158</v>
      </c>
      <c r="G389" t="s">
        <v>138</v>
      </c>
      <c r="H389" t="s">
        <v>260</v>
      </c>
      <c r="I389" t="s">
        <v>239</v>
      </c>
      <c r="J389" t="s">
        <v>133</v>
      </c>
      <c r="L389" t="s">
        <v>134</v>
      </c>
      <c r="M389" t="s">
        <v>135</v>
      </c>
      <c r="N389" s="1">
        <v>36647</v>
      </c>
      <c r="O389" s="1">
        <v>36647</v>
      </c>
      <c r="P389" s="1">
        <v>42461</v>
      </c>
      <c r="Q389" s="1">
        <v>42461</v>
      </c>
      <c r="R389">
        <v>29</v>
      </c>
      <c r="T38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389" t="str">
        <f>IF(tblRoster[[#This Row],[급수]]="4급(임기제)","4급",tblRoster[[#This Row],[급수]])</f>
        <v>대학회계직</v>
      </c>
      <c r="V38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38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389" t="str">
        <f>IF(OR(tblRoster[[#This Row],[교직원상세구분]]="사회복무요원",tblRoster[[#This Row],[교직원상세구분]]="인턴(수습)"),"제외","포함")</f>
        <v>포함</v>
      </c>
      <c r="Y389">
        <f>1</f>
        <v>1</v>
      </c>
      <c r="Z389">
        <f>IF(tblRoster[[#This Row],[재직상태구분]]="휴직",1,0)</f>
        <v>0</v>
      </c>
      <c r="AA38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89">
        <f ca="1">IF(tblRoster[[#This Row],[본교발령시작일자]]="","",DATEDIF(tblRoster[[#This Row],[본교발령시작일자]],TODAY(),"Y"))</f>
        <v>26</v>
      </c>
      <c r="AC389">
        <f ca="1">IF(tblRoster[[#This Row],[최초발령시작일자]]="","",DATEDIF(tblRoster[[#This Row],[최초발령시작일자]],TODAY(),"Y"))</f>
        <v>26</v>
      </c>
      <c r="AD38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89">
        <f ca="1">IF(tblRoster[[#This Row],[직급발령시작일자]]="","",ROUND(YEARFRAC(tblRoster[[#This Row],[직급발령시작일자]],TODAY()),1))</f>
        <v>10.4</v>
      </c>
      <c r="AF389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89" t="str">
        <f ca="1">IF(OR(tblRoster[[#This Row],[공무원구분]]&lt;&gt;"공무원",tblRoster[[#This Row],[나이]]=""),"",YEAR(TODAY())+(60-tblRoster[[#This Row],[나이]]))</f>
        <v/>
      </c>
      <c r="AH389" t="str">
        <f>IF(tblRoster[[#This Row],[직위]]="","일반","보직자")</f>
        <v>일반</v>
      </c>
      <c r="AI38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8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8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89" t="str">
        <f ca="1">IF(tblRoster[[#This Row],[복직예정일]]="","",TEXT(tblRoster[[#This Row],[복직예정일]],"yyyy-mm"))</f>
        <v/>
      </c>
      <c r="AM389" t="str">
        <f ca="1">IF(tblRoster[[#This Row],[복직예정일]]="","",tblRoster[[#This Row],[복직예정일]]-TODAY())</f>
        <v/>
      </c>
      <c r="AN389" t="str">
        <f ca="1">IF(tblRoster[[#This Row],[휴직잔여일수]]="","",IF(tblRoster[[#This Row],[휴직잔여일수]]&lt;=180,"6개월내","6개월이후"))</f>
        <v/>
      </c>
      <c r="AO38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0" spans="1:41" x14ac:dyDescent="0.3">
      <c r="A390">
        <v>900388</v>
      </c>
      <c r="B390" t="s">
        <v>603</v>
      </c>
      <c r="C390" t="s">
        <v>8</v>
      </c>
      <c r="D390">
        <v>50</v>
      </c>
      <c r="E390" t="s">
        <v>150</v>
      </c>
      <c r="F390" t="s">
        <v>162</v>
      </c>
      <c r="G390" t="s">
        <v>155</v>
      </c>
      <c r="H390" t="s">
        <v>200</v>
      </c>
      <c r="I390" t="s">
        <v>144</v>
      </c>
      <c r="J390" t="s">
        <v>145</v>
      </c>
      <c r="L390" t="s">
        <v>134</v>
      </c>
      <c r="M390" t="s">
        <v>135</v>
      </c>
      <c r="N390" s="1">
        <v>36373</v>
      </c>
      <c r="O390" s="1">
        <v>36373</v>
      </c>
      <c r="P390" s="1">
        <v>42552</v>
      </c>
      <c r="Q390" s="1">
        <v>42552</v>
      </c>
      <c r="R390">
        <v>29</v>
      </c>
      <c r="T39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90" t="str">
        <f>IF(tblRoster[[#This Row],[급수]]="4급(임기제)","4급",tblRoster[[#This Row],[급수]])</f>
        <v>5급</v>
      </c>
      <c r="V39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9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0" t="str">
        <f>IF(OR(tblRoster[[#This Row],[교직원상세구분]]="사회복무요원",tblRoster[[#This Row],[교직원상세구분]]="인턴(수습)"),"제외","포함")</f>
        <v>포함</v>
      </c>
      <c r="Y390">
        <f>1</f>
        <v>1</v>
      </c>
      <c r="Z390">
        <f>IF(tblRoster[[#This Row],[재직상태구분]]="휴직",1,0)</f>
        <v>0</v>
      </c>
      <c r="AA39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0">
        <f ca="1">IF(tblRoster[[#This Row],[본교발령시작일자]]="","",DATEDIF(tblRoster[[#This Row],[본교발령시작일자]],TODAY(),"Y"))</f>
        <v>27</v>
      </c>
      <c r="AC390">
        <f ca="1">IF(tblRoster[[#This Row],[최초발령시작일자]]="","",DATEDIF(tblRoster[[#This Row],[최초발령시작일자]],TODAY(),"Y"))</f>
        <v>27</v>
      </c>
      <c r="AD39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90">
        <f ca="1">IF(tblRoster[[#This Row],[직급발령시작일자]]="","",ROUND(YEARFRAC(tblRoster[[#This Row],[직급발령시작일자]],TODAY()),1))</f>
        <v>10.199999999999999</v>
      </c>
      <c r="AF390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90">
        <f ca="1">IF(OR(tblRoster[[#This Row],[공무원구분]]&lt;&gt;"공무원",tblRoster[[#This Row],[나이]]=""),"",YEAR(TODAY())+(60-tblRoster[[#This Row],[나이]]))</f>
        <v>2036</v>
      </c>
      <c r="AH390" t="str">
        <f>IF(tblRoster[[#This Row],[직위]]="","일반","보직자")</f>
        <v>일반</v>
      </c>
      <c r="AI39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0" t="str">
        <f ca="1">IF(tblRoster[[#This Row],[복직예정일]]="","",TEXT(tblRoster[[#This Row],[복직예정일]],"yyyy-mm"))</f>
        <v/>
      </c>
      <c r="AM390" t="str">
        <f ca="1">IF(tblRoster[[#This Row],[복직예정일]]="","",tblRoster[[#This Row],[복직예정일]]-TODAY())</f>
        <v/>
      </c>
      <c r="AN390" t="str">
        <f ca="1">IF(tblRoster[[#This Row],[휴직잔여일수]]="","",IF(tblRoster[[#This Row],[휴직잔여일수]]&lt;=180,"6개월내","6개월이후"))</f>
        <v/>
      </c>
      <c r="AO39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1" spans="1:41" x14ac:dyDescent="0.3">
      <c r="A391">
        <v>900389</v>
      </c>
      <c r="B391" t="s">
        <v>604</v>
      </c>
      <c r="C391" t="s">
        <v>8</v>
      </c>
      <c r="D391">
        <v>45</v>
      </c>
      <c r="E391" t="s">
        <v>150</v>
      </c>
      <c r="F391" t="s">
        <v>168</v>
      </c>
      <c r="G391" t="s">
        <v>142</v>
      </c>
      <c r="H391" t="s">
        <v>233</v>
      </c>
      <c r="I391" t="s">
        <v>144</v>
      </c>
      <c r="J391" t="s">
        <v>145</v>
      </c>
      <c r="L391" t="s">
        <v>134</v>
      </c>
      <c r="M391" t="s">
        <v>135</v>
      </c>
      <c r="N391" s="1">
        <v>39845</v>
      </c>
      <c r="O391" s="1">
        <v>44774</v>
      </c>
      <c r="P391" s="1">
        <v>44774</v>
      </c>
      <c r="Q391" s="1">
        <v>44774</v>
      </c>
      <c r="R391">
        <v>18</v>
      </c>
      <c r="T39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91" t="str">
        <f>IF(tblRoster[[#This Row],[급수]]="4급(임기제)","4급",tblRoster[[#This Row],[급수]])</f>
        <v>8급</v>
      </c>
      <c r="V39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9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1" t="str">
        <f>IF(OR(tblRoster[[#This Row],[교직원상세구분]]="사회복무요원",tblRoster[[#This Row],[교직원상세구분]]="인턴(수습)"),"제외","포함")</f>
        <v>포함</v>
      </c>
      <c r="Y391">
        <f>1</f>
        <v>1</v>
      </c>
      <c r="Z391">
        <f>IF(tblRoster[[#This Row],[재직상태구분]]="휴직",1,0)</f>
        <v>0</v>
      </c>
      <c r="AA39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91">
        <f ca="1">IF(tblRoster[[#This Row],[본교발령시작일자]]="","",DATEDIF(tblRoster[[#This Row],[본교발령시작일자]],TODAY(),"Y"))</f>
        <v>4</v>
      </c>
      <c r="AC391">
        <f ca="1">IF(tblRoster[[#This Row],[최초발령시작일자]]="","",DATEDIF(tblRoster[[#This Row],[최초발령시작일자]],TODAY(),"Y"))</f>
        <v>17</v>
      </c>
      <c r="AD39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91">
        <f ca="1">IF(tblRoster[[#This Row],[직급발령시작일자]]="","",ROUND(YEARFRAC(tblRoster[[#This Row],[직급발령시작일자]],TODAY()),1))</f>
        <v>4.0999999999999996</v>
      </c>
      <c r="AF39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1">
        <f ca="1">IF(OR(tblRoster[[#This Row],[공무원구분]]&lt;&gt;"공무원",tblRoster[[#This Row],[나이]]=""),"",YEAR(TODAY())+(60-tblRoster[[#This Row],[나이]]))</f>
        <v>2041</v>
      </c>
      <c r="AH391" t="str">
        <f>IF(tblRoster[[#This Row],[직위]]="","일반","보직자")</f>
        <v>일반</v>
      </c>
      <c r="AI39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1" t="str">
        <f ca="1">IF(tblRoster[[#This Row],[복직예정일]]="","",TEXT(tblRoster[[#This Row],[복직예정일]],"yyyy-mm"))</f>
        <v/>
      </c>
      <c r="AM391" t="str">
        <f ca="1">IF(tblRoster[[#This Row],[복직예정일]]="","",tblRoster[[#This Row],[복직예정일]]-TODAY())</f>
        <v/>
      </c>
      <c r="AN391" t="str">
        <f ca="1">IF(tblRoster[[#This Row],[휴직잔여일수]]="","",IF(tblRoster[[#This Row],[휴직잔여일수]]&lt;=180,"6개월내","6개월이후"))</f>
        <v/>
      </c>
      <c r="AO39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2" spans="1:41" x14ac:dyDescent="0.3">
      <c r="A392">
        <v>900390</v>
      </c>
      <c r="B392" t="s">
        <v>605</v>
      </c>
      <c r="C392" t="s">
        <v>8</v>
      </c>
      <c r="D392">
        <v>54</v>
      </c>
      <c r="E392" t="s">
        <v>128</v>
      </c>
      <c r="F392" t="s">
        <v>137</v>
      </c>
      <c r="G392" t="s">
        <v>173</v>
      </c>
      <c r="H392" t="s">
        <v>230</v>
      </c>
      <c r="I392" t="s">
        <v>144</v>
      </c>
      <c r="J392" t="s">
        <v>145</v>
      </c>
      <c r="L392" t="s">
        <v>134</v>
      </c>
      <c r="M392" t="s">
        <v>135</v>
      </c>
      <c r="N392" s="1">
        <v>36100</v>
      </c>
      <c r="O392" s="1">
        <v>44743</v>
      </c>
      <c r="P392" s="1">
        <v>44743</v>
      </c>
      <c r="Q392" s="1">
        <v>44743</v>
      </c>
      <c r="R392">
        <v>30</v>
      </c>
      <c r="T39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92" t="str">
        <f>IF(tblRoster[[#This Row],[급수]]="4급(임기제)","4급",tblRoster[[#This Row],[급수]])</f>
        <v>6급</v>
      </c>
      <c r="V39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9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2" t="str">
        <f>IF(OR(tblRoster[[#This Row],[교직원상세구분]]="사회복무요원",tblRoster[[#This Row],[교직원상세구분]]="인턴(수습)"),"제외","포함")</f>
        <v>포함</v>
      </c>
      <c r="Y392">
        <f>1</f>
        <v>1</v>
      </c>
      <c r="Z392">
        <f>IF(tblRoster[[#This Row],[재직상태구분]]="휴직",1,0)</f>
        <v>0</v>
      </c>
      <c r="AA39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2">
        <f ca="1">IF(tblRoster[[#This Row],[본교발령시작일자]]="","",DATEDIF(tblRoster[[#This Row],[본교발령시작일자]],TODAY(),"Y"))</f>
        <v>4</v>
      </c>
      <c r="AC392">
        <f ca="1">IF(tblRoster[[#This Row],[최초발령시작일자]]="","",DATEDIF(tblRoster[[#This Row],[최초발령시작일자]],TODAY(),"Y"))</f>
        <v>27</v>
      </c>
      <c r="AD39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92">
        <f ca="1">IF(tblRoster[[#This Row],[직급발령시작일자]]="","",ROUND(YEARFRAC(tblRoster[[#This Row],[직급발령시작일자]],TODAY()),1))</f>
        <v>4.2</v>
      </c>
      <c r="AF39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2">
        <f ca="1">IF(OR(tblRoster[[#This Row],[공무원구분]]&lt;&gt;"공무원",tblRoster[[#This Row],[나이]]=""),"",YEAR(TODAY())+(60-tblRoster[[#This Row],[나이]]))</f>
        <v>2032</v>
      </c>
      <c r="AH392" t="str">
        <f>IF(tblRoster[[#This Row],[직위]]="","일반","보직자")</f>
        <v>일반</v>
      </c>
      <c r="AI39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2" t="str">
        <f ca="1">IF(tblRoster[[#This Row],[복직예정일]]="","",TEXT(tblRoster[[#This Row],[복직예정일]],"yyyy-mm"))</f>
        <v/>
      </c>
      <c r="AM392" t="str">
        <f ca="1">IF(tblRoster[[#This Row],[복직예정일]]="","",tblRoster[[#This Row],[복직예정일]]-TODAY())</f>
        <v/>
      </c>
      <c r="AN392" t="str">
        <f ca="1">IF(tblRoster[[#This Row],[휴직잔여일수]]="","",IF(tblRoster[[#This Row],[휴직잔여일수]]&lt;=180,"6개월내","6개월이후"))</f>
        <v/>
      </c>
      <c r="AO39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3" spans="1:41" x14ac:dyDescent="0.3">
      <c r="A393">
        <v>900391</v>
      </c>
      <c r="B393" t="s">
        <v>606</v>
      </c>
      <c r="C393" t="s">
        <v>8</v>
      </c>
      <c r="D393">
        <v>53</v>
      </c>
      <c r="E393" t="s">
        <v>150</v>
      </c>
      <c r="F393" t="s">
        <v>158</v>
      </c>
      <c r="G393" t="s">
        <v>169</v>
      </c>
      <c r="H393" t="s">
        <v>200</v>
      </c>
      <c r="I393" t="s">
        <v>144</v>
      </c>
      <c r="J393" t="s">
        <v>145</v>
      </c>
      <c r="L393" t="s">
        <v>134</v>
      </c>
      <c r="M393" t="s">
        <v>135</v>
      </c>
      <c r="N393" s="1">
        <v>36586</v>
      </c>
      <c r="O393" s="1">
        <v>36586</v>
      </c>
      <c r="P393" s="1">
        <v>43191</v>
      </c>
      <c r="Q393" s="1">
        <v>43191</v>
      </c>
      <c r="R393">
        <v>27</v>
      </c>
      <c r="T39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393" t="str">
        <f>IF(tblRoster[[#This Row],[급수]]="4급(임기제)","4급",tblRoster[[#This Row],[급수]])</f>
        <v>5급</v>
      </c>
      <c r="V39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39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3" t="str">
        <f>IF(OR(tblRoster[[#This Row],[교직원상세구분]]="사회복무요원",tblRoster[[#This Row],[교직원상세구분]]="인턴(수습)"),"제외","포함")</f>
        <v>포함</v>
      </c>
      <c r="Y393">
        <f>1</f>
        <v>1</v>
      </c>
      <c r="Z393">
        <f>IF(tblRoster[[#This Row],[재직상태구분]]="휴직",1,0)</f>
        <v>0</v>
      </c>
      <c r="AA39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3">
        <f ca="1">IF(tblRoster[[#This Row],[본교발령시작일자]]="","",DATEDIF(tblRoster[[#This Row],[본교발령시작일자]],TODAY(),"Y"))</f>
        <v>26</v>
      </c>
      <c r="AC393">
        <f ca="1">IF(tblRoster[[#This Row],[최초발령시작일자]]="","",DATEDIF(tblRoster[[#This Row],[최초발령시작일자]],TODAY(),"Y"))</f>
        <v>26</v>
      </c>
      <c r="AD39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93">
        <f ca="1">IF(tblRoster[[#This Row],[직급발령시작일자]]="","",ROUND(YEARFRAC(tblRoster[[#This Row],[직급발령시작일자]],TODAY()),1))</f>
        <v>8.4</v>
      </c>
      <c r="AF393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393">
        <f ca="1">IF(OR(tblRoster[[#This Row],[공무원구분]]&lt;&gt;"공무원",tblRoster[[#This Row],[나이]]=""),"",YEAR(TODAY())+(60-tblRoster[[#This Row],[나이]]))</f>
        <v>2033</v>
      </c>
      <c r="AH393" t="str">
        <f>IF(tblRoster[[#This Row],[직위]]="","일반","보직자")</f>
        <v>일반</v>
      </c>
      <c r="AI39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3" t="str">
        <f ca="1">IF(tblRoster[[#This Row],[복직예정일]]="","",TEXT(tblRoster[[#This Row],[복직예정일]],"yyyy-mm"))</f>
        <v/>
      </c>
      <c r="AM393" t="str">
        <f ca="1">IF(tblRoster[[#This Row],[복직예정일]]="","",tblRoster[[#This Row],[복직예정일]]-TODAY())</f>
        <v/>
      </c>
      <c r="AN393" t="str">
        <f ca="1">IF(tblRoster[[#This Row],[휴직잔여일수]]="","",IF(tblRoster[[#This Row],[휴직잔여일수]]&lt;=180,"6개월내","6개월이후"))</f>
        <v/>
      </c>
      <c r="AO39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4" spans="1:41" x14ac:dyDescent="0.3">
      <c r="A394">
        <v>900392</v>
      </c>
      <c r="B394" t="s">
        <v>607</v>
      </c>
      <c r="C394" t="s">
        <v>8</v>
      </c>
      <c r="D394">
        <v>30</v>
      </c>
      <c r="E394" t="s">
        <v>150</v>
      </c>
      <c r="F394" t="s">
        <v>158</v>
      </c>
      <c r="G394" t="s">
        <v>151</v>
      </c>
      <c r="H394" t="s">
        <v>219</v>
      </c>
      <c r="I394" t="s">
        <v>144</v>
      </c>
      <c r="J394" t="s">
        <v>145</v>
      </c>
      <c r="L394" t="s">
        <v>134</v>
      </c>
      <c r="M394" t="s">
        <v>135</v>
      </c>
      <c r="N394" s="1">
        <v>43101</v>
      </c>
      <c r="O394" s="1">
        <v>43101</v>
      </c>
      <c r="P394" s="1">
        <v>44896</v>
      </c>
      <c r="Q394" s="1">
        <v>44896</v>
      </c>
      <c r="R394">
        <v>11</v>
      </c>
      <c r="T39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94" t="str">
        <f>IF(tblRoster[[#This Row],[급수]]="4급(임기제)","4급",tblRoster[[#This Row],[급수]])</f>
        <v>8급</v>
      </c>
      <c r="V39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9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4" t="str">
        <f>IF(OR(tblRoster[[#This Row],[교직원상세구분]]="사회복무요원",tblRoster[[#This Row],[교직원상세구분]]="인턴(수습)"),"제외","포함")</f>
        <v>포함</v>
      </c>
      <c r="Y394">
        <f>1</f>
        <v>1</v>
      </c>
      <c r="Z394">
        <f>IF(tblRoster[[#This Row],[재직상태구분]]="휴직",1,0)</f>
        <v>0</v>
      </c>
      <c r="AA39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394">
        <f ca="1">IF(tblRoster[[#This Row],[본교발령시작일자]]="","",DATEDIF(tblRoster[[#This Row],[본교발령시작일자]],TODAY(),"Y"))</f>
        <v>8</v>
      </c>
      <c r="AC394">
        <f ca="1">IF(tblRoster[[#This Row],[최초발령시작일자]]="","",DATEDIF(tblRoster[[#This Row],[최초발령시작일자]],TODAY(),"Y"))</f>
        <v>8</v>
      </c>
      <c r="AD39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94">
        <f ca="1">IF(tblRoster[[#This Row],[직급발령시작일자]]="","",ROUND(YEARFRAC(tblRoster[[#This Row],[직급발령시작일자]],TODAY()),1))</f>
        <v>3.8</v>
      </c>
      <c r="AF39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4">
        <f ca="1">IF(OR(tblRoster[[#This Row],[공무원구분]]&lt;&gt;"공무원",tblRoster[[#This Row],[나이]]=""),"",YEAR(TODAY())+(60-tblRoster[[#This Row],[나이]]))</f>
        <v>2056</v>
      </c>
      <c r="AH394" t="str">
        <f>IF(tblRoster[[#This Row],[직위]]="","일반","보직자")</f>
        <v>일반</v>
      </c>
      <c r="AI39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4" t="str">
        <f ca="1">IF(tblRoster[[#This Row],[복직예정일]]="","",TEXT(tblRoster[[#This Row],[복직예정일]],"yyyy-mm"))</f>
        <v/>
      </c>
      <c r="AM394" t="str">
        <f ca="1">IF(tblRoster[[#This Row],[복직예정일]]="","",tblRoster[[#This Row],[복직예정일]]-TODAY())</f>
        <v/>
      </c>
      <c r="AN394" t="str">
        <f ca="1">IF(tblRoster[[#This Row],[휴직잔여일수]]="","",IF(tblRoster[[#This Row],[휴직잔여일수]]&lt;=180,"6개월내","6개월이후"))</f>
        <v/>
      </c>
      <c r="AO39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5" spans="1:41" x14ac:dyDescent="0.3">
      <c r="A395">
        <v>900393</v>
      </c>
      <c r="B395" t="s">
        <v>608</v>
      </c>
      <c r="C395" t="s">
        <v>8</v>
      </c>
      <c r="D395">
        <v>59</v>
      </c>
      <c r="E395" t="s">
        <v>128</v>
      </c>
      <c r="F395" t="s">
        <v>179</v>
      </c>
      <c r="G395" t="s">
        <v>151</v>
      </c>
      <c r="H395" t="s">
        <v>230</v>
      </c>
      <c r="I395" t="s">
        <v>144</v>
      </c>
      <c r="J395" t="s">
        <v>145</v>
      </c>
      <c r="L395" t="s">
        <v>135</v>
      </c>
      <c r="M395" t="s">
        <v>135</v>
      </c>
      <c r="N395" s="1">
        <v>33909</v>
      </c>
      <c r="O395" s="1">
        <v>46296</v>
      </c>
      <c r="P395" s="1">
        <v>46296</v>
      </c>
      <c r="Q395" s="1">
        <v>46296</v>
      </c>
      <c r="R395">
        <v>37</v>
      </c>
      <c r="T39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95" t="str">
        <f>IF(tblRoster[[#This Row],[급수]]="4급(임기제)","4급",tblRoster[[#This Row],[급수]])</f>
        <v>6급</v>
      </c>
      <c r="V39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9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5" t="str">
        <f>IF(OR(tblRoster[[#This Row],[교직원상세구분]]="사회복무요원",tblRoster[[#This Row],[교직원상세구분]]="인턴(수습)"),"제외","포함")</f>
        <v>포함</v>
      </c>
      <c r="Y395">
        <f>1</f>
        <v>1</v>
      </c>
      <c r="Z395">
        <f>IF(tblRoster[[#This Row],[재직상태구분]]="휴직",1,0)</f>
        <v>0</v>
      </c>
      <c r="AA39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5" t="e">
        <f ca="1">IF(tblRoster[[#This Row],[본교발령시작일자]]="","",DATEDIF(tblRoster[[#This Row],[본교발령시작일자]],TODAY(),"Y"))</f>
        <v>#NUM!</v>
      </c>
      <c r="AC395">
        <f ca="1">IF(tblRoster[[#This Row],[최초발령시작일자]]="","",DATEDIF(tblRoster[[#This Row],[최초발령시작일자]],TODAY(),"Y"))</f>
        <v>33</v>
      </c>
      <c r="AD39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395">
        <f ca="1">IF(tblRoster[[#This Row],[직급발령시작일자]]="","",ROUND(YEARFRAC(tblRoster[[#This Row],[직급발령시작일자]],TODAY()),1))</f>
        <v>0.1</v>
      </c>
      <c r="AF39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5">
        <f ca="1">IF(OR(tblRoster[[#This Row],[공무원구분]]&lt;&gt;"공무원",tblRoster[[#This Row],[나이]]=""),"",YEAR(TODAY())+(60-tblRoster[[#This Row],[나이]]))</f>
        <v>2027</v>
      </c>
      <c r="AH395" t="str">
        <f>IF(tblRoster[[#This Row],[직위]]="","일반","보직자")</f>
        <v>일반</v>
      </c>
      <c r="AI39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5" t="str">
        <f ca="1">IF(tblRoster[[#This Row],[복직예정일]]="","",TEXT(tblRoster[[#This Row],[복직예정일]],"yyyy-mm"))</f>
        <v/>
      </c>
      <c r="AM395" t="str">
        <f ca="1">IF(tblRoster[[#This Row],[복직예정일]]="","",tblRoster[[#This Row],[복직예정일]]-TODAY())</f>
        <v/>
      </c>
      <c r="AN395" t="str">
        <f ca="1">IF(tblRoster[[#This Row],[휴직잔여일수]]="","",IF(tblRoster[[#This Row],[휴직잔여일수]]&lt;=180,"6개월내","6개월이후"))</f>
        <v/>
      </c>
      <c r="AO39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6" spans="1:41" x14ac:dyDescent="0.3">
      <c r="A396">
        <v>900394</v>
      </c>
      <c r="B396" t="s">
        <v>87</v>
      </c>
      <c r="C396" t="s">
        <v>16</v>
      </c>
      <c r="D396">
        <v>52</v>
      </c>
      <c r="E396" t="s">
        <v>128</v>
      </c>
      <c r="F396" t="s">
        <v>147</v>
      </c>
      <c r="G396" t="s">
        <v>211</v>
      </c>
      <c r="H396" t="s">
        <v>148</v>
      </c>
      <c r="I396" t="s">
        <v>132</v>
      </c>
      <c r="J396" t="s">
        <v>133</v>
      </c>
      <c r="L396" t="s">
        <v>135</v>
      </c>
      <c r="M396" t="s">
        <v>135</v>
      </c>
      <c r="N396" s="1">
        <v>40210</v>
      </c>
      <c r="O396" s="1">
        <v>45139</v>
      </c>
      <c r="P396" s="1">
        <v>45139</v>
      </c>
      <c r="Q396" s="1">
        <v>45139</v>
      </c>
      <c r="R396">
        <v>18</v>
      </c>
      <c r="S396" t="s">
        <v>609</v>
      </c>
      <c r="T39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396" t="str">
        <f>IF(tblRoster[[#This Row],[급수]]="4급(임기제)","4급",tblRoster[[#This Row],[급수]])</f>
        <v>대학회계계약직</v>
      </c>
      <c r="V39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39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396" t="str">
        <f>IF(OR(tblRoster[[#This Row],[교직원상세구분]]="사회복무요원",tblRoster[[#This Row],[교직원상세구분]]="인턴(수습)"),"제외","포함")</f>
        <v>포함</v>
      </c>
      <c r="Y396">
        <f>1</f>
        <v>1</v>
      </c>
      <c r="Z396">
        <f>IF(tblRoster[[#This Row],[재직상태구분]]="휴직",1,0)</f>
        <v>1</v>
      </c>
      <c r="AA39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6">
        <f ca="1">IF(tblRoster[[#This Row],[본교발령시작일자]]="","",DATEDIF(tblRoster[[#This Row],[본교발령시작일자]],TODAY(),"Y"))</f>
        <v>3</v>
      </c>
      <c r="AC396">
        <f ca="1">IF(tblRoster[[#This Row],[최초발령시작일자]]="","",DATEDIF(tblRoster[[#This Row],[최초발령시작일자]],TODAY(),"Y"))</f>
        <v>16</v>
      </c>
      <c r="AD39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96">
        <f ca="1">IF(tblRoster[[#This Row],[직급발령시작일자]]="","",ROUND(YEARFRAC(tblRoster[[#This Row],[직급발령시작일자]],TODAY()),1))</f>
        <v>3.1</v>
      </c>
      <c r="AF39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6" t="str">
        <f ca="1">IF(OR(tblRoster[[#This Row],[공무원구분]]&lt;&gt;"공무원",tblRoster[[#This Row],[나이]]=""),"",YEAR(TODAY())+(60-tblRoster[[#This Row],[나이]]))</f>
        <v/>
      </c>
      <c r="AH396" t="str">
        <f>IF(tblRoster[[#This Row],[직위]]="","일반","보직자")</f>
        <v>일반</v>
      </c>
      <c r="AI396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46042</v>
      </c>
      <c r="AJ39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질병휴직(일반질병)</v>
      </c>
      <c r="AK396" s="1">
        <f ca="1">IF(tblRoster[[#This Row],[현재휴직시작일]]="","",IFERROR(INDEX(tblLeave[종료일],MATCH(tblRoster[[#This Row],[교직원번호]]&amp;"|"&amp;tblRoster[[#This Row],[현재휴직시작일]],tblLeave[매칭키],0)),""))</f>
        <v>46407</v>
      </c>
      <c r="AL396" t="str">
        <f ca="1">IF(tblRoster[[#This Row],[복직예정일]]="","",TEXT(tblRoster[[#This Row],[복직예정일]],"yyyy-mm"))</f>
        <v>2027-01</v>
      </c>
      <c r="AM396">
        <f ca="1">IF(tblRoster[[#This Row],[복직예정일]]="","",tblRoster[[#This Row],[복직예정일]]-TODAY())</f>
        <v>135</v>
      </c>
      <c r="AN396" t="str">
        <f ca="1">IF(tblRoster[[#This Row],[휴직잔여일수]]="","",IF(tblRoster[[#This Row],[휴직잔여일수]]&lt;=180,"6개월내","6개월이후"))</f>
        <v>6개월내</v>
      </c>
      <c r="AO39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7" spans="1:41" x14ac:dyDescent="0.3">
      <c r="A397">
        <v>900395</v>
      </c>
      <c r="B397" t="s">
        <v>610</v>
      </c>
      <c r="C397" t="s">
        <v>8</v>
      </c>
      <c r="D397">
        <v>55</v>
      </c>
      <c r="E397" t="s">
        <v>128</v>
      </c>
      <c r="F397" t="s">
        <v>147</v>
      </c>
      <c r="G397" t="s">
        <v>138</v>
      </c>
      <c r="H397" t="s">
        <v>219</v>
      </c>
      <c r="I397" t="s">
        <v>144</v>
      </c>
      <c r="J397" t="s">
        <v>145</v>
      </c>
      <c r="L397" t="s">
        <v>134</v>
      </c>
      <c r="M397" t="s">
        <v>135</v>
      </c>
      <c r="N397" s="1">
        <v>37956</v>
      </c>
      <c r="O397" s="1">
        <v>37956</v>
      </c>
      <c r="P397" s="1">
        <v>41183</v>
      </c>
      <c r="Q397" s="1">
        <v>41183</v>
      </c>
      <c r="R397">
        <v>25</v>
      </c>
      <c r="T39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397" t="str">
        <f>IF(tblRoster[[#This Row],[급수]]="4급(임기제)","4급",tblRoster[[#This Row],[급수]])</f>
        <v>8급</v>
      </c>
      <c r="V39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39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7" t="str">
        <f>IF(OR(tblRoster[[#This Row],[교직원상세구분]]="사회복무요원",tblRoster[[#This Row],[교직원상세구분]]="인턴(수습)"),"제외","포함")</f>
        <v>포함</v>
      </c>
      <c r="Y397">
        <f>1</f>
        <v>1</v>
      </c>
      <c r="Z397">
        <f>IF(tblRoster[[#This Row],[재직상태구분]]="휴직",1,0)</f>
        <v>0</v>
      </c>
      <c r="AA39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7">
        <f ca="1">IF(tblRoster[[#This Row],[본교발령시작일자]]="","",DATEDIF(tblRoster[[#This Row],[본교발령시작일자]],TODAY(),"Y"))</f>
        <v>22</v>
      </c>
      <c r="AC397">
        <f ca="1">IF(tblRoster[[#This Row],[최초발령시작일자]]="","",DATEDIF(tblRoster[[#This Row],[최초발령시작일자]],TODAY(),"Y"))</f>
        <v>22</v>
      </c>
      <c r="AD39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97">
        <f ca="1">IF(tblRoster[[#This Row],[직급발령시작일자]]="","",ROUND(YEARFRAC(tblRoster[[#This Row],[직급발령시작일자]],TODAY()),1))</f>
        <v>13.9</v>
      </c>
      <c r="AF39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397">
        <f ca="1">IF(OR(tblRoster[[#This Row],[공무원구분]]&lt;&gt;"공무원",tblRoster[[#This Row],[나이]]=""),"",YEAR(TODAY())+(60-tblRoster[[#This Row],[나이]]))</f>
        <v>2031</v>
      </c>
      <c r="AH397" t="str">
        <f>IF(tblRoster[[#This Row],[직위]]="","일반","보직자")</f>
        <v>일반</v>
      </c>
      <c r="AI39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7" t="str">
        <f ca="1">IF(tblRoster[[#This Row],[복직예정일]]="","",TEXT(tblRoster[[#This Row],[복직예정일]],"yyyy-mm"))</f>
        <v/>
      </c>
      <c r="AM397" t="str">
        <f ca="1">IF(tblRoster[[#This Row],[복직예정일]]="","",tblRoster[[#This Row],[복직예정일]]-TODAY())</f>
        <v/>
      </c>
      <c r="AN397" t="str">
        <f ca="1">IF(tblRoster[[#This Row],[휴직잔여일수]]="","",IF(tblRoster[[#This Row],[휴직잔여일수]]&lt;=180,"6개월내","6개월이후"))</f>
        <v/>
      </c>
      <c r="AO39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8" spans="1:41" x14ac:dyDescent="0.3">
      <c r="A398">
        <v>900396</v>
      </c>
      <c r="B398" t="s">
        <v>611</v>
      </c>
      <c r="C398" t="s">
        <v>8</v>
      </c>
      <c r="D398">
        <v>53</v>
      </c>
      <c r="E398" t="s">
        <v>150</v>
      </c>
      <c r="F398" t="s">
        <v>154</v>
      </c>
      <c r="G398" t="s">
        <v>185</v>
      </c>
      <c r="H398" t="s">
        <v>209</v>
      </c>
      <c r="I398" t="s">
        <v>144</v>
      </c>
      <c r="J398" t="s">
        <v>145</v>
      </c>
      <c r="L398" t="s">
        <v>134</v>
      </c>
      <c r="M398" t="s">
        <v>135</v>
      </c>
      <c r="N398" s="1">
        <v>43040</v>
      </c>
      <c r="O398" s="1">
        <v>45231</v>
      </c>
      <c r="P398" s="1">
        <v>45231</v>
      </c>
      <c r="Q398" s="1">
        <v>45231</v>
      </c>
      <c r="R398">
        <v>10</v>
      </c>
      <c r="T39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98" t="str">
        <f>IF(tblRoster[[#This Row],[급수]]="4급(임기제)","4급",tblRoster[[#This Row],[급수]])</f>
        <v>6급</v>
      </c>
      <c r="V39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9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8" t="str">
        <f>IF(OR(tblRoster[[#This Row],[교직원상세구분]]="사회복무요원",tblRoster[[#This Row],[교직원상세구분]]="인턴(수습)"),"제외","포함")</f>
        <v>포함</v>
      </c>
      <c r="Y398">
        <f>1</f>
        <v>1</v>
      </c>
      <c r="Z398">
        <f>IF(tblRoster[[#This Row],[재직상태구분]]="휴직",1,0)</f>
        <v>0</v>
      </c>
      <c r="AA39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398">
        <f ca="1">IF(tblRoster[[#This Row],[본교발령시작일자]]="","",DATEDIF(tblRoster[[#This Row],[본교발령시작일자]],TODAY(),"Y"))</f>
        <v>2</v>
      </c>
      <c r="AC398">
        <f ca="1">IF(tblRoster[[#This Row],[최초발령시작일자]]="","",DATEDIF(tblRoster[[#This Row],[최초발령시작일자]],TODAY(),"Y"))</f>
        <v>8</v>
      </c>
      <c r="AD39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398">
        <f ca="1">IF(tblRoster[[#This Row],[직급발령시작일자]]="","",ROUND(YEARFRAC(tblRoster[[#This Row],[직급발령시작일자]],TODAY()),1))</f>
        <v>2.9</v>
      </c>
      <c r="AF39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8">
        <f ca="1">IF(OR(tblRoster[[#This Row],[공무원구분]]&lt;&gt;"공무원",tblRoster[[#This Row],[나이]]=""),"",YEAR(TODAY())+(60-tblRoster[[#This Row],[나이]]))</f>
        <v>2033</v>
      </c>
      <c r="AH398" t="str">
        <f>IF(tblRoster[[#This Row],[직위]]="","일반","보직자")</f>
        <v>일반</v>
      </c>
      <c r="AI39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8" t="str">
        <f ca="1">IF(tblRoster[[#This Row],[복직예정일]]="","",TEXT(tblRoster[[#This Row],[복직예정일]],"yyyy-mm"))</f>
        <v/>
      </c>
      <c r="AM398" t="str">
        <f ca="1">IF(tblRoster[[#This Row],[복직예정일]]="","",tblRoster[[#This Row],[복직예정일]]-TODAY())</f>
        <v/>
      </c>
      <c r="AN398" t="str">
        <f ca="1">IF(tblRoster[[#This Row],[휴직잔여일수]]="","",IF(tblRoster[[#This Row],[휴직잔여일수]]&lt;=180,"6개월내","6개월이후"))</f>
        <v/>
      </c>
      <c r="AO39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399" spans="1:41" x14ac:dyDescent="0.3">
      <c r="A399">
        <v>900397</v>
      </c>
      <c r="B399" t="s">
        <v>612</v>
      </c>
      <c r="C399" t="s">
        <v>8</v>
      </c>
      <c r="D399">
        <v>42</v>
      </c>
      <c r="E399" t="s">
        <v>128</v>
      </c>
      <c r="F399" t="s">
        <v>137</v>
      </c>
      <c r="G399" t="s">
        <v>197</v>
      </c>
      <c r="H399" t="s">
        <v>163</v>
      </c>
      <c r="I399" t="s">
        <v>144</v>
      </c>
      <c r="J399" t="s">
        <v>145</v>
      </c>
      <c r="L399" t="s">
        <v>135</v>
      </c>
      <c r="M399" t="s">
        <v>135</v>
      </c>
      <c r="N399" s="1">
        <v>39052</v>
      </c>
      <c r="O399" s="1">
        <v>39052</v>
      </c>
      <c r="P399" s="1">
        <v>45017</v>
      </c>
      <c r="Q399" s="1">
        <v>45017</v>
      </c>
      <c r="R399">
        <v>23</v>
      </c>
      <c r="T39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399" t="str">
        <f>IF(tblRoster[[#This Row],[급수]]="4급(임기제)","4급",tblRoster[[#This Row],[급수]])</f>
        <v>6급</v>
      </c>
      <c r="V39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39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399" t="str">
        <f>IF(OR(tblRoster[[#This Row],[교직원상세구분]]="사회복무요원",tblRoster[[#This Row],[교직원상세구분]]="인턴(수습)"),"제외","포함")</f>
        <v>포함</v>
      </c>
      <c r="Y399">
        <f>1</f>
        <v>1</v>
      </c>
      <c r="Z399">
        <f>IF(tblRoster[[#This Row],[재직상태구분]]="휴직",1,0)</f>
        <v>0</v>
      </c>
      <c r="AA39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399">
        <f ca="1">IF(tblRoster[[#This Row],[본교발령시작일자]]="","",DATEDIF(tblRoster[[#This Row],[본교발령시작일자]],TODAY(),"Y"))</f>
        <v>19</v>
      </c>
      <c r="AC399">
        <f ca="1">IF(tblRoster[[#This Row],[최초발령시작일자]]="","",DATEDIF(tblRoster[[#This Row],[최초발령시작일자]],TODAY(),"Y"))</f>
        <v>19</v>
      </c>
      <c r="AD39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399">
        <f ca="1">IF(tblRoster[[#This Row],[직급발령시작일자]]="","",ROUND(YEARFRAC(tblRoster[[#This Row],[직급발령시작일자]],TODAY()),1))</f>
        <v>3.4</v>
      </c>
      <c r="AF39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399">
        <f ca="1">IF(OR(tblRoster[[#This Row],[공무원구분]]&lt;&gt;"공무원",tblRoster[[#This Row],[나이]]=""),"",YEAR(TODAY())+(60-tblRoster[[#This Row],[나이]]))</f>
        <v>2044</v>
      </c>
      <c r="AH399" t="str">
        <f>IF(tblRoster[[#This Row],[직위]]="","일반","보직자")</f>
        <v>일반</v>
      </c>
      <c r="AI39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39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39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399" t="str">
        <f ca="1">IF(tblRoster[[#This Row],[복직예정일]]="","",TEXT(tblRoster[[#This Row],[복직예정일]],"yyyy-mm"))</f>
        <v/>
      </c>
      <c r="AM399" t="str">
        <f ca="1">IF(tblRoster[[#This Row],[복직예정일]]="","",tblRoster[[#This Row],[복직예정일]]-TODAY())</f>
        <v/>
      </c>
      <c r="AN399" t="str">
        <f ca="1">IF(tblRoster[[#This Row],[휴직잔여일수]]="","",IF(tblRoster[[#This Row],[휴직잔여일수]]&lt;=180,"6개월내","6개월이후"))</f>
        <v/>
      </c>
      <c r="AO39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0" spans="1:41" x14ac:dyDescent="0.3">
      <c r="A400">
        <v>900398</v>
      </c>
      <c r="B400" t="s">
        <v>613</v>
      </c>
      <c r="C400" t="s">
        <v>8</v>
      </c>
      <c r="D400">
        <v>37</v>
      </c>
      <c r="E400" t="s">
        <v>150</v>
      </c>
      <c r="F400" t="s">
        <v>184</v>
      </c>
      <c r="G400" t="s">
        <v>173</v>
      </c>
      <c r="H400" t="s">
        <v>230</v>
      </c>
      <c r="I400" t="s">
        <v>144</v>
      </c>
      <c r="J400" t="s">
        <v>145</v>
      </c>
      <c r="L400" t="s">
        <v>135</v>
      </c>
      <c r="M400" t="s">
        <v>135</v>
      </c>
      <c r="N400" s="1">
        <v>45200</v>
      </c>
      <c r="O400" s="1">
        <v>45200</v>
      </c>
      <c r="P400" s="1">
        <v>45200</v>
      </c>
      <c r="Q400" s="1">
        <v>45200</v>
      </c>
      <c r="R400">
        <v>3</v>
      </c>
      <c r="T40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00" t="str">
        <f>IF(tblRoster[[#This Row],[급수]]="4급(임기제)","4급",tblRoster[[#This Row],[급수]])</f>
        <v>6급</v>
      </c>
      <c r="V40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0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0" t="str">
        <f>IF(OR(tblRoster[[#This Row],[교직원상세구분]]="사회복무요원",tblRoster[[#This Row],[교직원상세구분]]="인턴(수습)"),"제외","포함")</f>
        <v>포함</v>
      </c>
      <c r="Y400">
        <f>1</f>
        <v>1</v>
      </c>
      <c r="Z400">
        <f>IF(tblRoster[[#This Row],[재직상태구분]]="휴직",1,0)</f>
        <v>0</v>
      </c>
      <c r="AA40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00">
        <f ca="1">IF(tblRoster[[#This Row],[본교발령시작일자]]="","",DATEDIF(tblRoster[[#This Row],[본교발령시작일자]],TODAY(),"Y"))</f>
        <v>2</v>
      </c>
      <c r="AC400">
        <f ca="1">IF(tblRoster[[#This Row],[최초발령시작일자]]="","",DATEDIF(tblRoster[[#This Row],[최초발령시작일자]],TODAY(),"Y"))</f>
        <v>2</v>
      </c>
      <c r="AD40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00">
        <f ca="1">IF(tblRoster[[#This Row],[직급발령시작일자]]="","",ROUND(YEARFRAC(tblRoster[[#This Row],[직급발령시작일자]],TODAY()),1))</f>
        <v>2.9</v>
      </c>
      <c r="AF40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0">
        <f ca="1">IF(OR(tblRoster[[#This Row],[공무원구분]]&lt;&gt;"공무원",tblRoster[[#This Row],[나이]]=""),"",YEAR(TODAY())+(60-tblRoster[[#This Row],[나이]]))</f>
        <v>2049</v>
      </c>
      <c r="AH400" t="str">
        <f>IF(tblRoster[[#This Row],[직위]]="","일반","보직자")</f>
        <v>일반</v>
      </c>
      <c r="AI40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0" t="str">
        <f ca="1">IF(tblRoster[[#This Row],[복직예정일]]="","",TEXT(tblRoster[[#This Row],[복직예정일]],"yyyy-mm"))</f>
        <v/>
      </c>
      <c r="AM400" t="str">
        <f ca="1">IF(tblRoster[[#This Row],[복직예정일]]="","",tblRoster[[#This Row],[복직예정일]]-TODAY())</f>
        <v/>
      </c>
      <c r="AN400" t="str">
        <f ca="1">IF(tblRoster[[#This Row],[휴직잔여일수]]="","",IF(tblRoster[[#This Row],[휴직잔여일수]]&lt;=180,"6개월내","6개월이후"))</f>
        <v/>
      </c>
      <c r="AO40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1" spans="1:41" x14ac:dyDescent="0.3">
      <c r="A401">
        <v>900399</v>
      </c>
      <c r="B401" t="s">
        <v>614</v>
      </c>
      <c r="C401" t="s">
        <v>8</v>
      </c>
      <c r="D401">
        <v>37</v>
      </c>
      <c r="E401" t="s">
        <v>150</v>
      </c>
      <c r="F401" t="s">
        <v>266</v>
      </c>
      <c r="G401" t="s">
        <v>182</v>
      </c>
      <c r="H401" t="s">
        <v>163</v>
      </c>
      <c r="I401" t="s">
        <v>144</v>
      </c>
      <c r="J401" t="s">
        <v>145</v>
      </c>
      <c r="L401" t="s">
        <v>134</v>
      </c>
      <c r="M401" t="s">
        <v>135</v>
      </c>
      <c r="N401" s="1">
        <v>41334</v>
      </c>
      <c r="O401" s="1">
        <v>41334</v>
      </c>
      <c r="P401" s="1">
        <v>42614</v>
      </c>
      <c r="Q401" s="1">
        <v>42614</v>
      </c>
      <c r="R401">
        <v>16</v>
      </c>
      <c r="T40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01" t="str">
        <f>IF(tblRoster[[#This Row],[급수]]="4급(임기제)","4급",tblRoster[[#This Row],[급수]])</f>
        <v>6급</v>
      </c>
      <c r="V40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0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1" t="str">
        <f>IF(OR(tblRoster[[#This Row],[교직원상세구분]]="사회복무요원",tblRoster[[#This Row],[교직원상세구분]]="인턴(수습)"),"제외","포함")</f>
        <v>포함</v>
      </c>
      <c r="Y401">
        <f>1</f>
        <v>1</v>
      </c>
      <c r="Z401">
        <f>IF(tblRoster[[#This Row],[재직상태구분]]="휴직",1,0)</f>
        <v>0</v>
      </c>
      <c r="AA40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01">
        <f ca="1">IF(tblRoster[[#This Row],[본교발령시작일자]]="","",DATEDIF(tblRoster[[#This Row],[본교발령시작일자]],TODAY(),"Y"))</f>
        <v>13</v>
      </c>
      <c r="AC401">
        <f ca="1">IF(tblRoster[[#This Row],[최초발령시작일자]]="","",DATEDIF(tblRoster[[#This Row],[최초발령시작일자]],TODAY(),"Y"))</f>
        <v>13</v>
      </c>
      <c r="AD40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01">
        <f ca="1">IF(tblRoster[[#This Row],[직급발령시작일자]]="","",ROUND(YEARFRAC(tblRoster[[#This Row],[직급발령시작일자]],TODAY()),1))</f>
        <v>10</v>
      </c>
      <c r="AF40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01">
        <f ca="1">IF(OR(tblRoster[[#This Row],[공무원구분]]&lt;&gt;"공무원",tblRoster[[#This Row],[나이]]=""),"",YEAR(TODAY())+(60-tblRoster[[#This Row],[나이]]))</f>
        <v>2049</v>
      </c>
      <c r="AH401" t="str">
        <f>IF(tblRoster[[#This Row],[직위]]="","일반","보직자")</f>
        <v>일반</v>
      </c>
      <c r="AI40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1" t="str">
        <f ca="1">IF(tblRoster[[#This Row],[복직예정일]]="","",TEXT(tblRoster[[#This Row],[복직예정일]],"yyyy-mm"))</f>
        <v/>
      </c>
      <c r="AM401" t="str">
        <f ca="1">IF(tblRoster[[#This Row],[복직예정일]]="","",tblRoster[[#This Row],[복직예정일]]-TODAY())</f>
        <v/>
      </c>
      <c r="AN401" t="str">
        <f ca="1">IF(tblRoster[[#This Row],[휴직잔여일수]]="","",IF(tblRoster[[#This Row],[휴직잔여일수]]&lt;=180,"6개월내","6개월이후"))</f>
        <v/>
      </c>
      <c r="AO40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2" spans="1:41" x14ac:dyDescent="0.3">
      <c r="A402">
        <v>900400</v>
      </c>
      <c r="B402" t="s">
        <v>615</v>
      </c>
      <c r="C402" t="s">
        <v>8</v>
      </c>
      <c r="D402">
        <v>42</v>
      </c>
      <c r="E402" t="s">
        <v>128</v>
      </c>
      <c r="F402" t="s">
        <v>154</v>
      </c>
      <c r="G402" t="s">
        <v>159</v>
      </c>
      <c r="H402" t="s">
        <v>260</v>
      </c>
      <c r="I402" t="s">
        <v>239</v>
      </c>
      <c r="J402" t="s">
        <v>133</v>
      </c>
      <c r="L402" t="s">
        <v>134</v>
      </c>
      <c r="M402" t="s">
        <v>135</v>
      </c>
      <c r="N402" s="1">
        <v>45839</v>
      </c>
      <c r="O402" s="1">
        <v>45839</v>
      </c>
      <c r="P402" s="1">
        <v>45839</v>
      </c>
      <c r="Q402" s="1">
        <v>45839</v>
      </c>
      <c r="R402">
        <v>4</v>
      </c>
      <c r="T40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402" t="str">
        <f>IF(tblRoster[[#This Row],[급수]]="4급(임기제)","4급",tblRoster[[#This Row],[급수]])</f>
        <v>대학회계직</v>
      </c>
      <c r="V40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40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402" t="str">
        <f>IF(OR(tblRoster[[#This Row],[교직원상세구분]]="사회복무요원",tblRoster[[#This Row],[교직원상세구분]]="인턴(수습)"),"제외","포함")</f>
        <v>포함</v>
      </c>
      <c r="Y402">
        <f>1</f>
        <v>1</v>
      </c>
      <c r="Z402">
        <f>IF(tblRoster[[#This Row],[재직상태구분]]="휴직",1,0)</f>
        <v>0</v>
      </c>
      <c r="AA40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02">
        <f ca="1">IF(tblRoster[[#This Row],[본교발령시작일자]]="","",DATEDIF(tblRoster[[#This Row],[본교발령시작일자]],TODAY(),"Y"))</f>
        <v>1</v>
      </c>
      <c r="AC402">
        <f ca="1">IF(tblRoster[[#This Row],[최초발령시작일자]]="","",DATEDIF(tblRoster[[#This Row],[최초발령시작일자]],TODAY(),"Y"))</f>
        <v>1</v>
      </c>
      <c r="AD40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02">
        <f ca="1">IF(tblRoster[[#This Row],[직급발령시작일자]]="","",ROUND(YEARFRAC(tblRoster[[#This Row],[직급발령시작일자]],TODAY()),1))</f>
        <v>1.2</v>
      </c>
      <c r="AF40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2" t="str">
        <f ca="1">IF(OR(tblRoster[[#This Row],[공무원구분]]&lt;&gt;"공무원",tblRoster[[#This Row],[나이]]=""),"",YEAR(TODAY())+(60-tblRoster[[#This Row],[나이]]))</f>
        <v/>
      </c>
      <c r="AH402" t="str">
        <f>IF(tblRoster[[#This Row],[직위]]="","일반","보직자")</f>
        <v>일반</v>
      </c>
      <c r="AI40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2" t="str">
        <f ca="1">IF(tblRoster[[#This Row],[복직예정일]]="","",TEXT(tblRoster[[#This Row],[복직예정일]],"yyyy-mm"))</f>
        <v/>
      </c>
      <c r="AM402" t="str">
        <f ca="1">IF(tblRoster[[#This Row],[복직예정일]]="","",tblRoster[[#This Row],[복직예정일]]-TODAY())</f>
        <v/>
      </c>
      <c r="AN402" t="str">
        <f ca="1">IF(tblRoster[[#This Row],[휴직잔여일수]]="","",IF(tblRoster[[#This Row],[휴직잔여일수]]&lt;=180,"6개월내","6개월이후"))</f>
        <v/>
      </c>
      <c r="AO40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3" spans="1:41" x14ac:dyDescent="0.3">
      <c r="A403">
        <v>900401</v>
      </c>
      <c r="B403" t="s">
        <v>616</v>
      </c>
      <c r="C403" t="s">
        <v>8</v>
      </c>
      <c r="D403">
        <v>54</v>
      </c>
      <c r="E403" t="s">
        <v>128</v>
      </c>
      <c r="F403" t="s">
        <v>158</v>
      </c>
      <c r="G403" t="s">
        <v>182</v>
      </c>
      <c r="H403" t="s">
        <v>180</v>
      </c>
      <c r="I403" t="s">
        <v>144</v>
      </c>
      <c r="J403" t="s">
        <v>145</v>
      </c>
      <c r="L403" t="s">
        <v>135</v>
      </c>
      <c r="M403" t="s">
        <v>135</v>
      </c>
      <c r="N403" s="1">
        <v>43009</v>
      </c>
      <c r="O403" s="1">
        <v>44593</v>
      </c>
      <c r="P403" s="1">
        <v>45870</v>
      </c>
      <c r="Q403" s="1">
        <v>45870</v>
      </c>
      <c r="R403">
        <v>9</v>
      </c>
      <c r="T40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03" t="str">
        <f>IF(tblRoster[[#This Row],[급수]]="4급(임기제)","4급",tblRoster[[#This Row],[급수]])</f>
        <v>7급</v>
      </c>
      <c r="V40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0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3" t="str">
        <f>IF(OR(tblRoster[[#This Row],[교직원상세구분]]="사회복무요원",tblRoster[[#This Row],[교직원상세구분]]="인턴(수습)"),"제외","포함")</f>
        <v>포함</v>
      </c>
      <c r="Y403">
        <f>1</f>
        <v>1</v>
      </c>
      <c r="Z403">
        <f>IF(tblRoster[[#This Row],[재직상태구분]]="휴직",1,0)</f>
        <v>0</v>
      </c>
      <c r="AA40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03">
        <f ca="1">IF(tblRoster[[#This Row],[본교발령시작일자]]="","",DATEDIF(tblRoster[[#This Row],[본교발령시작일자]],TODAY(),"Y"))</f>
        <v>4</v>
      </c>
      <c r="AC403">
        <f ca="1">IF(tblRoster[[#This Row],[최초발령시작일자]]="","",DATEDIF(tblRoster[[#This Row],[최초발령시작일자]],TODAY(),"Y"))</f>
        <v>8</v>
      </c>
      <c r="AD40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03">
        <f ca="1">IF(tblRoster[[#This Row],[직급발령시작일자]]="","",ROUND(YEARFRAC(tblRoster[[#This Row],[직급발령시작일자]],TODAY()),1))</f>
        <v>1.1000000000000001</v>
      </c>
      <c r="AF40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3">
        <f ca="1">IF(OR(tblRoster[[#This Row],[공무원구분]]&lt;&gt;"공무원",tblRoster[[#This Row],[나이]]=""),"",YEAR(TODAY())+(60-tblRoster[[#This Row],[나이]]))</f>
        <v>2032</v>
      </c>
      <c r="AH403" t="str">
        <f>IF(tblRoster[[#This Row],[직위]]="","일반","보직자")</f>
        <v>일반</v>
      </c>
      <c r="AI40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3" t="str">
        <f ca="1">IF(tblRoster[[#This Row],[복직예정일]]="","",TEXT(tblRoster[[#This Row],[복직예정일]],"yyyy-mm"))</f>
        <v/>
      </c>
      <c r="AM403" t="str">
        <f ca="1">IF(tblRoster[[#This Row],[복직예정일]]="","",tblRoster[[#This Row],[복직예정일]]-TODAY())</f>
        <v/>
      </c>
      <c r="AN403" t="str">
        <f ca="1">IF(tblRoster[[#This Row],[휴직잔여일수]]="","",IF(tblRoster[[#This Row],[휴직잔여일수]]&lt;=180,"6개월내","6개월이후"))</f>
        <v/>
      </c>
      <c r="AO40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4" spans="1:41" x14ac:dyDescent="0.3">
      <c r="A404">
        <v>900402</v>
      </c>
      <c r="B404" t="s">
        <v>88</v>
      </c>
      <c r="C404" t="s">
        <v>8</v>
      </c>
      <c r="D404">
        <v>49</v>
      </c>
      <c r="E404" t="s">
        <v>150</v>
      </c>
      <c r="F404" t="s">
        <v>189</v>
      </c>
      <c r="G404" t="s">
        <v>182</v>
      </c>
      <c r="H404" t="s">
        <v>163</v>
      </c>
      <c r="I404" t="s">
        <v>144</v>
      </c>
      <c r="J404" t="s">
        <v>145</v>
      </c>
      <c r="L404" t="s">
        <v>134</v>
      </c>
      <c r="M404" t="s">
        <v>135</v>
      </c>
      <c r="N404" s="1">
        <v>38534</v>
      </c>
      <c r="O404" s="1">
        <v>38534</v>
      </c>
      <c r="P404" s="1">
        <v>43983</v>
      </c>
      <c r="Q404" s="1">
        <v>43983</v>
      </c>
      <c r="R404">
        <v>22</v>
      </c>
      <c r="S404" t="s">
        <v>617</v>
      </c>
      <c r="T40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04" t="str">
        <f>IF(tblRoster[[#This Row],[급수]]="4급(임기제)","4급",tblRoster[[#This Row],[급수]])</f>
        <v>6급</v>
      </c>
      <c r="V40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0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4" t="str">
        <f>IF(OR(tblRoster[[#This Row],[교직원상세구분]]="사회복무요원",tblRoster[[#This Row],[교직원상세구분]]="인턴(수습)"),"제외","포함")</f>
        <v>포함</v>
      </c>
      <c r="Y404">
        <f>1</f>
        <v>1</v>
      </c>
      <c r="Z404">
        <f>IF(tblRoster[[#This Row],[재직상태구분]]="휴직",1,0)</f>
        <v>0</v>
      </c>
      <c r="AA40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04">
        <f ca="1">IF(tblRoster[[#This Row],[본교발령시작일자]]="","",DATEDIF(tblRoster[[#This Row],[본교발령시작일자]],TODAY(),"Y"))</f>
        <v>21</v>
      </c>
      <c r="AC404">
        <f ca="1">IF(tblRoster[[#This Row],[최초발령시작일자]]="","",DATEDIF(tblRoster[[#This Row],[최초발령시작일자]],TODAY(),"Y"))</f>
        <v>21</v>
      </c>
      <c r="AD40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04">
        <f ca="1">IF(tblRoster[[#This Row],[직급발령시작일자]]="","",ROUND(YEARFRAC(tblRoster[[#This Row],[직급발령시작일자]],TODAY()),1))</f>
        <v>6.3</v>
      </c>
      <c r="AF40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04">
        <f ca="1">IF(OR(tblRoster[[#This Row],[공무원구분]]&lt;&gt;"공무원",tblRoster[[#This Row],[나이]]=""),"",YEAR(TODAY())+(60-tblRoster[[#This Row],[나이]]))</f>
        <v>2037</v>
      </c>
      <c r="AH404" t="str">
        <f>IF(tblRoster[[#This Row],[직위]]="","일반","보직자")</f>
        <v>일반</v>
      </c>
      <c r="AI40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4" t="str">
        <f ca="1">IF(tblRoster[[#This Row],[복직예정일]]="","",TEXT(tblRoster[[#This Row],[복직예정일]],"yyyy-mm"))</f>
        <v/>
      </c>
      <c r="AM404" t="str">
        <f ca="1">IF(tblRoster[[#This Row],[복직예정일]]="","",tblRoster[[#This Row],[복직예정일]]-TODAY())</f>
        <v/>
      </c>
      <c r="AN404" t="str">
        <f ca="1">IF(tblRoster[[#This Row],[휴직잔여일수]]="","",IF(tblRoster[[#This Row],[휴직잔여일수]]&lt;=180,"6개월내","6개월이후"))</f>
        <v/>
      </c>
      <c r="AO40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5" spans="1:41" x14ac:dyDescent="0.3">
      <c r="A405">
        <v>900403</v>
      </c>
      <c r="B405" t="s">
        <v>89</v>
      </c>
      <c r="C405" t="s">
        <v>8</v>
      </c>
      <c r="D405">
        <v>47</v>
      </c>
      <c r="E405" t="s">
        <v>128</v>
      </c>
      <c r="F405" t="s">
        <v>184</v>
      </c>
      <c r="G405" t="s">
        <v>142</v>
      </c>
      <c r="H405" t="s">
        <v>230</v>
      </c>
      <c r="I405" t="s">
        <v>144</v>
      </c>
      <c r="J405" t="s">
        <v>145</v>
      </c>
      <c r="L405" t="s">
        <v>135</v>
      </c>
      <c r="M405" t="s">
        <v>135</v>
      </c>
      <c r="N405" s="1">
        <v>38991</v>
      </c>
      <c r="O405" s="1">
        <v>44317</v>
      </c>
      <c r="P405" s="1">
        <v>44317</v>
      </c>
      <c r="Q405" s="1">
        <v>44317</v>
      </c>
      <c r="R405">
        <v>22</v>
      </c>
      <c r="S405" t="s">
        <v>618</v>
      </c>
      <c r="T40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05" t="str">
        <f>IF(tblRoster[[#This Row],[급수]]="4급(임기제)","4급",tblRoster[[#This Row],[급수]])</f>
        <v>6급</v>
      </c>
      <c r="V40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0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5" t="str">
        <f>IF(OR(tblRoster[[#This Row],[교직원상세구분]]="사회복무요원",tblRoster[[#This Row],[교직원상세구분]]="인턴(수습)"),"제외","포함")</f>
        <v>포함</v>
      </c>
      <c r="Y405">
        <f>1</f>
        <v>1</v>
      </c>
      <c r="Z405">
        <f>IF(tblRoster[[#This Row],[재직상태구분]]="휴직",1,0)</f>
        <v>0</v>
      </c>
      <c r="AA40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05">
        <f ca="1">IF(tblRoster[[#This Row],[본교발령시작일자]]="","",DATEDIF(tblRoster[[#This Row],[본교발령시작일자]],TODAY(),"Y"))</f>
        <v>5</v>
      </c>
      <c r="AC405">
        <f ca="1">IF(tblRoster[[#This Row],[최초발령시작일자]]="","",DATEDIF(tblRoster[[#This Row],[최초발령시작일자]],TODAY(),"Y"))</f>
        <v>19</v>
      </c>
      <c r="AD40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05">
        <f ca="1">IF(tblRoster[[#This Row],[직급발령시작일자]]="","",ROUND(YEARFRAC(tblRoster[[#This Row],[직급발령시작일자]],TODAY()),1))</f>
        <v>5.4</v>
      </c>
      <c r="AF40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05">
        <f ca="1">IF(OR(tblRoster[[#This Row],[공무원구분]]&lt;&gt;"공무원",tblRoster[[#This Row],[나이]]=""),"",YEAR(TODAY())+(60-tblRoster[[#This Row],[나이]]))</f>
        <v>2039</v>
      </c>
      <c r="AH405" t="str">
        <f>IF(tblRoster[[#This Row],[직위]]="","일반","보직자")</f>
        <v>일반</v>
      </c>
      <c r="AI40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5" t="str">
        <f ca="1">IF(tblRoster[[#This Row],[복직예정일]]="","",TEXT(tblRoster[[#This Row],[복직예정일]],"yyyy-mm"))</f>
        <v/>
      </c>
      <c r="AM405" t="str">
        <f ca="1">IF(tblRoster[[#This Row],[복직예정일]]="","",tblRoster[[#This Row],[복직예정일]]-TODAY())</f>
        <v/>
      </c>
      <c r="AN405" t="str">
        <f ca="1">IF(tblRoster[[#This Row],[휴직잔여일수]]="","",IF(tblRoster[[#This Row],[휴직잔여일수]]&lt;=180,"6개월내","6개월이후"))</f>
        <v/>
      </c>
      <c r="AO40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6" spans="1:41" x14ac:dyDescent="0.3">
      <c r="A406">
        <v>900404</v>
      </c>
      <c r="B406" t="s">
        <v>619</v>
      </c>
      <c r="C406" t="s">
        <v>8</v>
      </c>
      <c r="D406">
        <v>59</v>
      </c>
      <c r="E406" t="s">
        <v>150</v>
      </c>
      <c r="F406" t="s">
        <v>147</v>
      </c>
      <c r="G406" t="s">
        <v>197</v>
      </c>
      <c r="H406" t="s">
        <v>163</v>
      </c>
      <c r="I406" t="s">
        <v>144</v>
      </c>
      <c r="J406" t="s">
        <v>145</v>
      </c>
      <c r="L406" t="s">
        <v>134</v>
      </c>
      <c r="M406" t="s">
        <v>135</v>
      </c>
      <c r="N406" s="1">
        <v>39022</v>
      </c>
      <c r="O406" s="1">
        <v>39022</v>
      </c>
      <c r="P406" s="1">
        <v>44378</v>
      </c>
      <c r="Q406" s="1">
        <v>44378</v>
      </c>
      <c r="R406">
        <v>21</v>
      </c>
      <c r="T40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06" t="str">
        <f>IF(tblRoster[[#This Row],[급수]]="4급(임기제)","4급",tblRoster[[#This Row],[급수]])</f>
        <v>6급</v>
      </c>
      <c r="V40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0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6" t="str">
        <f>IF(OR(tblRoster[[#This Row],[교직원상세구분]]="사회복무요원",tblRoster[[#This Row],[교직원상세구분]]="인턴(수습)"),"제외","포함")</f>
        <v>포함</v>
      </c>
      <c r="Y406">
        <f>1</f>
        <v>1</v>
      </c>
      <c r="Z406">
        <f>IF(tblRoster[[#This Row],[재직상태구분]]="휴직",1,0)</f>
        <v>0</v>
      </c>
      <c r="AA40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06">
        <f ca="1">IF(tblRoster[[#This Row],[본교발령시작일자]]="","",DATEDIF(tblRoster[[#This Row],[본교발령시작일자]],TODAY(),"Y"))</f>
        <v>19</v>
      </c>
      <c r="AC406">
        <f ca="1">IF(tblRoster[[#This Row],[최초발령시작일자]]="","",DATEDIF(tblRoster[[#This Row],[최초발령시작일자]],TODAY(),"Y"))</f>
        <v>19</v>
      </c>
      <c r="AD40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06">
        <f ca="1">IF(tblRoster[[#This Row],[직급발령시작일자]]="","",ROUND(YEARFRAC(tblRoster[[#This Row],[직급발령시작일자]],TODAY()),1))</f>
        <v>5.2</v>
      </c>
      <c r="AF406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06">
        <f ca="1">IF(OR(tblRoster[[#This Row],[공무원구분]]&lt;&gt;"공무원",tblRoster[[#This Row],[나이]]=""),"",YEAR(TODAY())+(60-tblRoster[[#This Row],[나이]]))</f>
        <v>2027</v>
      </c>
      <c r="AH406" t="str">
        <f>IF(tblRoster[[#This Row],[직위]]="","일반","보직자")</f>
        <v>일반</v>
      </c>
      <c r="AI40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6" t="str">
        <f ca="1">IF(tblRoster[[#This Row],[복직예정일]]="","",TEXT(tblRoster[[#This Row],[복직예정일]],"yyyy-mm"))</f>
        <v/>
      </c>
      <c r="AM406" t="str">
        <f ca="1">IF(tblRoster[[#This Row],[복직예정일]]="","",tblRoster[[#This Row],[복직예정일]]-TODAY())</f>
        <v/>
      </c>
      <c r="AN406" t="str">
        <f ca="1">IF(tblRoster[[#This Row],[휴직잔여일수]]="","",IF(tblRoster[[#This Row],[휴직잔여일수]]&lt;=180,"6개월내","6개월이후"))</f>
        <v/>
      </c>
      <c r="AO40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7" spans="1:41" x14ac:dyDescent="0.3">
      <c r="A407">
        <v>900405</v>
      </c>
      <c r="B407" t="s">
        <v>620</v>
      </c>
      <c r="C407" t="s">
        <v>8</v>
      </c>
      <c r="D407">
        <v>25</v>
      </c>
      <c r="E407" t="s">
        <v>128</v>
      </c>
      <c r="F407" t="s">
        <v>179</v>
      </c>
      <c r="G407" t="s">
        <v>138</v>
      </c>
      <c r="H407" t="s">
        <v>148</v>
      </c>
      <c r="I407" t="s">
        <v>132</v>
      </c>
      <c r="J407" t="s">
        <v>133</v>
      </c>
      <c r="L407" t="s">
        <v>134</v>
      </c>
      <c r="M407" t="s">
        <v>135</v>
      </c>
      <c r="N407" s="1">
        <v>44927</v>
      </c>
      <c r="O407" s="1">
        <v>44927</v>
      </c>
      <c r="P407" s="1">
        <v>44927</v>
      </c>
      <c r="Q407" s="1">
        <v>44927</v>
      </c>
      <c r="T40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07" t="str">
        <f>IF(tblRoster[[#This Row],[급수]]="4급(임기제)","4급",tblRoster[[#This Row],[급수]])</f>
        <v>대학회계계약직</v>
      </c>
      <c r="V40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0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07" t="str">
        <f>IF(OR(tblRoster[[#This Row],[교직원상세구분]]="사회복무요원",tblRoster[[#This Row],[교직원상세구분]]="인턴(수습)"),"제외","포함")</f>
        <v>포함</v>
      </c>
      <c r="Y407">
        <f>1</f>
        <v>1</v>
      </c>
      <c r="Z407">
        <f>IF(tblRoster[[#This Row],[재직상태구분]]="휴직",1,0)</f>
        <v>0</v>
      </c>
      <c r="AA40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07">
        <f ca="1">IF(tblRoster[[#This Row],[본교발령시작일자]]="","",DATEDIF(tblRoster[[#This Row],[본교발령시작일자]],TODAY(),"Y"))</f>
        <v>3</v>
      </c>
      <c r="AC407">
        <f ca="1">IF(tblRoster[[#This Row],[최초발령시작일자]]="","",DATEDIF(tblRoster[[#This Row],[최초발령시작일자]],TODAY(),"Y"))</f>
        <v>3</v>
      </c>
      <c r="AD40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07">
        <f ca="1">IF(tblRoster[[#This Row],[직급발령시작일자]]="","",ROUND(YEARFRAC(tblRoster[[#This Row],[직급발령시작일자]],TODAY()),1))</f>
        <v>3.7</v>
      </c>
      <c r="AF40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7" t="str">
        <f ca="1">IF(OR(tblRoster[[#This Row],[공무원구분]]&lt;&gt;"공무원",tblRoster[[#This Row],[나이]]=""),"",YEAR(TODAY())+(60-tblRoster[[#This Row],[나이]]))</f>
        <v/>
      </c>
      <c r="AH407" t="str">
        <f>IF(tblRoster[[#This Row],[직위]]="","일반","보직자")</f>
        <v>일반</v>
      </c>
      <c r="AI40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7" t="str">
        <f ca="1">IF(tblRoster[[#This Row],[복직예정일]]="","",TEXT(tblRoster[[#This Row],[복직예정일]],"yyyy-mm"))</f>
        <v/>
      </c>
      <c r="AM407" t="str">
        <f ca="1">IF(tblRoster[[#This Row],[복직예정일]]="","",tblRoster[[#This Row],[복직예정일]]-TODAY())</f>
        <v/>
      </c>
      <c r="AN407" t="str">
        <f ca="1">IF(tblRoster[[#This Row],[휴직잔여일수]]="","",IF(tblRoster[[#This Row],[휴직잔여일수]]&lt;=180,"6개월내","6개월이후"))</f>
        <v/>
      </c>
      <c r="AO40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8" spans="1:41" x14ac:dyDescent="0.3">
      <c r="A408">
        <v>900406</v>
      </c>
      <c r="B408" t="s">
        <v>621</v>
      </c>
      <c r="C408" t="s">
        <v>8</v>
      </c>
      <c r="D408">
        <v>36</v>
      </c>
      <c r="E408" t="s">
        <v>128</v>
      </c>
      <c r="F408" t="s">
        <v>158</v>
      </c>
      <c r="G408" t="s">
        <v>202</v>
      </c>
      <c r="H408" t="s">
        <v>296</v>
      </c>
      <c r="I408" t="s">
        <v>132</v>
      </c>
      <c r="J408" t="s">
        <v>133</v>
      </c>
      <c r="L408" t="s">
        <v>134</v>
      </c>
      <c r="M408" t="s">
        <v>135</v>
      </c>
      <c r="N408" s="1">
        <v>43617</v>
      </c>
      <c r="O408" s="1">
        <v>46327</v>
      </c>
      <c r="P408" s="1">
        <v>46327</v>
      </c>
      <c r="Q408" s="1">
        <v>46327</v>
      </c>
      <c r="R408">
        <v>9</v>
      </c>
      <c r="T40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08" t="str">
        <f>IF(tblRoster[[#This Row],[급수]]="4급(임기제)","4급",tblRoster[[#This Row],[급수]])</f>
        <v>대학회계계약직</v>
      </c>
      <c r="V40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0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08" t="str">
        <f>IF(OR(tblRoster[[#This Row],[교직원상세구분]]="사회복무요원",tblRoster[[#This Row],[교직원상세구분]]="인턴(수습)"),"제외","포함")</f>
        <v>포함</v>
      </c>
      <c r="Y408">
        <f>1</f>
        <v>1</v>
      </c>
      <c r="Z408">
        <f>IF(tblRoster[[#This Row],[재직상태구분]]="휴직",1,0)</f>
        <v>0</v>
      </c>
      <c r="AA40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08" t="e">
        <f ca="1">IF(tblRoster[[#This Row],[본교발령시작일자]]="","",DATEDIF(tblRoster[[#This Row],[본교발령시작일자]],TODAY(),"Y"))</f>
        <v>#NUM!</v>
      </c>
      <c r="AC408">
        <f ca="1">IF(tblRoster[[#This Row],[최초발령시작일자]]="","",DATEDIF(tblRoster[[#This Row],[최초발령시작일자]],TODAY(),"Y"))</f>
        <v>7</v>
      </c>
      <c r="AD40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08">
        <f ca="1">IF(tblRoster[[#This Row],[직급발령시작일자]]="","",ROUND(YEARFRAC(tblRoster[[#This Row],[직급발령시작일자]],TODAY()),1))</f>
        <v>0.2</v>
      </c>
      <c r="AF40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8" t="str">
        <f ca="1">IF(OR(tblRoster[[#This Row],[공무원구분]]&lt;&gt;"공무원",tblRoster[[#This Row],[나이]]=""),"",YEAR(TODAY())+(60-tblRoster[[#This Row],[나이]]))</f>
        <v/>
      </c>
      <c r="AH408" t="str">
        <f>IF(tblRoster[[#This Row],[직위]]="","일반","보직자")</f>
        <v>일반</v>
      </c>
      <c r="AI40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8" t="str">
        <f ca="1">IF(tblRoster[[#This Row],[복직예정일]]="","",TEXT(tblRoster[[#This Row],[복직예정일]],"yyyy-mm"))</f>
        <v/>
      </c>
      <c r="AM408" t="str">
        <f ca="1">IF(tblRoster[[#This Row],[복직예정일]]="","",tblRoster[[#This Row],[복직예정일]]-TODAY())</f>
        <v/>
      </c>
      <c r="AN408" t="str">
        <f ca="1">IF(tblRoster[[#This Row],[휴직잔여일수]]="","",IF(tblRoster[[#This Row],[휴직잔여일수]]&lt;=180,"6개월내","6개월이후"))</f>
        <v/>
      </c>
      <c r="AO40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09" spans="1:41" x14ac:dyDescent="0.3">
      <c r="A409">
        <v>900407</v>
      </c>
      <c r="B409" t="s">
        <v>622</v>
      </c>
      <c r="C409" t="s">
        <v>8</v>
      </c>
      <c r="D409">
        <v>33</v>
      </c>
      <c r="E409" t="s">
        <v>150</v>
      </c>
      <c r="F409" t="s">
        <v>179</v>
      </c>
      <c r="G409" t="s">
        <v>155</v>
      </c>
      <c r="H409" t="s">
        <v>180</v>
      </c>
      <c r="I409" t="s">
        <v>144</v>
      </c>
      <c r="J409" t="s">
        <v>145</v>
      </c>
      <c r="L409" t="s">
        <v>135</v>
      </c>
      <c r="M409" t="s">
        <v>135</v>
      </c>
      <c r="N409" s="1">
        <v>45778</v>
      </c>
      <c r="O409" s="1">
        <v>45597</v>
      </c>
      <c r="P409" s="1">
        <v>46054</v>
      </c>
      <c r="Q409" s="1">
        <v>46054</v>
      </c>
      <c r="R409">
        <v>2</v>
      </c>
      <c r="T40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09" t="str">
        <f>IF(tblRoster[[#This Row],[급수]]="4급(임기제)","4급",tblRoster[[#This Row],[급수]])</f>
        <v>7급</v>
      </c>
      <c r="V40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0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09" t="str">
        <f>IF(OR(tblRoster[[#This Row],[교직원상세구분]]="사회복무요원",tblRoster[[#This Row],[교직원상세구분]]="인턴(수습)"),"제외","포함")</f>
        <v>포함</v>
      </c>
      <c r="Y409">
        <f>1</f>
        <v>1</v>
      </c>
      <c r="Z409">
        <f>IF(tblRoster[[#This Row],[재직상태구분]]="휴직",1,0)</f>
        <v>0</v>
      </c>
      <c r="AA40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09">
        <f ca="1">IF(tblRoster[[#This Row],[본교발령시작일자]]="","",DATEDIF(tblRoster[[#This Row],[본교발령시작일자]],TODAY(),"Y"))</f>
        <v>1</v>
      </c>
      <c r="AC409">
        <f ca="1">IF(tblRoster[[#This Row],[최초발령시작일자]]="","",DATEDIF(tblRoster[[#This Row],[최초발령시작일자]],TODAY(),"Y"))</f>
        <v>1</v>
      </c>
      <c r="AD40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09">
        <f ca="1">IF(tblRoster[[#This Row],[직급발령시작일자]]="","",ROUND(YEARFRAC(tblRoster[[#This Row],[직급발령시작일자]],TODAY()),1))</f>
        <v>0.6</v>
      </c>
      <c r="AF40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09">
        <f ca="1">IF(OR(tblRoster[[#This Row],[공무원구분]]&lt;&gt;"공무원",tblRoster[[#This Row],[나이]]=""),"",YEAR(TODAY())+(60-tblRoster[[#This Row],[나이]]))</f>
        <v>2053</v>
      </c>
      <c r="AH409" t="str">
        <f>IF(tblRoster[[#This Row],[직위]]="","일반","보직자")</f>
        <v>일반</v>
      </c>
      <c r="AI40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0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0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09" t="str">
        <f ca="1">IF(tblRoster[[#This Row],[복직예정일]]="","",TEXT(tblRoster[[#This Row],[복직예정일]],"yyyy-mm"))</f>
        <v/>
      </c>
      <c r="AM409" t="str">
        <f ca="1">IF(tblRoster[[#This Row],[복직예정일]]="","",tblRoster[[#This Row],[복직예정일]]-TODAY())</f>
        <v/>
      </c>
      <c r="AN409" t="str">
        <f ca="1">IF(tblRoster[[#This Row],[휴직잔여일수]]="","",IF(tblRoster[[#This Row],[휴직잔여일수]]&lt;=180,"6개월내","6개월이후"))</f>
        <v/>
      </c>
      <c r="AO40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0" spans="1:41" x14ac:dyDescent="0.3">
      <c r="A410">
        <v>900408</v>
      </c>
      <c r="B410" t="s">
        <v>623</v>
      </c>
      <c r="C410" t="s">
        <v>8</v>
      </c>
      <c r="D410">
        <v>55</v>
      </c>
      <c r="E410" t="s">
        <v>128</v>
      </c>
      <c r="F410" t="s">
        <v>184</v>
      </c>
      <c r="G410" t="s">
        <v>182</v>
      </c>
      <c r="H410" t="s">
        <v>198</v>
      </c>
      <c r="I410" t="s">
        <v>144</v>
      </c>
      <c r="J410" t="s">
        <v>145</v>
      </c>
      <c r="L410" t="s">
        <v>135</v>
      </c>
      <c r="M410" t="s">
        <v>135</v>
      </c>
      <c r="N410" s="1">
        <v>40787</v>
      </c>
      <c r="O410" s="1">
        <v>46082</v>
      </c>
      <c r="P410" s="1">
        <v>46082</v>
      </c>
      <c r="Q410" s="1">
        <v>46082</v>
      </c>
      <c r="R410">
        <v>17</v>
      </c>
      <c r="T41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10" t="str">
        <f>IF(tblRoster[[#This Row],[급수]]="4급(임기제)","4급",tblRoster[[#This Row],[급수]])</f>
        <v>7급</v>
      </c>
      <c r="V41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1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10" t="str">
        <f>IF(OR(tblRoster[[#This Row],[교직원상세구분]]="사회복무요원",tblRoster[[#This Row],[교직원상세구분]]="인턴(수습)"),"제외","포함")</f>
        <v>포함</v>
      </c>
      <c r="Y410">
        <f>1</f>
        <v>1</v>
      </c>
      <c r="Z410">
        <f>IF(tblRoster[[#This Row],[재직상태구분]]="휴직",1,0)</f>
        <v>0</v>
      </c>
      <c r="AA41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10">
        <f ca="1">IF(tblRoster[[#This Row],[본교발령시작일자]]="","",DATEDIF(tblRoster[[#This Row],[본교발령시작일자]],TODAY(),"Y"))</f>
        <v>0</v>
      </c>
      <c r="AC410">
        <f ca="1">IF(tblRoster[[#This Row],[최초발령시작일자]]="","",DATEDIF(tblRoster[[#This Row],[최초발령시작일자]],TODAY(),"Y"))</f>
        <v>15</v>
      </c>
      <c r="AD41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10">
        <f ca="1">IF(tblRoster[[#This Row],[직급발령시작일자]]="","",ROUND(YEARFRAC(tblRoster[[#This Row],[직급발령시작일자]],TODAY()),1))</f>
        <v>0.5</v>
      </c>
      <c r="AF41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0">
        <f ca="1">IF(OR(tblRoster[[#This Row],[공무원구분]]&lt;&gt;"공무원",tblRoster[[#This Row],[나이]]=""),"",YEAR(TODAY())+(60-tblRoster[[#This Row],[나이]]))</f>
        <v>2031</v>
      </c>
      <c r="AH410" t="str">
        <f>IF(tblRoster[[#This Row],[직위]]="","일반","보직자")</f>
        <v>일반</v>
      </c>
      <c r="AI41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0" t="str">
        <f ca="1">IF(tblRoster[[#This Row],[복직예정일]]="","",TEXT(tblRoster[[#This Row],[복직예정일]],"yyyy-mm"))</f>
        <v/>
      </c>
      <c r="AM410" t="str">
        <f ca="1">IF(tblRoster[[#This Row],[복직예정일]]="","",tblRoster[[#This Row],[복직예정일]]-TODAY())</f>
        <v/>
      </c>
      <c r="AN410" t="str">
        <f ca="1">IF(tblRoster[[#This Row],[휴직잔여일수]]="","",IF(tblRoster[[#This Row],[휴직잔여일수]]&lt;=180,"6개월내","6개월이후"))</f>
        <v/>
      </c>
      <c r="AO41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1" spans="1:41" x14ac:dyDescent="0.3">
      <c r="A411">
        <v>900409</v>
      </c>
      <c r="B411" t="s">
        <v>624</v>
      </c>
      <c r="C411" t="s">
        <v>8</v>
      </c>
      <c r="D411">
        <v>54</v>
      </c>
      <c r="E411" t="s">
        <v>128</v>
      </c>
      <c r="F411" t="s">
        <v>216</v>
      </c>
      <c r="G411" t="s">
        <v>142</v>
      </c>
      <c r="H411" t="s">
        <v>175</v>
      </c>
      <c r="I411" t="s">
        <v>144</v>
      </c>
      <c r="J411" t="s">
        <v>145</v>
      </c>
      <c r="L411" t="s">
        <v>135</v>
      </c>
      <c r="M411" t="s">
        <v>135</v>
      </c>
      <c r="N411" s="1">
        <v>36161</v>
      </c>
      <c r="O411" s="1">
        <v>36161</v>
      </c>
      <c r="P411" s="1">
        <v>42036</v>
      </c>
      <c r="Q411" s="1">
        <v>42036</v>
      </c>
      <c r="R411">
        <v>27</v>
      </c>
      <c r="T41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11" t="str">
        <f>IF(tblRoster[[#This Row],[급수]]="4급(임기제)","4급",tblRoster[[#This Row],[급수]])</f>
        <v>9급</v>
      </c>
      <c r="V41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1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11" t="str">
        <f>IF(OR(tblRoster[[#This Row],[교직원상세구분]]="사회복무요원",tblRoster[[#This Row],[교직원상세구분]]="인턴(수습)"),"제외","포함")</f>
        <v>포함</v>
      </c>
      <c r="Y411">
        <f>1</f>
        <v>1</v>
      </c>
      <c r="Z411">
        <f>IF(tblRoster[[#This Row],[재직상태구분]]="휴직",1,0)</f>
        <v>0</v>
      </c>
      <c r="AA41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11">
        <f ca="1">IF(tblRoster[[#This Row],[본교발령시작일자]]="","",DATEDIF(tblRoster[[#This Row],[본교발령시작일자]],TODAY(),"Y"))</f>
        <v>27</v>
      </c>
      <c r="AC411">
        <f ca="1">IF(tblRoster[[#This Row],[최초발령시작일자]]="","",DATEDIF(tblRoster[[#This Row],[최초발령시작일자]],TODAY(),"Y"))</f>
        <v>27</v>
      </c>
      <c r="AD41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11">
        <f ca="1">IF(tblRoster[[#This Row],[직급발령시작일자]]="","",ROUND(YEARFRAC(tblRoster[[#This Row],[직급발령시작일자]],TODAY()),1))</f>
        <v>11.6</v>
      </c>
      <c r="AF411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11">
        <f ca="1">IF(OR(tblRoster[[#This Row],[공무원구분]]&lt;&gt;"공무원",tblRoster[[#This Row],[나이]]=""),"",YEAR(TODAY())+(60-tblRoster[[#This Row],[나이]]))</f>
        <v>2032</v>
      </c>
      <c r="AH411" t="str">
        <f>IF(tblRoster[[#This Row],[직위]]="","일반","보직자")</f>
        <v>일반</v>
      </c>
      <c r="AI41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1" t="str">
        <f ca="1">IF(tblRoster[[#This Row],[복직예정일]]="","",TEXT(tblRoster[[#This Row],[복직예정일]],"yyyy-mm"))</f>
        <v/>
      </c>
      <c r="AM411" t="str">
        <f ca="1">IF(tblRoster[[#This Row],[복직예정일]]="","",tblRoster[[#This Row],[복직예정일]]-TODAY())</f>
        <v/>
      </c>
      <c r="AN411" t="str">
        <f ca="1">IF(tblRoster[[#This Row],[휴직잔여일수]]="","",IF(tblRoster[[#This Row],[휴직잔여일수]]&lt;=180,"6개월내","6개월이후"))</f>
        <v/>
      </c>
      <c r="AO41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2" spans="1:41" x14ac:dyDescent="0.3">
      <c r="A412">
        <v>900410</v>
      </c>
      <c r="B412" t="s">
        <v>625</v>
      </c>
      <c r="C412" t="s">
        <v>8</v>
      </c>
      <c r="D412">
        <v>55</v>
      </c>
      <c r="E412" t="s">
        <v>150</v>
      </c>
      <c r="F412" t="s">
        <v>158</v>
      </c>
      <c r="G412" t="s">
        <v>130</v>
      </c>
      <c r="H412" t="s">
        <v>193</v>
      </c>
      <c r="I412" t="s">
        <v>144</v>
      </c>
      <c r="J412" t="s">
        <v>145</v>
      </c>
      <c r="L412" t="s">
        <v>134</v>
      </c>
      <c r="M412" t="s">
        <v>135</v>
      </c>
      <c r="N412" s="1">
        <v>36951</v>
      </c>
      <c r="O412" s="1">
        <v>45139</v>
      </c>
      <c r="P412" s="1">
        <v>45444</v>
      </c>
      <c r="Q412" s="1">
        <v>45444</v>
      </c>
      <c r="R412">
        <v>26</v>
      </c>
      <c r="T41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412" t="str">
        <f>IF(tblRoster[[#This Row],[급수]]="4급(임기제)","4급",tblRoster[[#This Row],[급수]])</f>
        <v>4급</v>
      </c>
      <c r="V41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41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12" t="str">
        <f>IF(OR(tblRoster[[#This Row],[교직원상세구분]]="사회복무요원",tblRoster[[#This Row],[교직원상세구분]]="인턴(수습)"),"제외","포함")</f>
        <v>포함</v>
      </c>
      <c r="Y412">
        <f>1</f>
        <v>1</v>
      </c>
      <c r="Z412">
        <f>IF(tblRoster[[#This Row],[재직상태구분]]="휴직",1,0)</f>
        <v>0</v>
      </c>
      <c r="AA41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12">
        <f ca="1">IF(tblRoster[[#This Row],[본교발령시작일자]]="","",DATEDIF(tblRoster[[#This Row],[본교발령시작일자]],TODAY(),"Y"))</f>
        <v>3</v>
      </c>
      <c r="AC412">
        <f ca="1">IF(tblRoster[[#This Row],[최초발령시작일자]]="","",DATEDIF(tblRoster[[#This Row],[최초발령시작일자]],TODAY(),"Y"))</f>
        <v>25</v>
      </c>
      <c r="AD41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12">
        <f ca="1">IF(tblRoster[[#This Row],[직급발령시작일자]]="","",ROUND(YEARFRAC(tblRoster[[#This Row],[직급발령시작일자]],TODAY()),1))</f>
        <v>2.2999999999999998</v>
      </c>
      <c r="AF41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2">
        <f ca="1">IF(OR(tblRoster[[#This Row],[공무원구분]]&lt;&gt;"공무원",tblRoster[[#This Row],[나이]]=""),"",YEAR(TODAY())+(60-tblRoster[[#This Row],[나이]]))</f>
        <v>2031</v>
      </c>
      <c r="AH412" t="str">
        <f>IF(tblRoster[[#This Row],[직위]]="","일반","보직자")</f>
        <v>일반</v>
      </c>
      <c r="AI41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2" t="str">
        <f ca="1">IF(tblRoster[[#This Row],[복직예정일]]="","",TEXT(tblRoster[[#This Row],[복직예정일]],"yyyy-mm"))</f>
        <v/>
      </c>
      <c r="AM412" t="str">
        <f ca="1">IF(tblRoster[[#This Row],[복직예정일]]="","",tblRoster[[#This Row],[복직예정일]]-TODAY())</f>
        <v/>
      </c>
      <c r="AN412" t="str">
        <f ca="1">IF(tblRoster[[#This Row],[휴직잔여일수]]="","",IF(tblRoster[[#This Row],[휴직잔여일수]]&lt;=180,"6개월내","6개월이후"))</f>
        <v/>
      </c>
      <c r="AO41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3" spans="1:41" x14ac:dyDescent="0.3">
      <c r="A413">
        <v>900411</v>
      </c>
      <c r="B413" t="s">
        <v>626</v>
      </c>
      <c r="C413" t="s">
        <v>8</v>
      </c>
      <c r="D413">
        <v>32</v>
      </c>
      <c r="E413" t="s">
        <v>150</v>
      </c>
      <c r="F413" t="s">
        <v>184</v>
      </c>
      <c r="G413" t="s">
        <v>138</v>
      </c>
      <c r="H413" t="s">
        <v>275</v>
      </c>
      <c r="I413" t="s">
        <v>144</v>
      </c>
      <c r="J413" t="s">
        <v>145</v>
      </c>
      <c r="L413" t="s">
        <v>135</v>
      </c>
      <c r="M413" t="s">
        <v>135</v>
      </c>
      <c r="N413" s="1">
        <v>45748</v>
      </c>
      <c r="O413" s="1">
        <v>45748</v>
      </c>
      <c r="P413" s="1">
        <v>45748</v>
      </c>
      <c r="Q413" s="1">
        <v>45748</v>
      </c>
      <c r="R413">
        <v>4</v>
      </c>
      <c r="T41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13" t="str">
        <f>IF(tblRoster[[#This Row],[급수]]="4급(임기제)","4급",tblRoster[[#This Row],[급수]])</f>
        <v>7급</v>
      </c>
      <c r="V41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1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13" t="str">
        <f>IF(OR(tblRoster[[#This Row],[교직원상세구분]]="사회복무요원",tblRoster[[#This Row],[교직원상세구분]]="인턴(수습)"),"제외","포함")</f>
        <v>포함</v>
      </c>
      <c r="Y413">
        <f>1</f>
        <v>1</v>
      </c>
      <c r="Z413">
        <f>IF(tblRoster[[#This Row],[재직상태구분]]="휴직",1,0)</f>
        <v>0</v>
      </c>
      <c r="AA41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13">
        <f ca="1">IF(tblRoster[[#This Row],[본교발령시작일자]]="","",DATEDIF(tblRoster[[#This Row],[본교발령시작일자]],TODAY(),"Y"))</f>
        <v>1</v>
      </c>
      <c r="AC413">
        <f ca="1">IF(tblRoster[[#This Row],[최초발령시작일자]]="","",DATEDIF(tblRoster[[#This Row],[최초발령시작일자]],TODAY(),"Y"))</f>
        <v>1</v>
      </c>
      <c r="AD41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13">
        <f ca="1">IF(tblRoster[[#This Row],[직급발령시작일자]]="","",ROUND(YEARFRAC(tblRoster[[#This Row],[직급발령시작일자]],TODAY()),1))</f>
        <v>1.4</v>
      </c>
      <c r="AF41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3">
        <f ca="1">IF(OR(tblRoster[[#This Row],[공무원구분]]&lt;&gt;"공무원",tblRoster[[#This Row],[나이]]=""),"",YEAR(TODAY())+(60-tblRoster[[#This Row],[나이]]))</f>
        <v>2054</v>
      </c>
      <c r="AH413" t="str">
        <f>IF(tblRoster[[#This Row],[직위]]="","일반","보직자")</f>
        <v>일반</v>
      </c>
      <c r="AI41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3" t="str">
        <f ca="1">IF(tblRoster[[#This Row],[복직예정일]]="","",TEXT(tblRoster[[#This Row],[복직예정일]],"yyyy-mm"))</f>
        <v/>
      </c>
      <c r="AM413" t="str">
        <f ca="1">IF(tblRoster[[#This Row],[복직예정일]]="","",tblRoster[[#This Row],[복직예정일]]-TODAY())</f>
        <v/>
      </c>
      <c r="AN413" t="str">
        <f ca="1">IF(tblRoster[[#This Row],[휴직잔여일수]]="","",IF(tblRoster[[#This Row],[휴직잔여일수]]&lt;=180,"6개월내","6개월이후"))</f>
        <v/>
      </c>
      <c r="AO41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4" spans="1:41" x14ac:dyDescent="0.3">
      <c r="A414">
        <v>900412</v>
      </c>
      <c r="B414" t="s">
        <v>627</v>
      </c>
      <c r="C414" t="s">
        <v>8</v>
      </c>
      <c r="D414">
        <v>33</v>
      </c>
      <c r="E414" t="s">
        <v>128</v>
      </c>
      <c r="F414" t="s">
        <v>141</v>
      </c>
      <c r="G414" t="s">
        <v>151</v>
      </c>
      <c r="H414" t="s">
        <v>252</v>
      </c>
      <c r="I414" t="s">
        <v>132</v>
      </c>
      <c r="J414" t="s">
        <v>133</v>
      </c>
      <c r="L414" t="s">
        <v>134</v>
      </c>
      <c r="M414" t="s">
        <v>135</v>
      </c>
      <c r="N414" s="1">
        <v>43313</v>
      </c>
      <c r="O414" s="1">
        <v>44348</v>
      </c>
      <c r="P414" s="1">
        <v>44348</v>
      </c>
      <c r="Q414" s="1">
        <v>44348</v>
      </c>
      <c r="R414">
        <v>8</v>
      </c>
      <c r="T41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14" t="str">
        <f>IF(tblRoster[[#This Row],[급수]]="4급(임기제)","4급",tblRoster[[#This Row],[급수]])</f>
        <v>대학회계계약직</v>
      </c>
      <c r="V41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1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14" t="str">
        <f>IF(OR(tblRoster[[#This Row],[교직원상세구분]]="사회복무요원",tblRoster[[#This Row],[교직원상세구분]]="인턴(수습)"),"제외","포함")</f>
        <v>포함</v>
      </c>
      <c r="Y414">
        <f>1</f>
        <v>1</v>
      </c>
      <c r="Z414">
        <f>IF(tblRoster[[#This Row],[재직상태구분]]="휴직",1,0)</f>
        <v>0</v>
      </c>
      <c r="AA41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14">
        <f ca="1">IF(tblRoster[[#This Row],[본교발령시작일자]]="","",DATEDIF(tblRoster[[#This Row],[본교발령시작일자]],TODAY(),"Y"))</f>
        <v>5</v>
      </c>
      <c r="AC414">
        <f ca="1">IF(tblRoster[[#This Row],[최초발령시작일자]]="","",DATEDIF(tblRoster[[#This Row],[최초발령시작일자]],TODAY(),"Y"))</f>
        <v>8</v>
      </c>
      <c r="AD41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14">
        <f ca="1">IF(tblRoster[[#This Row],[직급발령시작일자]]="","",ROUND(YEARFRAC(tblRoster[[#This Row],[직급발령시작일자]],TODAY()),1))</f>
        <v>5.3</v>
      </c>
      <c r="AF41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14" t="str">
        <f ca="1">IF(OR(tblRoster[[#This Row],[공무원구분]]&lt;&gt;"공무원",tblRoster[[#This Row],[나이]]=""),"",YEAR(TODAY())+(60-tblRoster[[#This Row],[나이]]))</f>
        <v/>
      </c>
      <c r="AH414" t="str">
        <f>IF(tblRoster[[#This Row],[직위]]="","일반","보직자")</f>
        <v>일반</v>
      </c>
      <c r="AI41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4" t="str">
        <f ca="1">IF(tblRoster[[#This Row],[복직예정일]]="","",TEXT(tblRoster[[#This Row],[복직예정일]],"yyyy-mm"))</f>
        <v/>
      </c>
      <c r="AM414" t="str">
        <f ca="1">IF(tblRoster[[#This Row],[복직예정일]]="","",tblRoster[[#This Row],[복직예정일]]-TODAY())</f>
        <v/>
      </c>
      <c r="AN414" t="str">
        <f ca="1">IF(tblRoster[[#This Row],[휴직잔여일수]]="","",IF(tblRoster[[#This Row],[휴직잔여일수]]&lt;=180,"6개월내","6개월이후"))</f>
        <v/>
      </c>
      <c r="AO41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5" spans="1:41" x14ac:dyDescent="0.3">
      <c r="A415">
        <v>900413</v>
      </c>
      <c r="B415" t="s">
        <v>90</v>
      </c>
      <c r="C415" t="s">
        <v>16</v>
      </c>
      <c r="D415">
        <v>40</v>
      </c>
      <c r="E415" t="s">
        <v>128</v>
      </c>
      <c r="F415" t="s">
        <v>162</v>
      </c>
      <c r="G415" t="s">
        <v>130</v>
      </c>
      <c r="H415" t="s">
        <v>175</v>
      </c>
      <c r="I415" t="s">
        <v>144</v>
      </c>
      <c r="J415" t="s">
        <v>145</v>
      </c>
      <c r="L415" t="s">
        <v>134</v>
      </c>
      <c r="M415" t="s">
        <v>135</v>
      </c>
      <c r="N415" s="1">
        <v>45413</v>
      </c>
      <c r="O415" s="1">
        <v>45748</v>
      </c>
      <c r="P415" s="1">
        <v>46023</v>
      </c>
      <c r="Q415" s="1">
        <v>46023</v>
      </c>
      <c r="R415">
        <v>5</v>
      </c>
      <c r="S415" t="s">
        <v>628</v>
      </c>
      <c r="T41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15" t="str">
        <f>IF(tblRoster[[#This Row],[급수]]="4급(임기제)","4급",tblRoster[[#This Row],[급수]])</f>
        <v>9급</v>
      </c>
      <c r="V41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1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15" t="str">
        <f>IF(OR(tblRoster[[#This Row],[교직원상세구분]]="사회복무요원",tblRoster[[#This Row],[교직원상세구분]]="인턴(수습)"),"제외","포함")</f>
        <v>포함</v>
      </c>
      <c r="Y415">
        <f>1</f>
        <v>1</v>
      </c>
      <c r="Z415">
        <f>IF(tblRoster[[#This Row],[재직상태구분]]="휴직",1,0)</f>
        <v>1</v>
      </c>
      <c r="AA41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15">
        <f ca="1">IF(tblRoster[[#This Row],[본교발령시작일자]]="","",DATEDIF(tblRoster[[#This Row],[본교발령시작일자]],TODAY(),"Y"))</f>
        <v>1</v>
      </c>
      <c r="AC415">
        <f ca="1">IF(tblRoster[[#This Row],[최초발령시작일자]]="","",DATEDIF(tblRoster[[#This Row],[최초발령시작일자]],TODAY(),"Y"))</f>
        <v>2</v>
      </c>
      <c r="AD41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15">
        <f ca="1">IF(tblRoster[[#This Row],[직급발령시작일자]]="","",ROUND(YEARFRAC(tblRoster[[#This Row],[직급발령시작일자]],TODAY()),1))</f>
        <v>0.7</v>
      </c>
      <c r="AF41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5">
        <f ca="1">IF(OR(tblRoster[[#This Row],[공무원구분]]&lt;&gt;"공무원",tblRoster[[#This Row],[나이]]=""),"",YEAR(TODAY())+(60-tblRoster[[#This Row],[나이]]))</f>
        <v>2046</v>
      </c>
      <c r="AH415" t="str">
        <f>IF(tblRoster[[#This Row],[직위]]="","일반","보직자")</f>
        <v>일반</v>
      </c>
      <c r="AI415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46116</v>
      </c>
      <c r="AJ41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415" s="1">
        <f ca="1">IF(tblRoster[[#This Row],[현재휴직시작일]]="","",IFERROR(INDEX(tblLeave[종료일],MATCH(tblRoster[[#This Row],[교직원번호]]&amp;"|"&amp;tblRoster[[#This Row],[현재휴직시작일]],tblLeave[매칭키],0)),""))</f>
        <v>46299</v>
      </c>
      <c r="AL415" t="str">
        <f ca="1">IF(tblRoster[[#This Row],[복직예정일]]="","",TEXT(tblRoster[[#This Row],[복직예정일]],"yyyy-mm"))</f>
        <v>2026-10</v>
      </c>
      <c r="AM415">
        <f ca="1">IF(tblRoster[[#This Row],[복직예정일]]="","",tblRoster[[#This Row],[복직예정일]]-TODAY())</f>
        <v>27</v>
      </c>
      <c r="AN415" t="str">
        <f ca="1">IF(tblRoster[[#This Row],[휴직잔여일수]]="","",IF(tblRoster[[#This Row],[휴직잔여일수]]&lt;=180,"6개월내","6개월이후"))</f>
        <v>6개월내</v>
      </c>
      <c r="AO41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6" spans="1:41" x14ac:dyDescent="0.3">
      <c r="A416">
        <v>900414</v>
      </c>
      <c r="B416" t="s">
        <v>629</v>
      </c>
      <c r="C416" t="s">
        <v>8</v>
      </c>
      <c r="D416">
        <v>49</v>
      </c>
      <c r="E416" t="s">
        <v>150</v>
      </c>
      <c r="F416" t="s">
        <v>147</v>
      </c>
      <c r="G416" t="s">
        <v>173</v>
      </c>
      <c r="H416" t="s">
        <v>148</v>
      </c>
      <c r="I416" t="s">
        <v>132</v>
      </c>
      <c r="J416" t="s">
        <v>133</v>
      </c>
      <c r="L416" t="s">
        <v>135</v>
      </c>
      <c r="M416" t="s">
        <v>135</v>
      </c>
      <c r="N416" s="1">
        <v>41275</v>
      </c>
      <c r="O416" s="1">
        <v>41275</v>
      </c>
      <c r="P416" s="1">
        <v>45261</v>
      </c>
      <c r="Q416" s="1">
        <v>45261</v>
      </c>
      <c r="R416">
        <v>15</v>
      </c>
      <c r="T41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16" t="str">
        <f>IF(tblRoster[[#This Row],[급수]]="4급(임기제)","4급",tblRoster[[#This Row],[급수]])</f>
        <v>대학회계계약직</v>
      </c>
      <c r="V41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1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16" t="str">
        <f>IF(OR(tblRoster[[#This Row],[교직원상세구분]]="사회복무요원",tblRoster[[#This Row],[교직원상세구분]]="인턴(수습)"),"제외","포함")</f>
        <v>포함</v>
      </c>
      <c r="Y416">
        <f>1</f>
        <v>1</v>
      </c>
      <c r="Z416">
        <f>IF(tblRoster[[#This Row],[재직상태구분]]="휴직",1,0)</f>
        <v>0</v>
      </c>
      <c r="AA41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16">
        <f ca="1">IF(tblRoster[[#This Row],[본교발령시작일자]]="","",DATEDIF(tblRoster[[#This Row],[본교발령시작일자]],TODAY(),"Y"))</f>
        <v>13</v>
      </c>
      <c r="AC416">
        <f ca="1">IF(tblRoster[[#This Row],[최초발령시작일자]]="","",DATEDIF(tblRoster[[#This Row],[최초발령시작일자]],TODAY(),"Y"))</f>
        <v>13</v>
      </c>
      <c r="AD41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16">
        <f ca="1">IF(tblRoster[[#This Row],[직급발령시작일자]]="","",ROUND(YEARFRAC(tblRoster[[#This Row],[직급발령시작일자]],TODAY()),1))</f>
        <v>2.8</v>
      </c>
      <c r="AF41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6" t="str">
        <f ca="1">IF(OR(tblRoster[[#This Row],[공무원구분]]&lt;&gt;"공무원",tblRoster[[#This Row],[나이]]=""),"",YEAR(TODAY())+(60-tblRoster[[#This Row],[나이]]))</f>
        <v/>
      </c>
      <c r="AH416" t="str">
        <f>IF(tblRoster[[#This Row],[직위]]="","일반","보직자")</f>
        <v>일반</v>
      </c>
      <c r="AI41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6" t="str">
        <f ca="1">IF(tblRoster[[#This Row],[복직예정일]]="","",TEXT(tblRoster[[#This Row],[복직예정일]],"yyyy-mm"))</f>
        <v/>
      </c>
      <c r="AM416" t="str">
        <f ca="1">IF(tblRoster[[#This Row],[복직예정일]]="","",tblRoster[[#This Row],[복직예정일]]-TODAY())</f>
        <v/>
      </c>
      <c r="AN416" t="str">
        <f ca="1">IF(tblRoster[[#This Row],[휴직잔여일수]]="","",IF(tblRoster[[#This Row],[휴직잔여일수]]&lt;=180,"6개월내","6개월이후"))</f>
        <v/>
      </c>
      <c r="AO41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7" spans="1:41" x14ac:dyDescent="0.3">
      <c r="A417">
        <v>900415</v>
      </c>
      <c r="B417" t="s">
        <v>630</v>
      </c>
      <c r="C417" t="s">
        <v>8</v>
      </c>
      <c r="D417">
        <v>43</v>
      </c>
      <c r="E417" t="s">
        <v>150</v>
      </c>
      <c r="F417" t="s">
        <v>147</v>
      </c>
      <c r="G417" t="s">
        <v>222</v>
      </c>
      <c r="H417" t="s">
        <v>163</v>
      </c>
      <c r="I417" t="s">
        <v>144</v>
      </c>
      <c r="J417" t="s">
        <v>145</v>
      </c>
      <c r="L417" t="s">
        <v>135</v>
      </c>
      <c r="M417" t="s">
        <v>135</v>
      </c>
      <c r="N417" s="1">
        <v>39934</v>
      </c>
      <c r="O417" s="1">
        <v>45689</v>
      </c>
      <c r="P417" s="1">
        <v>45689</v>
      </c>
      <c r="Q417" s="1">
        <v>45689</v>
      </c>
      <c r="R417">
        <v>17</v>
      </c>
      <c r="T41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17" t="str">
        <f>IF(tblRoster[[#This Row],[급수]]="4급(임기제)","4급",tblRoster[[#This Row],[급수]])</f>
        <v>6급</v>
      </c>
      <c r="V41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1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17" t="str">
        <f>IF(OR(tblRoster[[#This Row],[교직원상세구분]]="사회복무요원",tblRoster[[#This Row],[교직원상세구분]]="인턴(수습)"),"제외","포함")</f>
        <v>포함</v>
      </c>
      <c r="Y417">
        <f>1</f>
        <v>1</v>
      </c>
      <c r="Z417">
        <f>IF(tblRoster[[#This Row],[재직상태구분]]="휴직",1,0)</f>
        <v>0</v>
      </c>
      <c r="AA41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17">
        <f ca="1">IF(tblRoster[[#This Row],[본교발령시작일자]]="","",DATEDIF(tblRoster[[#This Row],[본교발령시작일자]],TODAY(),"Y"))</f>
        <v>1</v>
      </c>
      <c r="AC417">
        <f ca="1">IF(tblRoster[[#This Row],[최초발령시작일자]]="","",DATEDIF(tblRoster[[#This Row],[최초발령시작일자]],TODAY(),"Y"))</f>
        <v>17</v>
      </c>
      <c r="AD41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17">
        <f ca="1">IF(tblRoster[[#This Row],[직급발령시작일자]]="","",ROUND(YEARFRAC(tblRoster[[#This Row],[직급발령시작일자]],TODAY()),1))</f>
        <v>1.6</v>
      </c>
      <c r="AF41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7">
        <f ca="1">IF(OR(tblRoster[[#This Row],[공무원구분]]&lt;&gt;"공무원",tblRoster[[#This Row],[나이]]=""),"",YEAR(TODAY())+(60-tblRoster[[#This Row],[나이]]))</f>
        <v>2043</v>
      </c>
      <c r="AH417" t="str">
        <f>IF(tblRoster[[#This Row],[직위]]="","일반","보직자")</f>
        <v>일반</v>
      </c>
      <c r="AI41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7" t="str">
        <f ca="1">IF(tblRoster[[#This Row],[복직예정일]]="","",TEXT(tblRoster[[#This Row],[복직예정일]],"yyyy-mm"))</f>
        <v/>
      </c>
      <c r="AM417" t="str">
        <f ca="1">IF(tblRoster[[#This Row],[복직예정일]]="","",tblRoster[[#This Row],[복직예정일]]-TODAY())</f>
        <v/>
      </c>
      <c r="AN417" t="str">
        <f ca="1">IF(tblRoster[[#This Row],[휴직잔여일수]]="","",IF(tblRoster[[#This Row],[휴직잔여일수]]&lt;=180,"6개월내","6개월이후"))</f>
        <v/>
      </c>
      <c r="AO41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8" spans="1:41" x14ac:dyDescent="0.3">
      <c r="A418">
        <v>900416</v>
      </c>
      <c r="B418" t="s">
        <v>467</v>
      </c>
      <c r="C418" t="s">
        <v>8</v>
      </c>
      <c r="D418">
        <v>45</v>
      </c>
      <c r="E418" t="s">
        <v>150</v>
      </c>
      <c r="F418" t="s">
        <v>236</v>
      </c>
      <c r="G418" t="s">
        <v>155</v>
      </c>
      <c r="H418" t="s">
        <v>416</v>
      </c>
      <c r="I418" t="s">
        <v>132</v>
      </c>
      <c r="J418" t="s">
        <v>133</v>
      </c>
      <c r="L418" t="s">
        <v>135</v>
      </c>
      <c r="M418" t="s">
        <v>135</v>
      </c>
      <c r="N418" s="1">
        <v>44682</v>
      </c>
      <c r="O418" s="1">
        <v>44682</v>
      </c>
      <c r="P418" s="1">
        <v>44682</v>
      </c>
      <c r="Q418" s="1">
        <v>44682</v>
      </c>
      <c r="R418">
        <v>4</v>
      </c>
      <c r="T41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18" t="str">
        <f>IF(tblRoster[[#This Row],[급수]]="4급(임기제)","4급",tblRoster[[#This Row],[급수]])</f>
        <v>대학회계계약직</v>
      </c>
      <c r="V41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1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18" t="str">
        <f>IF(OR(tblRoster[[#This Row],[교직원상세구분]]="사회복무요원",tblRoster[[#This Row],[교직원상세구분]]="인턴(수습)"),"제외","포함")</f>
        <v>포함</v>
      </c>
      <c r="Y418">
        <f>1</f>
        <v>1</v>
      </c>
      <c r="Z418">
        <f>IF(tblRoster[[#This Row],[재직상태구분]]="휴직",1,0)</f>
        <v>0</v>
      </c>
      <c r="AA41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18">
        <f ca="1">IF(tblRoster[[#This Row],[본교발령시작일자]]="","",DATEDIF(tblRoster[[#This Row],[본교발령시작일자]],TODAY(),"Y"))</f>
        <v>4</v>
      </c>
      <c r="AC418">
        <f ca="1">IF(tblRoster[[#This Row],[최초발령시작일자]]="","",DATEDIF(tblRoster[[#This Row],[최초발령시작일자]],TODAY(),"Y"))</f>
        <v>4</v>
      </c>
      <c r="AD41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18">
        <f ca="1">IF(tblRoster[[#This Row],[직급발령시작일자]]="","",ROUND(YEARFRAC(tblRoster[[#This Row],[직급발령시작일자]],TODAY()),1))</f>
        <v>4.4000000000000004</v>
      </c>
      <c r="AF41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8" t="str">
        <f ca="1">IF(OR(tblRoster[[#This Row],[공무원구분]]&lt;&gt;"공무원",tblRoster[[#This Row],[나이]]=""),"",YEAR(TODAY())+(60-tblRoster[[#This Row],[나이]]))</f>
        <v/>
      </c>
      <c r="AH418" t="str">
        <f>IF(tblRoster[[#This Row],[직위]]="","일반","보직자")</f>
        <v>일반</v>
      </c>
      <c r="AI41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8" t="str">
        <f ca="1">IF(tblRoster[[#This Row],[복직예정일]]="","",TEXT(tblRoster[[#This Row],[복직예정일]],"yyyy-mm"))</f>
        <v/>
      </c>
      <c r="AM418" t="str">
        <f ca="1">IF(tblRoster[[#This Row],[복직예정일]]="","",tblRoster[[#This Row],[복직예정일]]-TODAY())</f>
        <v/>
      </c>
      <c r="AN418" t="str">
        <f ca="1">IF(tblRoster[[#This Row],[휴직잔여일수]]="","",IF(tblRoster[[#This Row],[휴직잔여일수]]&lt;=180,"6개월내","6개월이후"))</f>
        <v/>
      </c>
      <c r="AO41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19" spans="1:41" x14ac:dyDescent="0.3">
      <c r="A419">
        <v>900417</v>
      </c>
      <c r="B419" t="s">
        <v>91</v>
      </c>
      <c r="C419" t="s">
        <v>8</v>
      </c>
      <c r="D419">
        <v>50</v>
      </c>
      <c r="E419" t="s">
        <v>150</v>
      </c>
      <c r="F419" t="s">
        <v>154</v>
      </c>
      <c r="G419" t="s">
        <v>155</v>
      </c>
      <c r="H419" t="s">
        <v>252</v>
      </c>
      <c r="I419" t="s">
        <v>132</v>
      </c>
      <c r="J419" t="s">
        <v>133</v>
      </c>
      <c r="L419" t="s">
        <v>134</v>
      </c>
      <c r="M419" t="s">
        <v>135</v>
      </c>
      <c r="N419" s="1">
        <v>41153</v>
      </c>
      <c r="O419" s="1">
        <v>46357</v>
      </c>
      <c r="P419" s="1">
        <v>46357</v>
      </c>
      <c r="Q419" s="1">
        <v>46357</v>
      </c>
      <c r="R419">
        <v>14</v>
      </c>
      <c r="S419" t="s">
        <v>631</v>
      </c>
      <c r="T41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19" t="str">
        <f>IF(tblRoster[[#This Row],[급수]]="4급(임기제)","4급",tblRoster[[#This Row],[급수]])</f>
        <v>대학회계계약직</v>
      </c>
      <c r="V41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1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19" t="str">
        <f>IF(OR(tblRoster[[#This Row],[교직원상세구분]]="사회복무요원",tblRoster[[#This Row],[교직원상세구분]]="인턴(수습)"),"제외","포함")</f>
        <v>포함</v>
      </c>
      <c r="Y419">
        <f>1</f>
        <v>1</v>
      </c>
      <c r="Z419">
        <f>IF(tblRoster[[#This Row],[재직상태구분]]="휴직",1,0)</f>
        <v>0</v>
      </c>
      <c r="AA41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19" t="e">
        <f ca="1">IF(tblRoster[[#This Row],[본교발령시작일자]]="","",DATEDIF(tblRoster[[#This Row],[본교발령시작일자]],TODAY(),"Y"))</f>
        <v>#NUM!</v>
      </c>
      <c r="AC419">
        <f ca="1">IF(tblRoster[[#This Row],[최초발령시작일자]]="","",DATEDIF(tblRoster[[#This Row],[최초발령시작일자]],TODAY(),"Y"))</f>
        <v>14</v>
      </c>
      <c r="AD41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19">
        <f ca="1">IF(tblRoster[[#This Row],[직급발령시작일자]]="","",ROUND(YEARFRAC(tblRoster[[#This Row],[직급발령시작일자]],TODAY()),1))</f>
        <v>0.2</v>
      </c>
      <c r="AF41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19" t="str">
        <f ca="1">IF(OR(tblRoster[[#This Row],[공무원구분]]&lt;&gt;"공무원",tblRoster[[#This Row],[나이]]=""),"",YEAR(TODAY())+(60-tblRoster[[#This Row],[나이]]))</f>
        <v/>
      </c>
      <c r="AH419" t="str">
        <f>IF(tblRoster[[#This Row],[직위]]="","일반","보직자")</f>
        <v>일반</v>
      </c>
      <c r="AI41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1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1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19" t="str">
        <f ca="1">IF(tblRoster[[#This Row],[복직예정일]]="","",TEXT(tblRoster[[#This Row],[복직예정일]],"yyyy-mm"))</f>
        <v/>
      </c>
      <c r="AM419" t="str">
        <f ca="1">IF(tblRoster[[#This Row],[복직예정일]]="","",tblRoster[[#This Row],[복직예정일]]-TODAY())</f>
        <v/>
      </c>
      <c r="AN419" t="str">
        <f ca="1">IF(tblRoster[[#This Row],[휴직잔여일수]]="","",IF(tblRoster[[#This Row],[휴직잔여일수]]&lt;=180,"6개월내","6개월이후"))</f>
        <v/>
      </c>
      <c r="AO41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0" spans="1:41" x14ac:dyDescent="0.3">
      <c r="A420">
        <v>900418</v>
      </c>
      <c r="B420" t="s">
        <v>632</v>
      </c>
      <c r="C420" t="s">
        <v>8</v>
      </c>
      <c r="D420">
        <v>27</v>
      </c>
      <c r="E420" t="s">
        <v>150</v>
      </c>
      <c r="F420" t="s">
        <v>179</v>
      </c>
      <c r="G420" t="s">
        <v>202</v>
      </c>
      <c r="H420" t="s">
        <v>148</v>
      </c>
      <c r="I420" t="s">
        <v>132</v>
      </c>
      <c r="J420" t="s">
        <v>133</v>
      </c>
      <c r="L420" t="s">
        <v>134</v>
      </c>
      <c r="M420" t="s">
        <v>135</v>
      </c>
      <c r="N420" s="1">
        <v>45566</v>
      </c>
      <c r="O420" s="1">
        <v>45383</v>
      </c>
      <c r="P420" s="1">
        <v>45383</v>
      </c>
      <c r="Q420" s="1">
        <v>45383</v>
      </c>
      <c r="T42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20" t="str">
        <f>IF(tblRoster[[#This Row],[급수]]="4급(임기제)","4급",tblRoster[[#This Row],[급수]])</f>
        <v>대학회계계약직</v>
      </c>
      <c r="V42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2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20" t="str">
        <f>IF(OR(tblRoster[[#This Row],[교직원상세구분]]="사회복무요원",tblRoster[[#This Row],[교직원상세구분]]="인턴(수습)"),"제외","포함")</f>
        <v>포함</v>
      </c>
      <c r="Y420">
        <f>1</f>
        <v>1</v>
      </c>
      <c r="Z420">
        <f>IF(tblRoster[[#This Row],[재직상태구분]]="휴직",1,0)</f>
        <v>0</v>
      </c>
      <c r="AA42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20">
        <f ca="1">IF(tblRoster[[#This Row],[본교발령시작일자]]="","",DATEDIF(tblRoster[[#This Row],[본교발령시작일자]],TODAY(),"Y"))</f>
        <v>2</v>
      </c>
      <c r="AC420">
        <f ca="1">IF(tblRoster[[#This Row],[최초발령시작일자]]="","",DATEDIF(tblRoster[[#This Row],[최초발령시작일자]],TODAY(),"Y"))</f>
        <v>1</v>
      </c>
      <c r="AD42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20">
        <f ca="1">IF(tblRoster[[#This Row],[직급발령시작일자]]="","",ROUND(YEARFRAC(tblRoster[[#This Row],[직급발령시작일자]],TODAY()),1))</f>
        <v>2.4</v>
      </c>
      <c r="AF42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0" t="str">
        <f ca="1">IF(OR(tblRoster[[#This Row],[공무원구분]]&lt;&gt;"공무원",tblRoster[[#This Row],[나이]]=""),"",YEAR(TODAY())+(60-tblRoster[[#This Row],[나이]]))</f>
        <v/>
      </c>
      <c r="AH420" t="str">
        <f>IF(tblRoster[[#This Row],[직위]]="","일반","보직자")</f>
        <v>일반</v>
      </c>
      <c r="AI42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0" t="str">
        <f ca="1">IF(tblRoster[[#This Row],[복직예정일]]="","",TEXT(tblRoster[[#This Row],[복직예정일]],"yyyy-mm"))</f>
        <v/>
      </c>
      <c r="AM420" t="str">
        <f ca="1">IF(tblRoster[[#This Row],[복직예정일]]="","",tblRoster[[#This Row],[복직예정일]]-TODAY())</f>
        <v/>
      </c>
      <c r="AN420" t="str">
        <f ca="1">IF(tblRoster[[#This Row],[휴직잔여일수]]="","",IF(tblRoster[[#This Row],[휴직잔여일수]]&lt;=180,"6개월내","6개월이후"))</f>
        <v/>
      </c>
      <c r="AO42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1" spans="1:41" x14ac:dyDescent="0.3">
      <c r="A421">
        <v>900419</v>
      </c>
      <c r="B421" t="s">
        <v>633</v>
      </c>
      <c r="C421" t="s">
        <v>8</v>
      </c>
      <c r="D421">
        <v>50</v>
      </c>
      <c r="E421" t="s">
        <v>150</v>
      </c>
      <c r="F421" t="s">
        <v>266</v>
      </c>
      <c r="G421" t="s">
        <v>222</v>
      </c>
      <c r="H421" t="s">
        <v>198</v>
      </c>
      <c r="I421" t="s">
        <v>144</v>
      </c>
      <c r="J421" t="s">
        <v>145</v>
      </c>
      <c r="L421" t="s">
        <v>134</v>
      </c>
      <c r="M421" t="s">
        <v>135</v>
      </c>
      <c r="N421" s="1">
        <v>40269</v>
      </c>
      <c r="O421" s="1">
        <v>40269</v>
      </c>
      <c r="P421" s="1">
        <v>44470</v>
      </c>
      <c r="Q421" s="1">
        <v>44470</v>
      </c>
      <c r="R421">
        <v>18</v>
      </c>
      <c r="T42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21" t="str">
        <f>IF(tblRoster[[#This Row],[급수]]="4급(임기제)","4급",tblRoster[[#This Row],[급수]])</f>
        <v>7급</v>
      </c>
      <c r="V42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2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1" t="str">
        <f>IF(OR(tblRoster[[#This Row],[교직원상세구분]]="사회복무요원",tblRoster[[#This Row],[교직원상세구분]]="인턴(수습)"),"제외","포함")</f>
        <v>포함</v>
      </c>
      <c r="Y421">
        <f>1</f>
        <v>1</v>
      </c>
      <c r="Z421">
        <f>IF(tblRoster[[#This Row],[재직상태구분]]="휴직",1,0)</f>
        <v>0</v>
      </c>
      <c r="AA42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21">
        <f ca="1">IF(tblRoster[[#This Row],[본교발령시작일자]]="","",DATEDIF(tblRoster[[#This Row],[본교발령시작일자]],TODAY(),"Y"))</f>
        <v>16</v>
      </c>
      <c r="AC421">
        <f ca="1">IF(tblRoster[[#This Row],[최초발령시작일자]]="","",DATEDIF(tblRoster[[#This Row],[최초발령시작일자]],TODAY(),"Y"))</f>
        <v>16</v>
      </c>
      <c r="AD42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21">
        <f ca="1">IF(tblRoster[[#This Row],[직급발령시작일자]]="","",ROUND(YEARFRAC(tblRoster[[#This Row],[직급발령시작일자]],TODAY()),1))</f>
        <v>4.9000000000000004</v>
      </c>
      <c r="AF42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1">
        <f ca="1">IF(OR(tblRoster[[#This Row],[공무원구분]]&lt;&gt;"공무원",tblRoster[[#This Row],[나이]]=""),"",YEAR(TODAY())+(60-tblRoster[[#This Row],[나이]]))</f>
        <v>2036</v>
      </c>
      <c r="AH421" t="str">
        <f>IF(tblRoster[[#This Row],[직위]]="","일반","보직자")</f>
        <v>일반</v>
      </c>
      <c r="AI42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1" t="str">
        <f ca="1">IF(tblRoster[[#This Row],[복직예정일]]="","",TEXT(tblRoster[[#This Row],[복직예정일]],"yyyy-mm"))</f>
        <v/>
      </c>
      <c r="AM421" t="str">
        <f ca="1">IF(tblRoster[[#This Row],[복직예정일]]="","",tblRoster[[#This Row],[복직예정일]]-TODAY())</f>
        <v/>
      </c>
      <c r="AN421" t="str">
        <f ca="1">IF(tblRoster[[#This Row],[휴직잔여일수]]="","",IF(tblRoster[[#This Row],[휴직잔여일수]]&lt;=180,"6개월내","6개월이후"))</f>
        <v/>
      </c>
      <c r="AO42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2" spans="1:41" x14ac:dyDescent="0.3">
      <c r="A422">
        <v>900420</v>
      </c>
      <c r="B422" t="s">
        <v>634</v>
      </c>
      <c r="C422" t="s">
        <v>8</v>
      </c>
      <c r="D422">
        <v>34</v>
      </c>
      <c r="E422" t="s">
        <v>150</v>
      </c>
      <c r="F422" t="s">
        <v>141</v>
      </c>
      <c r="G422" t="s">
        <v>222</v>
      </c>
      <c r="H422" t="s">
        <v>180</v>
      </c>
      <c r="I422" t="s">
        <v>144</v>
      </c>
      <c r="J422" t="s">
        <v>145</v>
      </c>
      <c r="L422" t="s">
        <v>134</v>
      </c>
      <c r="M422" t="s">
        <v>135</v>
      </c>
      <c r="N422" s="1">
        <v>41852</v>
      </c>
      <c r="O422" s="1">
        <v>41852</v>
      </c>
      <c r="P422" s="1">
        <v>41852</v>
      </c>
      <c r="Q422" s="1">
        <v>41852</v>
      </c>
      <c r="R422">
        <v>12</v>
      </c>
      <c r="T42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22" t="str">
        <f>IF(tblRoster[[#This Row],[급수]]="4급(임기제)","4급",tblRoster[[#This Row],[급수]])</f>
        <v>7급</v>
      </c>
      <c r="V42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2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2" t="str">
        <f>IF(OR(tblRoster[[#This Row],[교직원상세구분]]="사회복무요원",tblRoster[[#This Row],[교직원상세구분]]="인턴(수습)"),"제외","포함")</f>
        <v>포함</v>
      </c>
      <c r="Y422">
        <f>1</f>
        <v>1</v>
      </c>
      <c r="Z422">
        <f>IF(tblRoster[[#This Row],[재직상태구분]]="휴직",1,0)</f>
        <v>0</v>
      </c>
      <c r="AA42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22">
        <f ca="1">IF(tblRoster[[#This Row],[본교발령시작일자]]="","",DATEDIF(tblRoster[[#This Row],[본교발령시작일자]],TODAY(),"Y"))</f>
        <v>12</v>
      </c>
      <c r="AC422">
        <f ca="1">IF(tblRoster[[#This Row],[최초발령시작일자]]="","",DATEDIF(tblRoster[[#This Row],[최초발령시작일자]],TODAY(),"Y"))</f>
        <v>12</v>
      </c>
      <c r="AD42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22">
        <f ca="1">IF(tblRoster[[#This Row],[직급발령시작일자]]="","",ROUND(YEARFRAC(tblRoster[[#This Row],[직급발령시작일자]],TODAY()),1))</f>
        <v>12.1</v>
      </c>
      <c r="AF42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22">
        <f ca="1">IF(OR(tblRoster[[#This Row],[공무원구분]]&lt;&gt;"공무원",tblRoster[[#This Row],[나이]]=""),"",YEAR(TODAY())+(60-tblRoster[[#This Row],[나이]]))</f>
        <v>2052</v>
      </c>
      <c r="AH422" t="str">
        <f>IF(tblRoster[[#This Row],[직위]]="","일반","보직자")</f>
        <v>일반</v>
      </c>
      <c r="AI42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2" t="str">
        <f ca="1">IF(tblRoster[[#This Row],[복직예정일]]="","",TEXT(tblRoster[[#This Row],[복직예정일]],"yyyy-mm"))</f>
        <v/>
      </c>
      <c r="AM422" t="str">
        <f ca="1">IF(tblRoster[[#This Row],[복직예정일]]="","",tblRoster[[#This Row],[복직예정일]]-TODAY())</f>
        <v/>
      </c>
      <c r="AN422" t="str">
        <f ca="1">IF(tblRoster[[#This Row],[휴직잔여일수]]="","",IF(tblRoster[[#This Row],[휴직잔여일수]]&lt;=180,"6개월내","6개월이후"))</f>
        <v/>
      </c>
      <c r="AO42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3" spans="1:41" x14ac:dyDescent="0.3">
      <c r="A423">
        <v>900421</v>
      </c>
      <c r="B423" t="s">
        <v>635</v>
      </c>
      <c r="C423" t="s">
        <v>8</v>
      </c>
      <c r="D423">
        <v>49</v>
      </c>
      <c r="E423" t="s">
        <v>150</v>
      </c>
      <c r="F423" t="s">
        <v>246</v>
      </c>
      <c r="G423" t="s">
        <v>130</v>
      </c>
      <c r="H423" t="s">
        <v>223</v>
      </c>
      <c r="I423" t="s">
        <v>144</v>
      </c>
      <c r="J423" t="s">
        <v>145</v>
      </c>
      <c r="L423" t="s">
        <v>135</v>
      </c>
      <c r="M423" t="s">
        <v>135</v>
      </c>
      <c r="N423" s="1">
        <v>42370</v>
      </c>
      <c r="O423" s="1">
        <v>42370</v>
      </c>
      <c r="P423" s="1">
        <v>45658</v>
      </c>
      <c r="Q423" s="1">
        <v>45658</v>
      </c>
      <c r="R423">
        <v>13</v>
      </c>
      <c r="T42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23" t="str">
        <f>IF(tblRoster[[#This Row],[급수]]="4급(임기제)","4급",tblRoster[[#This Row],[급수]])</f>
        <v>8급</v>
      </c>
      <c r="V42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2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3" t="str">
        <f>IF(OR(tblRoster[[#This Row],[교직원상세구분]]="사회복무요원",tblRoster[[#This Row],[교직원상세구분]]="인턴(수습)"),"제외","포함")</f>
        <v>포함</v>
      </c>
      <c r="Y423">
        <f>1</f>
        <v>1</v>
      </c>
      <c r="Z423">
        <f>IF(tblRoster[[#This Row],[재직상태구분]]="휴직",1,0)</f>
        <v>0</v>
      </c>
      <c r="AA42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23">
        <f ca="1">IF(tblRoster[[#This Row],[본교발령시작일자]]="","",DATEDIF(tblRoster[[#This Row],[본교발령시작일자]],TODAY(),"Y"))</f>
        <v>10</v>
      </c>
      <c r="AC423">
        <f ca="1">IF(tblRoster[[#This Row],[최초발령시작일자]]="","",DATEDIF(tblRoster[[#This Row],[최초발령시작일자]],TODAY(),"Y"))</f>
        <v>10</v>
      </c>
      <c r="AD42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23">
        <f ca="1">IF(tblRoster[[#This Row],[직급발령시작일자]]="","",ROUND(YEARFRAC(tblRoster[[#This Row],[직급발령시작일자]],TODAY()),1))</f>
        <v>1.7</v>
      </c>
      <c r="AF42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3">
        <f ca="1">IF(OR(tblRoster[[#This Row],[공무원구분]]&lt;&gt;"공무원",tblRoster[[#This Row],[나이]]=""),"",YEAR(TODAY())+(60-tblRoster[[#This Row],[나이]]))</f>
        <v>2037</v>
      </c>
      <c r="AH423" t="str">
        <f>IF(tblRoster[[#This Row],[직위]]="","일반","보직자")</f>
        <v>일반</v>
      </c>
      <c r="AI42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3" t="str">
        <f ca="1">IF(tblRoster[[#This Row],[복직예정일]]="","",TEXT(tblRoster[[#This Row],[복직예정일]],"yyyy-mm"))</f>
        <v/>
      </c>
      <c r="AM423" t="str">
        <f ca="1">IF(tblRoster[[#This Row],[복직예정일]]="","",tblRoster[[#This Row],[복직예정일]]-TODAY())</f>
        <v/>
      </c>
      <c r="AN423" t="str">
        <f ca="1">IF(tblRoster[[#This Row],[휴직잔여일수]]="","",IF(tblRoster[[#This Row],[휴직잔여일수]]&lt;=180,"6개월내","6개월이후"))</f>
        <v/>
      </c>
      <c r="AO42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4" spans="1:41" x14ac:dyDescent="0.3">
      <c r="A424">
        <v>900422</v>
      </c>
      <c r="B424" t="s">
        <v>636</v>
      </c>
      <c r="C424" t="s">
        <v>8</v>
      </c>
      <c r="D424">
        <v>58</v>
      </c>
      <c r="E424" t="s">
        <v>128</v>
      </c>
      <c r="F424" t="s">
        <v>168</v>
      </c>
      <c r="G424" t="s">
        <v>182</v>
      </c>
      <c r="H424" t="s">
        <v>163</v>
      </c>
      <c r="I424" t="s">
        <v>144</v>
      </c>
      <c r="J424" t="s">
        <v>145</v>
      </c>
      <c r="L424" t="s">
        <v>135</v>
      </c>
      <c r="M424" t="s">
        <v>135</v>
      </c>
      <c r="N424" s="1">
        <v>33359</v>
      </c>
      <c r="O424" s="1">
        <v>33359</v>
      </c>
      <c r="P424" s="1">
        <v>43252</v>
      </c>
      <c r="Q424" s="1">
        <v>43252</v>
      </c>
      <c r="R424">
        <v>37</v>
      </c>
      <c r="T42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24" t="str">
        <f>IF(tblRoster[[#This Row],[급수]]="4급(임기제)","4급",tblRoster[[#This Row],[급수]])</f>
        <v>6급</v>
      </c>
      <c r="V42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2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4" t="str">
        <f>IF(OR(tblRoster[[#This Row],[교직원상세구분]]="사회복무요원",tblRoster[[#This Row],[교직원상세구분]]="인턴(수습)"),"제외","포함")</f>
        <v>포함</v>
      </c>
      <c r="Y424">
        <f>1</f>
        <v>1</v>
      </c>
      <c r="Z424">
        <f>IF(tblRoster[[#This Row],[재직상태구분]]="휴직",1,0)</f>
        <v>0</v>
      </c>
      <c r="AA42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24">
        <f ca="1">IF(tblRoster[[#This Row],[본교발령시작일자]]="","",DATEDIF(tblRoster[[#This Row],[본교발령시작일자]],TODAY(),"Y"))</f>
        <v>35</v>
      </c>
      <c r="AC424">
        <f ca="1">IF(tblRoster[[#This Row],[최초발령시작일자]]="","",DATEDIF(tblRoster[[#This Row],[최초발령시작일자]],TODAY(),"Y"))</f>
        <v>35</v>
      </c>
      <c r="AD42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424">
        <f ca="1">IF(tblRoster[[#This Row],[직급발령시작일자]]="","",ROUND(YEARFRAC(tblRoster[[#This Row],[직급발령시작일자]],TODAY()),1))</f>
        <v>8.3000000000000007</v>
      </c>
      <c r="AF424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24">
        <f ca="1">IF(OR(tblRoster[[#This Row],[공무원구분]]&lt;&gt;"공무원",tblRoster[[#This Row],[나이]]=""),"",YEAR(TODAY())+(60-tblRoster[[#This Row],[나이]]))</f>
        <v>2028</v>
      </c>
      <c r="AH424" t="str">
        <f>IF(tblRoster[[#This Row],[직위]]="","일반","보직자")</f>
        <v>일반</v>
      </c>
      <c r="AI42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4" t="str">
        <f ca="1">IF(tblRoster[[#This Row],[복직예정일]]="","",TEXT(tblRoster[[#This Row],[복직예정일]],"yyyy-mm"))</f>
        <v/>
      </c>
      <c r="AM424" t="str">
        <f ca="1">IF(tblRoster[[#This Row],[복직예정일]]="","",tblRoster[[#This Row],[복직예정일]]-TODAY())</f>
        <v/>
      </c>
      <c r="AN424" t="str">
        <f ca="1">IF(tblRoster[[#This Row],[휴직잔여일수]]="","",IF(tblRoster[[#This Row],[휴직잔여일수]]&lt;=180,"6개월내","6개월이후"))</f>
        <v/>
      </c>
      <c r="AO42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5" spans="1:41" x14ac:dyDescent="0.3">
      <c r="A425">
        <v>900423</v>
      </c>
      <c r="B425" t="s">
        <v>637</v>
      </c>
      <c r="C425" t="s">
        <v>8</v>
      </c>
      <c r="D425">
        <v>24</v>
      </c>
      <c r="E425" t="s">
        <v>128</v>
      </c>
      <c r="F425" t="s">
        <v>147</v>
      </c>
      <c r="G425" t="s">
        <v>155</v>
      </c>
      <c r="H425" t="s">
        <v>148</v>
      </c>
      <c r="I425" t="s">
        <v>132</v>
      </c>
      <c r="J425" t="s">
        <v>133</v>
      </c>
      <c r="L425" t="s">
        <v>134</v>
      </c>
      <c r="M425" t="s">
        <v>135</v>
      </c>
      <c r="N425" s="1">
        <v>45323</v>
      </c>
      <c r="O425" s="1">
        <v>45323</v>
      </c>
      <c r="P425" s="1">
        <v>45323</v>
      </c>
      <c r="Q425" s="1">
        <v>45323</v>
      </c>
      <c r="R425">
        <v>5</v>
      </c>
      <c r="T42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25" t="str">
        <f>IF(tblRoster[[#This Row],[급수]]="4급(임기제)","4급",tblRoster[[#This Row],[급수]])</f>
        <v>대학회계계약직</v>
      </c>
      <c r="V42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2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25" t="str">
        <f>IF(OR(tblRoster[[#This Row],[교직원상세구분]]="사회복무요원",tblRoster[[#This Row],[교직원상세구분]]="인턴(수습)"),"제외","포함")</f>
        <v>포함</v>
      </c>
      <c r="Y425">
        <f>1</f>
        <v>1</v>
      </c>
      <c r="Z425">
        <f>IF(tblRoster[[#This Row],[재직상태구분]]="휴직",1,0)</f>
        <v>0</v>
      </c>
      <c r="AA42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25">
        <f ca="1">IF(tblRoster[[#This Row],[본교발령시작일자]]="","",DATEDIF(tblRoster[[#This Row],[본교발령시작일자]],TODAY(),"Y"))</f>
        <v>2</v>
      </c>
      <c r="AC425">
        <f ca="1">IF(tblRoster[[#This Row],[최초발령시작일자]]="","",DATEDIF(tblRoster[[#This Row],[최초발령시작일자]],TODAY(),"Y"))</f>
        <v>2</v>
      </c>
      <c r="AD42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25">
        <f ca="1">IF(tblRoster[[#This Row],[직급발령시작일자]]="","",ROUND(YEARFRAC(tblRoster[[#This Row],[직급발령시작일자]],TODAY()),1))</f>
        <v>2.6</v>
      </c>
      <c r="AF425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5" t="str">
        <f ca="1">IF(OR(tblRoster[[#This Row],[공무원구분]]&lt;&gt;"공무원",tblRoster[[#This Row],[나이]]=""),"",YEAR(TODAY())+(60-tblRoster[[#This Row],[나이]]))</f>
        <v/>
      </c>
      <c r="AH425" t="str">
        <f>IF(tblRoster[[#This Row],[직위]]="","일반","보직자")</f>
        <v>일반</v>
      </c>
      <c r="AI42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5" t="str">
        <f ca="1">IF(tblRoster[[#This Row],[복직예정일]]="","",TEXT(tblRoster[[#This Row],[복직예정일]],"yyyy-mm"))</f>
        <v/>
      </c>
      <c r="AM425" t="str">
        <f ca="1">IF(tblRoster[[#This Row],[복직예정일]]="","",tblRoster[[#This Row],[복직예정일]]-TODAY())</f>
        <v/>
      </c>
      <c r="AN425" t="str">
        <f ca="1">IF(tblRoster[[#This Row],[휴직잔여일수]]="","",IF(tblRoster[[#This Row],[휴직잔여일수]]&lt;=180,"6개월내","6개월이후"))</f>
        <v/>
      </c>
      <c r="AO42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6" spans="1:41" x14ac:dyDescent="0.3">
      <c r="A426">
        <v>900424</v>
      </c>
      <c r="B426" t="s">
        <v>638</v>
      </c>
      <c r="C426" t="s">
        <v>8</v>
      </c>
      <c r="D426">
        <v>26</v>
      </c>
      <c r="E426" t="s">
        <v>150</v>
      </c>
      <c r="F426" t="s">
        <v>158</v>
      </c>
      <c r="G426" t="s">
        <v>173</v>
      </c>
      <c r="H426" t="s">
        <v>212</v>
      </c>
      <c r="I426" t="s">
        <v>213</v>
      </c>
      <c r="J426" t="s">
        <v>133</v>
      </c>
      <c r="L426" t="s">
        <v>134</v>
      </c>
      <c r="M426" t="s">
        <v>135</v>
      </c>
      <c r="N426" s="1">
        <v>45444</v>
      </c>
      <c r="O426" s="1">
        <v>45444</v>
      </c>
      <c r="P426" s="1">
        <v>45444</v>
      </c>
      <c r="Q426" s="1">
        <v>45444</v>
      </c>
      <c r="T42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426" t="str">
        <f>IF(tblRoster[[#This Row],[급수]]="4급(임기제)","4급",tblRoster[[#This Row],[급수]])</f>
        <v>인턴</v>
      </c>
      <c r="V42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42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26" t="str">
        <f>IF(OR(tblRoster[[#This Row],[교직원상세구분]]="사회복무요원",tblRoster[[#This Row],[교직원상세구분]]="인턴(수습)"),"제외","포함")</f>
        <v>제외</v>
      </c>
      <c r="Y426">
        <f>1</f>
        <v>1</v>
      </c>
      <c r="Z426">
        <f>IF(tblRoster[[#This Row],[재직상태구분]]="휴직",1,0)</f>
        <v>0</v>
      </c>
      <c r="AA42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26">
        <f ca="1">IF(tblRoster[[#This Row],[본교발령시작일자]]="","",DATEDIF(tblRoster[[#This Row],[본교발령시작일자]],TODAY(),"Y"))</f>
        <v>2</v>
      </c>
      <c r="AC426">
        <f ca="1">IF(tblRoster[[#This Row],[최초발령시작일자]]="","",DATEDIF(tblRoster[[#This Row],[최초발령시작일자]],TODAY(),"Y"))</f>
        <v>2</v>
      </c>
      <c r="AD42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26">
        <f ca="1">IF(tblRoster[[#This Row],[직급발령시작일자]]="","",ROUND(YEARFRAC(tblRoster[[#This Row],[직급발령시작일자]],TODAY()),1))</f>
        <v>2.2999999999999998</v>
      </c>
      <c r="AF42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6" t="str">
        <f ca="1">IF(OR(tblRoster[[#This Row],[공무원구분]]&lt;&gt;"공무원",tblRoster[[#This Row],[나이]]=""),"",YEAR(TODAY())+(60-tblRoster[[#This Row],[나이]]))</f>
        <v/>
      </c>
      <c r="AH426" t="str">
        <f>IF(tblRoster[[#This Row],[직위]]="","일반","보직자")</f>
        <v>일반</v>
      </c>
      <c r="AI42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6" t="str">
        <f ca="1">IF(tblRoster[[#This Row],[복직예정일]]="","",TEXT(tblRoster[[#This Row],[복직예정일]],"yyyy-mm"))</f>
        <v/>
      </c>
      <c r="AM426" t="str">
        <f ca="1">IF(tblRoster[[#This Row],[복직예정일]]="","",tblRoster[[#This Row],[복직예정일]]-TODAY())</f>
        <v/>
      </c>
      <c r="AN426" t="str">
        <f ca="1">IF(tblRoster[[#This Row],[휴직잔여일수]]="","",IF(tblRoster[[#This Row],[휴직잔여일수]]&lt;=180,"6개월내","6개월이후"))</f>
        <v/>
      </c>
      <c r="AO42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7" spans="1:41" x14ac:dyDescent="0.3">
      <c r="A427">
        <v>900425</v>
      </c>
      <c r="B427" t="s">
        <v>639</v>
      </c>
      <c r="C427" t="s">
        <v>8</v>
      </c>
      <c r="D427">
        <v>39</v>
      </c>
      <c r="E427" t="s">
        <v>150</v>
      </c>
      <c r="F427" t="s">
        <v>129</v>
      </c>
      <c r="G427" t="s">
        <v>138</v>
      </c>
      <c r="H427" t="s">
        <v>209</v>
      </c>
      <c r="I427" t="s">
        <v>144</v>
      </c>
      <c r="J427" t="s">
        <v>145</v>
      </c>
      <c r="L427" t="s">
        <v>134</v>
      </c>
      <c r="M427" t="s">
        <v>135</v>
      </c>
      <c r="N427" s="1">
        <v>43221</v>
      </c>
      <c r="O427" s="1">
        <v>43221</v>
      </c>
      <c r="P427" s="1">
        <v>44136</v>
      </c>
      <c r="Q427" s="1">
        <v>44136</v>
      </c>
      <c r="R427">
        <v>8</v>
      </c>
      <c r="T42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27" t="str">
        <f>IF(tblRoster[[#This Row],[급수]]="4급(임기제)","4급",tblRoster[[#This Row],[급수]])</f>
        <v>6급</v>
      </c>
      <c r="V42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2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7" t="str">
        <f>IF(OR(tblRoster[[#This Row],[교직원상세구분]]="사회복무요원",tblRoster[[#This Row],[교직원상세구분]]="인턴(수습)"),"제외","포함")</f>
        <v>포함</v>
      </c>
      <c r="Y427">
        <f>1</f>
        <v>1</v>
      </c>
      <c r="Z427">
        <f>IF(tblRoster[[#This Row],[재직상태구분]]="휴직",1,0)</f>
        <v>0</v>
      </c>
      <c r="AA42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27">
        <f ca="1">IF(tblRoster[[#This Row],[본교발령시작일자]]="","",DATEDIF(tblRoster[[#This Row],[본교발령시작일자]],TODAY(),"Y"))</f>
        <v>8</v>
      </c>
      <c r="AC427">
        <f ca="1">IF(tblRoster[[#This Row],[최초발령시작일자]]="","",DATEDIF(tblRoster[[#This Row],[최초발령시작일자]],TODAY(),"Y"))</f>
        <v>8</v>
      </c>
      <c r="AD42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27">
        <f ca="1">IF(tblRoster[[#This Row],[직급발령시작일자]]="","",ROUND(YEARFRAC(tblRoster[[#This Row],[직급발령시작일자]],TODAY()),1))</f>
        <v>5.9</v>
      </c>
      <c r="AF427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27">
        <f ca="1">IF(OR(tblRoster[[#This Row],[공무원구분]]&lt;&gt;"공무원",tblRoster[[#This Row],[나이]]=""),"",YEAR(TODAY())+(60-tblRoster[[#This Row],[나이]]))</f>
        <v>2047</v>
      </c>
      <c r="AH427" t="str">
        <f>IF(tblRoster[[#This Row],[직위]]="","일반","보직자")</f>
        <v>일반</v>
      </c>
      <c r="AI42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7" t="str">
        <f ca="1">IF(tblRoster[[#This Row],[복직예정일]]="","",TEXT(tblRoster[[#This Row],[복직예정일]],"yyyy-mm"))</f>
        <v/>
      </c>
      <c r="AM427" t="str">
        <f ca="1">IF(tblRoster[[#This Row],[복직예정일]]="","",tblRoster[[#This Row],[복직예정일]]-TODAY())</f>
        <v/>
      </c>
      <c r="AN427" t="str">
        <f ca="1">IF(tblRoster[[#This Row],[휴직잔여일수]]="","",IF(tblRoster[[#This Row],[휴직잔여일수]]&lt;=180,"6개월내","6개월이후"))</f>
        <v/>
      </c>
      <c r="AO42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8" spans="1:41" x14ac:dyDescent="0.3">
      <c r="A428">
        <v>900426</v>
      </c>
      <c r="B428" t="s">
        <v>92</v>
      </c>
      <c r="C428" t="s">
        <v>16</v>
      </c>
      <c r="D428">
        <v>51</v>
      </c>
      <c r="E428" t="s">
        <v>128</v>
      </c>
      <c r="F428" t="s">
        <v>184</v>
      </c>
      <c r="G428" t="s">
        <v>142</v>
      </c>
      <c r="H428" t="s">
        <v>198</v>
      </c>
      <c r="I428" t="s">
        <v>144</v>
      </c>
      <c r="J428" t="s">
        <v>145</v>
      </c>
      <c r="L428" t="s">
        <v>134</v>
      </c>
      <c r="M428" t="s">
        <v>135</v>
      </c>
      <c r="N428" s="1">
        <v>35916</v>
      </c>
      <c r="O428" s="1">
        <v>35916</v>
      </c>
      <c r="P428" s="1">
        <v>44348</v>
      </c>
      <c r="Q428" s="1">
        <v>44348</v>
      </c>
      <c r="R428">
        <v>30</v>
      </c>
      <c r="S428" t="s">
        <v>640</v>
      </c>
      <c r="T42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28" t="str">
        <f>IF(tblRoster[[#This Row],[급수]]="4급(임기제)","4급",tblRoster[[#This Row],[급수]])</f>
        <v>7급</v>
      </c>
      <c r="V42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2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28" t="str">
        <f>IF(OR(tblRoster[[#This Row],[교직원상세구분]]="사회복무요원",tblRoster[[#This Row],[교직원상세구분]]="인턴(수습)"),"제외","포함")</f>
        <v>포함</v>
      </c>
      <c r="Y428">
        <f>1</f>
        <v>1</v>
      </c>
      <c r="Z428">
        <f>IF(tblRoster[[#This Row],[재직상태구분]]="휴직",1,0)</f>
        <v>1</v>
      </c>
      <c r="AA42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28">
        <f ca="1">IF(tblRoster[[#This Row],[본교발령시작일자]]="","",DATEDIF(tblRoster[[#This Row],[본교발령시작일자]],TODAY(),"Y"))</f>
        <v>28</v>
      </c>
      <c r="AC428">
        <f ca="1">IF(tblRoster[[#This Row],[최초발령시작일자]]="","",DATEDIF(tblRoster[[#This Row],[최초발령시작일자]],TODAY(),"Y"))</f>
        <v>28</v>
      </c>
      <c r="AD42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428">
        <f ca="1">IF(tblRoster[[#This Row],[직급발령시작일자]]="","",ROUND(YEARFRAC(tblRoster[[#This Row],[직급발령시작일자]],TODAY()),1))</f>
        <v>5.3</v>
      </c>
      <c r="AF42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28">
        <f ca="1">IF(OR(tblRoster[[#This Row],[공무원구분]]&lt;&gt;"공무원",tblRoster[[#This Row],[나이]]=""),"",YEAR(TODAY())+(60-tblRoster[[#This Row],[나이]]))</f>
        <v>2035</v>
      </c>
      <c r="AH428" t="str">
        <f>IF(tblRoster[[#This Row],[직위]]="","일반","보직자")</f>
        <v>일반</v>
      </c>
      <c r="AI428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45950</v>
      </c>
      <c r="AJ42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유학휴직</v>
      </c>
      <c r="AK428" s="1">
        <f ca="1">IF(tblRoster[[#This Row],[현재휴직시작일]]="","",IFERROR(INDEX(tblLeave[종료일],MATCH(tblRoster[[#This Row],[교직원번호]]&amp;"|"&amp;tblRoster[[#This Row],[현재휴직시작일]],tblLeave[매칭키],0)),""))</f>
        <v>46315</v>
      </c>
      <c r="AL428" t="str">
        <f ca="1">IF(tblRoster[[#This Row],[복직예정일]]="","",TEXT(tblRoster[[#This Row],[복직예정일]],"yyyy-mm"))</f>
        <v>2026-10</v>
      </c>
      <c r="AM428">
        <f ca="1">IF(tblRoster[[#This Row],[복직예정일]]="","",tblRoster[[#This Row],[복직예정일]]-TODAY())</f>
        <v>43</v>
      </c>
      <c r="AN428" t="str">
        <f ca="1">IF(tblRoster[[#This Row],[휴직잔여일수]]="","",IF(tblRoster[[#This Row],[휴직잔여일수]]&lt;=180,"6개월내","6개월이후"))</f>
        <v>6개월내</v>
      </c>
      <c r="AO42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29" spans="1:41" x14ac:dyDescent="0.3">
      <c r="A429">
        <v>900427</v>
      </c>
      <c r="B429" t="s">
        <v>641</v>
      </c>
      <c r="C429" t="s">
        <v>8</v>
      </c>
      <c r="D429">
        <v>21</v>
      </c>
      <c r="E429" t="s">
        <v>150</v>
      </c>
      <c r="F429" t="s">
        <v>141</v>
      </c>
      <c r="G429" t="s">
        <v>211</v>
      </c>
      <c r="H429" t="s">
        <v>186</v>
      </c>
      <c r="I429" t="s">
        <v>186</v>
      </c>
      <c r="J429" t="s">
        <v>133</v>
      </c>
      <c r="L429" t="s">
        <v>135</v>
      </c>
      <c r="M429" t="s">
        <v>135</v>
      </c>
      <c r="N429" s="1">
        <v>46174</v>
      </c>
      <c r="O429" s="1">
        <v>46174</v>
      </c>
      <c r="P429" s="1">
        <v>46174</v>
      </c>
      <c r="Q429" s="1">
        <v>46174</v>
      </c>
      <c r="T42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429" t="str">
        <f>IF(tblRoster[[#This Row],[급수]]="4급(임기제)","4급",tblRoster[[#This Row],[급수]])</f>
        <v>사회복무요원</v>
      </c>
      <c r="V42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42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29" t="str">
        <f>IF(OR(tblRoster[[#This Row],[교직원상세구분]]="사회복무요원",tblRoster[[#This Row],[교직원상세구분]]="인턴(수습)"),"제외","포함")</f>
        <v>제외</v>
      </c>
      <c r="Y429">
        <f>1</f>
        <v>1</v>
      </c>
      <c r="Z429">
        <f>IF(tblRoster[[#This Row],[재직상태구분]]="휴직",1,0)</f>
        <v>0</v>
      </c>
      <c r="AA42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29">
        <f ca="1">IF(tblRoster[[#This Row],[본교발령시작일자]]="","",DATEDIF(tblRoster[[#This Row],[본교발령시작일자]],TODAY(),"Y"))</f>
        <v>0</v>
      </c>
      <c r="AC429">
        <f ca="1">IF(tblRoster[[#This Row],[최초발령시작일자]]="","",DATEDIF(tblRoster[[#This Row],[최초발령시작일자]],TODAY(),"Y"))</f>
        <v>0</v>
      </c>
      <c r="AD42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29">
        <f ca="1">IF(tblRoster[[#This Row],[직급발령시작일자]]="","",ROUND(YEARFRAC(tblRoster[[#This Row],[직급발령시작일자]],TODAY()),1))</f>
        <v>0.3</v>
      </c>
      <c r="AF42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29" t="str">
        <f ca="1">IF(OR(tblRoster[[#This Row],[공무원구분]]&lt;&gt;"공무원",tblRoster[[#This Row],[나이]]=""),"",YEAR(TODAY())+(60-tblRoster[[#This Row],[나이]]))</f>
        <v/>
      </c>
      <c r="AH429" t="str">
        <f>IF(tblRoster[[#This Row],[직위]]="","일반","보직자")</f>
        <v>일반</v>
      </c>
      <c r="AI42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2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2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29" t="str">
        <f ca="1">IF(tblRoster[[#This Row],[복직예정일]]="","",TEXT(tblRoster[[#This Row],[복직예정일]],"yyyy-mm"))</f>
        <v/>
      </c>
      <c r="AM429" t="str">
        <f ca="1">IF(tblRoster[[#This Row],[복직예정일]]="","",tblRoster[[#This Row],[복직예정일]]-TODAY())</f>
        <v/>
      </c>
      <c r="AN429" t="str">
        <f ca="1">IF(tblRoster[[#This Row],[휴직잔여일수]]="","",IF(tblRoster[[#This Row],[휴직잔여일수]]&lt;=180,"6개월내","6개월이후"))</f>
        <v/>
      </c>
      <c r="AO42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0" spans="1:41" x14ac:dyDescent="0.3">
      <c r="A430">
        <v>900428</v>
      </c>
      <c r="B430" t="s">
        <v>642</v>
      </c>
      <c r="C430" t="s">
        <v>8</v>
      </c>
      <c r="D430">
        <v>47</v>
      </c>
      <c r="E430" t="s">
        <v>150</v>
      </c>
      <c r="F430" t="s">
        <v>168</v>
      </c>
      <c r="G430" t="s">
        <v>185</v>
      </c>
      <c r="H430" t="s">
        <v>223</v>
      </c>
      <c r="I430" t="s">
        <v>144</v>
      </c>
      <c r="J430" t="s">
        <v>145</v>
      </c>
      <c r="L430" t="s">
        <v>134</v>
      </c>
      <c r="M430" t="s">
        <v>135</v>
      </c>
      <c r="N430" s="1">
        <v>37408</v>
      </c>
      <c r="O430" s="1">
        <v>37408</v>
      </c>
      <c r="P430" s="1">
        <v>41671</v>
      </c>
      <c r="Q430" s="1">
        <v>41671</v>
      </c>
      <c r="R430">
        <v>27</v>
      </c>
      <c r="T43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30" t="str">
        <f>IF(tblRoster[[#This Row],[급수]]="4급(임기제)","4급",tblRoster[[#This Row],[급수]])</f>
        <v>8급</v>
      </c>
      <c r="V43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3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0" t="str">
        <f>IF(OR(tblRoster[[#This Row],[교직원상세구분]]="사회복무요원",tblRoster[[#This Row],[교직원상세구분]]="인턴(수습)"),"제외","포함")</f>
        <v>포함</v>
      </c>
      <c r="Y430">
        <f>1</f>
        <v>1</v>
      </c>
      <c r="Z430">
        <f>IF(tblRoster[[#This Row],[재직상태구분]]="휴직",1,0)</f>
        <v>0</v>
      </c>
      <c r="AA43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30">
        <f ca="1">IF(tblRoster[[#This Row],[본교발령시작일자]]="","",DATEDIF(tblRoster[[#This Row],[본교발령시작일자]],TODAY(),"Y"))</f>
        <v>24</v>
      </c>
      <c r="AC430">
        <f ca="1">IF(tblRoster[[#This Row],[최초발령시작일자]]="","",DATEDIF(tblRoster[[#This Row],[최초발령시작일자]],TODAY(),"Y"))</f>
        <v>24</v>
      </c>
      <c r="AD43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30">
        <f ca="1">IF(tblRoster[[#This Row],[직급발령시작일자]]="","",ROUND(YEARFRAC(tblRoster[[#This Row],[직급발령시작일자]],TODAY()),1))</f>
        <v>12.6</v>
      </c>
      <c r="AF430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30">
        <f ca="1">IF(OR(tblRoster[[#This Row],[공무원구분]]&lt;&gt;"공무원",tblRoster[[#This Row],[나이]]=""),"",YEAR(TODAY())+(60-tblRoster[[#This Row],[나이]]))</f>
        <v>2039</v>
      </c>
      <c r="AH430" t="str">
        <f>IF(tblRoster[[#This Row],[직위]]="","일반","보직자")</f>
        <v>일반</v>
      </c>
      <c r="AI43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0" t="str">
        <f ca="1">IF(tblRoster[[#This Row],[복직예정일]]="","",TEXT(tblRoster[[#This Row],[복직예정일]],"yyyy-mm"))</f>
        <v/>
      </c>
      <c r="AM430" t="str">
        <f ca="1">IF(tblRoster[[#This Row],[복직예정일]]="","",tblRoster[[#This Row],[복직예정일]]-TODAY())</f>
        <v/>
      </c>
      <c r="AN430" t="str">
        <f ca="1">IF(tblRoster[[#This Row],[휴직잔여일수]]="","",IF(tblRoster[[#This Row],[휴직잔여일수]]&lt;=180,"6개월내","6개월이후"))</f>
        <v/>
      </c>
      <c r="AO43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1" spans="1:41" x14ac:dyDescent="0.3">
      <c r="A431">
        <v>900429</v>
      </c>
      <c r="B431" t="s">
        <v>643</v>
      </c>
      <c r="C431" t="s">
        <v>8</v>
      </c>
      <c r="D431">
        <v>32</v>
      </c>
      <c r="E431" t="s">
        <v>128</v>
      </c>
      <c r="F431" t="s">
        <v>184</v>
      </c>
      <c r="G431" t="s">
        <v>155</v>
      </c>
      <c r="H431" t="s">
        <v>180</v>
      </c>
      <c r="I431" t="s">
        <v>144</v>
      </c>
      <c r="J431" t="s">
        <v>145</v>
      </c>
      <c r="L431" t="s">
        <v>134</v>
      </c>
      <c r="M431" t="s">
        <v>135</v>
      </c>
      <c r="N431" s="1">
        <v>43739</v>
      </c>
      <c r="O431" s="1">
        <v>43739</v>
      </c>
      <c r="P431" s="1">
        <v>46113</v>
      </c>
      <c r="Q431" s="1">
        <v>46113</v>
      </c>
      <c r="R431">
        <v>9</v>
      </c>
      <c r="T43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31" t="str">
        <f>IF(tblRoster[[#This Row],[급수]]="4급(임기제)","4급",tblRoster[[#This Row],[급수]])</f>
        <v>7급</v>
      </c>
      <c r="V43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3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1" t="str">
        <f>IF(OR(tblRoster[[#This Row],[교직원상세구분]]="사회복무요원",tblRoster[[#This Row],[교직원상세구분]]="인턴(수습)"),"제외","포함")</f>
        <v>포함</v>
      </c>
      <c r="Y431">
        <f>1</f>
        <v>1</v>
      </c>
      <c r="Z431">
        <f>IF(tblRoster[[#This Row],[재직상태구분]]="휴직",1,0)</f>
        <v>0</v>
      </c>
      <c r="AA43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31">
        <f ca="1">IF(tblRoster[[#This Row],[본교발령시작일자]]="","",DATEDIF(tblRoster[[#This Row],[본교발령시작일자]],TODAY(),"Y"))</f>
        <v>6</v>
      </c>
      <c r="AC431">
        <f ca="1">IF(tblRoster[[#This Row],[최초발령시작일자]]="","",DATEDIF(tblRoster[[#This Row],[최초발령시작일자]],TODAY(),"Y"))</f>
        <v>6</v>
      </c>
      <c r="AD43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31">
        <f ca="1">IF(tblRoster[[#This Row],[직급발령시작일자]]="","",ROUND(YEARFRAC(tblRoster[[#This Row],[직급발령시작일자]],TODAY()),1))</f>
        <v>0.4</v>
      </c>
      <c r="AF43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1">
        <f ca="1">IF(OR(tblRoster[[#This Row],[공무원구분]]&lt;&gt;"공무원",tblRoster[[#This Row],[나이]]=""),"",YEAR(TODAY())+(60-tblRoster[[#This Row],[나이]]))</f>
        <v>2054</v>
      </c>
      <c r="AH431" t="str">
        <f>IF(tblRoster[[#This Row],[직위]]="","일반","보직자")</f>
        <v>일반</v>
      </c>
      <c r="AI43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1" t="str">
        <f ca="1">IF(tblRoster[[#This Row],[복직예정일]]="","",TEXT(tblRoster[[#This Row],[복직예정일]],"yyyy-mm"))</f>
        <v/>
      </c>
      <c r="AM431" t="str">
        <f ca="1">IF(tblRoster[[#This Row],[복직예정일]]="","",tblRoster[[#This Row],[복직예정일]]-TODAY())</f>
        <v/>
      </c>
      <c r="AN431" t="str">
        <f ca="1">IF(tblRoster[[#This Row],[휴직잔여일수]]="","",IF(tblRoster[[#This Row],[휴직잔여일수]]&lt;=180,"6개월내","6개월이후"))</f>
        <v/>
      </c>
      <c r="AO43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2" spans="1:41" x14ac:dyDescent="0.3">
      <c r="A432">
        <v>900430</v>
      </c>
      <c r="B432" t="s">
        <v>94</v>
      </c>
      <c r="C432" t="s">
        <v>8</v>
      </c>
      <c r="D432">
        <v>39</v>
      </c>
      <c r="E432" t="s">
        <v>150</v>
      </c>
      <c r="F432" t="s">
        <v>171</v>
      </c>
      <c r="G432" t="s">
        <v>159</v>
      </c>
      <c r="H432" t="s">
        <v>163</v>
      </c>
      <c r="I432" t="s">
        <v>144</v>
      </c>
      <c r="J432" t="s">
        <v>145</v>
      </c>
      <c r="L432" t="s">
        <v>135</v>
      </c>
      <c r="M432" t="s">
        <v>135</v>
      </c>
      <c r="N432" s="1">
        <v>40513</v>
      </c>
      <c r="O432" s="1">
        <v>40513</v>
      </c>
      <c r="P432" s="1">
        <v>46296</v>
      </c>
      <c r="Q432" s="1">
        <v>46296</v>
      </c>
      <c r="S432" t="s">
        <v>644</v>
      </c>
      <c r="T43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32" t="str">
        <f>IF(tblRoster[[#This Row],[급수]]="4급(임기제)","4급",tblRoster[[#This Row],[급수]])</f>
        <v>6급</v>
      </c>
      <c r="V43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3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2" t="str">
        <f>IF(OR(tblRoster[[#This Row],[교직원상세구분]]="사회복무요원",tblRoster[[#This Row],[교직원상세구분]]="인턴(수습)"),"제외","포함")</f>
        <v>포함</v>
      </c>
      <c r="Y432">
        <f>1</f>
        <v>1</v>
      </c>
      <c r="Z432">
        <f>IF(tblRoster[[#This Row],[재직상태구분]]="휴직",1,0)</f>
        <v>0</v>
      </c>
      <c r="AA43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32">
        <f ca="1">IF(tblRoster[[#This Row],[본교발령시작일자]]="","",DATEDIF(tblRoster[[#This Row],[본교발령시작일자]],TODAY(),"Y"))</f>
        <v>15</v>
      </c>
      <c r="AC432">
        <f ca="1">IF(tblRoster[[#This Row],[최초발령시작일자]]="","",DATEDIF(tblRoster[[#This Row],[최초발령시작일자]],TODAY(),"Y"))</f>
        <v>15</v>
      </c>
      <c r="AD43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32">
        <f ca="1">IF(tblRoster[[#This Row],[직급발령시작일자]]="","",ROUND(YEARFRAC(tblRoster[[#This Row],[직급발령시작일자]],TODAY()),1))</f>
        <v>0.1</v>
      </c>
      <c r="AF43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2">
        <f ca="1">IF(OR(tblRoster[[#This Row],[공무원구분]]&lt;&gt;"공무원",tblRoster[[#This Row],[나이]]=""),"",YEAR(TODAY())+(60-tblRoster[[#This Row],[나이]]))</f>
        <v>2047</v>
      </c>
      <c r="AH432" t="str">
        <f>IF(tblRoster[[#This Row],[직위]]="","일반","보직자")</f>
        <v>일반</v>
      </c>
      <c r="AI43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2" t="str">
        <f ca="1">IF(tblRoster[[#This Row],[복직예정일]]="","",TEXT(tblRoster[[#This Row],[복직예정일]],"yyyy-mm"))</f>
        <v/>
      </c>
      <c r="AM432" t="str">
        <f ca="1">IF(tblRoster[[#This Row],[복직예정일]]="","",tblRoster[[#This Row],[복직예정일]]-TODAY())</f>
        <v/>
      </c>
      <c r="AN432" t="str">
        <f ca="1">IF(tblRoster[[#This Row],[휴직잔여일수]]="","",IF(tblRoster[[#This Row],[휴직잔여일수]]&lt;=180,"6개월내","6개월이후"))</f>
        <v/>
      </c>
      <c r="AO43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3" spans="1:41" x14ac:dyDescent="0.3">
      <c r="A433">
        <v>900431</v>
      </c>
      <c r="B433" t="s">
        <v>645</v>
      </c>
      <c r="C433" t="s">
        <v>8</v>
      </c>
      <c r="D433">
        <v>54</v>
      </c>
      <c r="E433" t="s">
        <v>128</v>
      </c>
      <c r="F433" t="s">
        <v>137</v>
      </c>
      <c r="G433" t="s">
        <v>138</v>
      </c>
      <c r="H433" t="s">
        <v>445</v>
      </c>
      <c r="I433" t="s">
        <v>144</v>
      </c>
      <c r="J433" t="s">
        <v>145</v>
      </c>
      <c r="L433" t="s">
        <v>134</v>
      </c>
      <c r="M433" t="s">
        <v>135</v>
      </c>
      <c r="N433" s="1">
        <v>40848</v>
      </c>
      <c r="O433" s="1">
        <v>40848</v>
      </c>
      <c r="P433" s="1">
        <v>45413</v>
      </c>
      <c r="Q433" s="1">
        <v>45413</v>
      </c>
      <c r="T43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4급(임기제)</v>
      </c>
      <c r="U433" t="str">
        <f>IF(tblRoster[[#This Row],[급수]]="4급(임기제)","4급",tblRoster[[#This Row],[급수]])</f>
        <v>4급</v>
      </c>
      <c r="V43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2</v>
      </c>
      <c r="W43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3" t="str">
        <f>IF(OR(tblRoster[[#This Row],[교직원상세구분]]="사회복무요원",tblRoster[[#This Row],[교직원상세구분]]="인턴(수습)"),"제외","포함")</f>
        <v>포함</v>
      </c>
      <c r="Y433">
        <f>1</f>
        <v>1</v>
      </c>
      <c r="Z433">
        <f>IF(tblRoster[[#This Row],[재직상태구분]]="휴직",1,0)</f>
        <v>0</v>
      </c>
      <c r="AA43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33">
        <f ca="1">IF(tblRoster[[#This Row],[본교발령시작일자]]="","",DATEDIF(tblRoster[[#This Row],[본교발령시작일자]],TODAY(),"Y"))</f>
        <v>14</v>
      </c>
      <c r="AC433">
        <f ca="1">IF(tblRoster[[#This Row],[최초발령시작일자]]="","",DATEDIF(tblRoster[[#This Row],[최초발령시작일자]],TODAY(),"Y"))</f>
        <v>14</v>
      </c>
      <c r="AD43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33">
        <f ca="1">IF(tblRoster[[#This Row],[직급발령시작일자]]="","",ROUND(YEARFRAC(tblRoster[[#This Row],[직급발령시작일자]],TODAY()),1))</f>
        <v>2.4</v>
      </c>
      <c r="AF43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3">
        <f ca="1">IF(OR(tblRoster[[#This Row],[공무원구분]]&lt;&gt;"공무원",tblRoster[[#This Row],[나이]]=""),"",YEAR(TODAY())+(60-tblRoster[[#This Row],[나이]]))</f>
        <v>2032</v>
      </c>
      <c r="AH433" t="str">
        <f>IF(tblRoster[[#This Row],[직위]]="","일반","보직자")</f>
        <v>일반</v>
      </c>
      <c r="AI43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3" t="str">
        <f ca="1">IF(tblRoster[[#This Row],[복직예정일]]="","",TEXT(tblRoster[[#This Row],[복직예정일]],"yyyy-mm"))</f>
        <v/>
      </c>
      <c r="AM433" t="str">
        <f ca="1">IF(tblRoster[[#This Row],[복직예정일]]="","",tblRoster[[#This Row],[복직예정일]]-TODAY())</f>
        <v/>
      </c>
      <c r="AN433" t="str">
        <f ca="1">IF(tblRoster[[#This Row],[휴직잔여일수]]="","",IF(tblRoster[[#This Row],[휴직잔여일수]]&lt;=180,"6개월내","6개월이후"))</f>
        <v/>
      </c>
      <c r="AO43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4" spans="1:41" x14ac:dyDescent="0.3">
      <c r="A434">
        <v>900432</v>
      </c>
      <c r="B434" t="s">
        <v>646</v>
      </c>
      <c r="C434" t="s">
        <v>8</v>
      </c>
      <c r="D434">
        <v>53</v>
      </c>
      <c r="E434" t="s">
        <v>128</v>
      </c>
      <c r="F434" t="s">
        <v>216</v>
      </c>
      <c r="G434" t="s">
        <v>207</v>
      </c>
      <c r="H434" t="s">
        <v>148</v>
      </c>
      <c r="I434" t="s">
        <v>132</v>
      </c>
      <c r="J434" t="s">
        <v>133</v>
      </c>
      <c r="L434" t="s">
        <v>135</v>
      </c>
      <c r="M434" t="s">
        <v>135</v>
      </c>
      <c r="N434" s="1">
        <v>37561</v>
      </c>
      <c r="O434" s="1">
        <v>37561</v>
      </c>
      <c r="P434" s="1">
        <v>42491</v>
      </c>
      <c r="Q434" s="1">
        <v>42491</v>
      </c>
      <c r="R434">
        <v>26</v>
      </c>
      <c r="T43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34" t="str">
        <f>IF(tblRoster[[#This Row],[급수]]="4급(임기제)","4급",tblRoster[[#This Row],[급수]])</f>
        <v>대학회계계약직</v>
      </c>
      <c r="V43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3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34" t="str">
        <f>IF(OR(tblRoster[[#This Row],[교직원상세구분]]="사회복무요원",tblRoster[[#This Row],[교직원상세구분]]="인턴(수습)"),"제외","포함")</f>
        <v>포함</v>
      </c>
      <c r="Y434">
        <f>1</f>
        <v>1</v>
      </c>
      <c r="Z434">
        <f>IF(tblRoster[[#This Row],[재직상태구분]]="휴직",1,0)</f>
        <v>0</v>
      </c>
      <c r="AA43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34">
        <f ca="1">IF(tblRoster[[#This Row],[본교발령시작일자]]="","",DATEDIF(tblRoster[[#This Row],[본교발령시작일자]],TODAY(),"Y"))</f>
        <v>23</v>
      </c>
      <c r="AC434">
        <f ca="1">IF(tblRoster[[#This Row],[최초발령시작일자]]="","",DATEDIF(tblRoster[[#This Row],[최초발령시작일자]],TODAY(),"Y"))</f>
        <v>23</v>
      </c>
      <c r="AD43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34">
        <f ca="1">IF(tblRoster[[#This Row],[직급발령시작일자]]="","",ROUND(YEARFRAC(tblRoster[[#This Row],[직급발령시작일자]],TODAY()),1))</f>
        <v>10.4</v>
      </c>
      <c r="AF434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34" t="str">
        <f ca="1">IF(OR(tblRoster[[#This Row],[공무원구분]]&lt;&gt;"공무원",tblRoster[[#This Row],[나이]]=""),"",YEAR(TODAY())+(60-tblRoster[[#This Row],[나이]]))</f>
        <v/>
      </c>
      <c r="AH434" t="str">
        <f>IF(tblRoster[[#This Row],[직위]]="","일반","보직자")</f>
        <v>일반</v>
      </c>
      <c r="AI43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4" t="str">
        <f ca="1">IF(tblRoster[[#This Row],[복직예정일]]="","",TEXT(tblRoster[[#This Row],[복직예정일]],"yyyy-mm"))</f>
        <v/>
      </c>
      <c r="AM434" t="str">
        <f ca="1">IF(tblRoster[[#This Row],[복직예정일]]="","",tblRoster[[#This Row],[복직예정일]]-TODAY())</f>
        <v/>
      </c>
      <c r="AN434" t="str">
        <f ca="1">IF(tblRoster[[#This Row],[휴직잔여일수]]="","",IF(tblRoster[[#This Row],[휴직잔여일수]]&lt;=180,"6개월내","6개월이후"))</f>
        <v/>
      </c>
      <c r="AO43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5" spans="1:41" x14ac:dyDescent="0.3">
      <c r="A435">
        <v>900433</v>
      </c>
      <c r="B435" t="s">
        <v>647</v>
      </c>
      <c r="C435" t="s">
        <v>8</v>
      </c>
      <c r="D435">
        <v>44</v>
      </c>
      <c r="E435" t="s">
        <v>128</v>
      </c>
      <c r="F435" t="s">
        <v>158</v>
      </c>
      <c r="G435" t="s">
        <v>197</v>
      </c>
      <c r="H435" t="s">
        <v>175</v>
      </c>
      <c r="I435" t="s">
        <v>144</v>
      </c>
      <c r="J435" t="s">
        <v>145</v>
      </c>
      <c r="L435" t="s">
        <v>134</v>
      </c>
      <c r="M435" t="s">
        <v>135</v>
      </c>
      <c r="N435" s="1">
        <v>42736</v>
      </c>
      <c r="O435" s="1">
        <v>42736</v>
      </c>
      <c r="P435" s="1">
        <v>42736</v>
      </c>
      <c r="Q435" s="1">
        <v>42736</v>
      </c>
      <c r="R435">
        <v>12</v>
      </c>
      <c r="T43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35" t="str">
        <f>IF(tblRoster[[#This Row],[급수]]="4급(임기제)","4급",tblRoster[[#This Row],[급수]])</f>
        <v>9급</v>
      </c>
      <c r="V43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3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5" t="str">
        <f>IF(OR(tblRoster[[#This Row],[교직원상세구분]]="사회복무요원",tblRoster[[#This Row],[교직원상세구분]]="인턴(수습)"),"제외","포함")</f>
        <v>포함</v>
      </c>
      <c r="Y435">
        <f>1</f>
        <v>1</v>
      </c>
      <c r="Z435">
        <f>IF(tblRoster[[#This Row],[재직상태구분]]="휴직",1,0)</f>
        <v>0</v>
      </c>
      <c r="AA43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35">
        <f ca="1">IF(tblRoster[[#This Row],[본교발령시작일자]]="","",DATEDIF(tblRoster[[#This Row],[본교발령시작일자]],TODAY(),"Y"))</f>
        <v>9</v>
      </c>
      <c r="AC435">
        <f ca="1">IF(tblRoster[[#This Row],[최초발령시작일자]]="","",DATEDIF(tblRoster[[#This Row],[최초발령시작일자]],TODAY(),"Y"))</f>
        <v>9</v>
      </c>
      <c r="AD43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35">
        <f ca="1">IF(tblRoster[[#This Row],[직급발령시작일자]]="","",ROUND(YEARFRAC(tblRoster[[#This Row],[직급발령시작일자]],TODAY()),1))</f>
        <v>9.6999999999999993</v>
      </c>
      <c r="AF43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35">
        <f ca="1">IF(OR(tblRoster[[#This Row],[공무원구분]]&lt;&gt;"공무원",tblRoster[[#This Row],[나이]]=""),"",YEAR(TODAY())+(60-tblRoster[[#This Row],[나이]]))</f>
        <v>2042</v>
      </c>
      <c r="AH435" t="str">
        <f>IF(tblRoster[[#This Row],[직위]]="","일반","보직자")</f>
        <v>일반</v>
      </c>
      <c r="AI43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5" t="str">
        <f ca="1">IF(tblRoster[[#This Row],[복직예정일]]="","",TEXT(tblRoster[[#This Row],[복직예정일]],"yyyy-mm"))</f>
        <v/>
      </c>
      <c r="AM435" t="str">
        <f ca="1">IF(tblRoster[[#This Row],[복직예정일]]="","",tblRoster[[#This Row],[복직예정일]]-TODAY())</f>
        <v/>
      </c>
      <c r="AN435" t="str">
        <f ca="1">IF(tblRoster[[#This Row],[휴직잔여일수]]="","",IF(tblRoster[[#This Row],[휴직잔여일수]]&lt;=180,"6개월내","6개월이후"))</f>
        <v/>
      </c>
      <c r="AO43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6" spans="1:41" x14ac:dyDescent="0.3">
      <c r="A436">
        <v>900434</v>
      </c>
      <c r="B436" t="s">
        <v>648</v>
      </c>
      <c r="C436" t="s">
        <v>8</v>
      </c>
      <c r="D436">
        <v>35</v>
      </c>
      <c r="E436" t="s">
        <v>150</v>
      </c>
      <c r="F436" t="s">
        <v>154</v>
      </c>
      <c r="G436" t="s">
        <v>185</v>
      </c>
      <c r="H436" t="s">
        <v>219</v>
      </c>
      <c r="I436" t="s">
        <v>144</v>
      </c>
      <c r="J436" t="s">
        <v>145</v>
      </c>
      <c r="L436" t="s">
        <v>134</v>
      </c>
      <c r="M436" t="s">
        <v>135</v>
      </c>
      <c r="N436" s="1">
        <v>45962</v>
      </c>
      <c r="O436" s="1">
        <v>46357</v>
      </c>
      <c r="P436" s="1">
        <v>46357</v>
      </c>
      <c r="Q436" s="1">
        <v>46357</v>
      </c>
      <c r="R436">
        <v>4</v>
      </c>
      <c r="T43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36" t="str">
        <f>IF(tblRoster[[#This Row],[급수]]="4급(임기제)","4급",tblRoster[[#This Row],[급수]])</f>
        <v>8급</v>
      </c>
      <c r="V43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3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6" t="str">
        <f>IF(OR(tblRoster[[#This Row],[교직원상세구분]]="사회복무요원",tblRoster[[#This Row],[교직원상세구분]]="인턴(수습)"),"제외","포함")</f>
        <v>포함</v>
      </c>
      <c r="Y436">
        <f>1</f>
        <v>1</v>
      </c>
      <c r="Z436">
        <f>IF(tblRoster[[#This Row],[재직상태구분]]="휴직",1,0)</f>
        <v>0</v>
      </c>
      <c r="AA43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36" t="e">
        <f ca="1">IF(tblRoster[[#This Row],[본교발령시작일자]]="","",DATEDIF(tblRoster[[#This Row],[본교발령시작일자]],TODAY(),"Y"))</f>
        <v>#NUM!</v>
      </c>
      <c r="AC436">
        <f ca="1">IF(tblRoster[[#This Row],[최초발령시작일자]]="","",DATEDIF(tblRoster[[#This Row],[최초발령시작일자]],TODAY(),"Y"))</f>
        <v>0</v>
      </c>
      <c r="AD43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36">
        <f ca="1">IF(tblRoster[[#This Row],[직급발령시작일자]]="","",ROUND(YEARFRAC(tblRoster[[#This Row],[직급발령시작일자]],TODAY()),1))</f>
        <v>0.2</v>
      </c>
      <c r="AF43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6">
        <f ca="1">IF(OR(tblRoster[[#This Row],[공무원구분]]&lt;&gt;"공무원",tblRoster[[#This Row],[나이]]=""),"",YEAR(TODAY())+(60-tblRoster[[#This Row],[나이]]))</f>
        <v>2051</v>
      </c>
      <c r="AH436" t="str">
        <f>IF(tblRoster[[#This Row],[직위]]="","일반","보직자")</f>
        <v>일반</v>
      </c>
      <c r="AI43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6" t="str">
        <f ca="1">IF(tblRoster[[#This Row],[복직예정일]]="","",TEXT(tblRoster[[#This Row],[복직예정일]],"yyyy-mm"))</f>
        <v/>
      </c>
      <c r="AM436" t="str">
        <f ca="1">IF(tblRoster[[#This Row],[복직예정일]]="","",tblRoster[[#This Row],[복직예정일]]-TODAY())</f>
        <v/>
      </c>
      <c r="AN436" t="str">
        <f ca="1">IF(tblRoster[[#This Row],[휴직잔여일수]]="","",IF(tblRoster[[#This Row],[휴직잔여일수]]&lt;=180,"6개월내","6개월이후"))</f>
        <v/>
      </c>
      <c r="AO43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7" spans="1:41" x14ac:dyDescent="0.3">
      <c r="A437">
        <v>900435</v>
      </c>
      <c r="B437" t="s">
        <v>649</v>
      </c>
      <c r="C437" t="s">
        <v>8</v>
      </c>
      <c r="D437">
        <v>48</v>
      </c>
      <c r="E437" t="s">
        <v>150</v>
      </c>
      <c r="F437" t="s">
        <v>189</v>
      </c>
      <c r="G437" t="s">
        <v>151</v>
      </c>
      <c r="H437" t="s">
        <v>296</v>
      </c>
      <c r="I437" t="s">
        <v>132</v>
      </c>
      <c r="J437" t="s">
        <v>133</v>
      </c>
      <c r="L437" t="s">
        <v>134</v>
      </c>
      <c r="M437" t="s">
        <v>135</v>
      </c>
      <c r="N437" s="1">
        <v>44470</v>
      </c>
      <c r="O437" s="1">
        <v>44593</v>
      </c>
      <c r="P437" s="1">
        <v>46143</v>
      </c>
      <c r="Q437" s="1">
        <v>46143</v>
      </c>
      <c r="R437">
        <v>6</v>
      </c>
      <c r="T43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37" t="str">
        <f>IF(tblRoster[[#This Row],[급수]]="4급(임기제)","4급",tblRoster[[#This Row],[급수]])</f>
        <v>대학회계계약직</v>
      </c>
      <c r="V43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3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37" t="str">
        <f>IF(OR(tblRoster[[#This Row],[교직원상세구분]]="사회복무요원",tblRoster[[#This Row],[교직원상세구분]]="인턴(수습)"),"제외","포함")</f>
        <v>포함</v>
      </c>
      <c r="Y437">
        <f>1</f>
        <v>1</v>
      </c>
      <c r="Z437">
        <f>IF(tblRoster[[#This Row],[재직상태구분]]="휴직",1,0)</f>
        <v>0</v>
      </c>
      <c r="AA43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37">
        <f ca="1">IF(tblRoster[[#This Row],[본교발령시작일자]]="","",DATEDIF(tblRoster[[#This Row],[본교발령시작일자]],TODAY(),"Y"))</f>
        <v>4</v>
      </c>
      <c r="AC437">
        <f ca="1">IF(tblRoster[[#This Row],[최초발령시작일자]]="","",DATEDIF(tblRoster[[#This Row],[최초발령시작일자]],TODAY(),"Y"))</f>
        <v>4</v>
      </c>
      <c r="AD43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37">
        <f ca="1">IF(tblRoster[[#This Row],[직급발령시작일자]]="","",ROUND(YEARFRAC(tblRoster[[#This Row],[직급발령시작일자]],TODAY()),1))</f>
        <v>0.4</v>
      </c>
      <c r="AF43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7" t="str">
        <f ca="1">IF(OR(tblRoster[[#This Row],[공무원구분]]&lt;&gt;"공무원",tblRoster[[#This Row],[나이]]=""),"",YEAR(TODAY())+(60-tblRoster[[#This Row],[나이]]))</f>
        <v/>
      </c>
      <c r="AH437" t="str">
        <f>IF(tblRoster[[#This Row],[직위]]="","일반","보직자")</f>
        <v>일반</v>
      </c>
      <c r="AI43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7" t="str">
        <f ca="1">IF(tblRoster[[#This Row],[복직예정일]]="","",TEXT(tblRoster[[#This Row],[복직예정일]],"yyyy-mm"))</f>
        <v/>
      </c>
      <c r="AM437" t="str">
        <f ca="1">IF(tblRoster[[#This Row],[복직예정일]]="","",tblRoster[[#This Row],[복직예정일]]-TODAY())</f>
        <v/>
      </c>
      <c r="AN437" t="str">
        <f ca="1">IF(tblRoster[[#This Row],[휴직잔여일수]]="","",IF(tblRoster[[#This Row],[휴직잔여일수]]&lt;=180,"6개월내","6개월이후"))</f>
        <v/>
      </c>
      <c r="AO43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8" spans="1:41" x14ac:dyDescent="0.3">
      <c r="A438">
        <v>900436</v>
      </c>
      <c r="B438" t="s">
        <v>650</v>
      </c>
      <c r="C438" t="s">
        <v>8</v>
      </c>
      <c r="D438">
        <v>51</v>
      </c>
      <c r="E438" t="s">
        <v>150</v>
      </c>
      <c r="F438" t="s">
        <v>171</v>
      </c>
      <c r="G438" t="s">
        <v>202</v>
      </c>
      <c r="H438" t="s">
        <v>193</v>
      </c>
      <c r="I438" t="s">
        <v>144</v>
      </c>
      <c r="J438" t="s">
        <v>145</v>
      </c>
      <c r="L438" t="s">
        <v>134</v>
      </c>
      <c r="M438" t="s">
        <v>135</v>
      </c>
      <c r="N438" s="1">
        <v>37135</v>
      </c>
      <c r="O438" s="1">
        <v>45870</v>
      </c>
      <c r="P438" s="1">
        <v>45870</v>
      </c>
      <c r="Q438" s="1">
        <v>45870</v>
      </c>
      <c r="R438">
        <v>26</v>
      </c>
      <c r="T43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4급</v>
      </c>
      <c r="U438" t="str">
        <f>IF(tblRoster[[#This Row],[급수]]="4급(임기제)","4급",tblRoster[[#This Row],[급수]])</f>
        <v>4급</v>
      </c>
      <c r="V43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</v>
      </c>
      <c r="W43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38" t="str">
        <f>IF(OR(tblRoster[[#This Row],[교직원상세구분]]="사회복무요원",tblRoster[[#This Row],[교직원상세구분]]="인턴(수습)"),"제외","포함")</f>
        <v>포함</v>
      </c>
      <c r="Y438">
        <f>1</f>
        <v>1</v>
      </c>
      <c r="Z438">
        <f>IF(tblRoster[[#This Row],[재직상태구분]]="휴직",1,0)</f>
        <v>0</v>
      </c>
      <c r="AA43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38">
        <f ca="1">IF(tblRoster[[#This Row],[본교발령시작일자]]="","",DATEDIF(tblRoster[[#This Row],[본교발령시작일자]],TODAY(),"Y"))</f>
        <v>1</v>
      </c>
      <c r="AC438">
        <f ca="1">IF(tblRoster[[#This Row],[최초발령시작일자]]="","",DATEDIF(tblRoster[[#This Row],[최초발령시작일자]],TODAY(),"Y"))</f>
        <v>25</v>
      </c>
      <c r="AD43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38">
        <f ca="1">IF(tblRoster[[#This Row],[직급발령시작일자]]="","",ROUND(YEARFRAC(tblRoster[[#This Row],[직급발령시작일자]],TODAY()),1))</f>
        <v>1.1000000000000001</v>
      </c>
      <c r="AF43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8">
        <f ca="1">IF(OR(tblRoster[[#This Row],[공무원구분]]&lt;&gt;"공무원",tblRoster[[#This Row],[나이]]=""),"",YEAR(TODAY())+(60-tblRoster[[#This Row],[나이]]))</f>
        <v>2035</v>
      </c>
      <c r="AH438" t="str">
        <f>IF(tblRoster[[#This Row],[직위]]="","일반","보직자")</f>
        <v>일반</v>
      </c>
      <c r="AI43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8" t="str">
        <f ca="1">IF(tblRoster[[#This Row],[복직예정일]]="","",TEXT(tblRoster[[#This Row],[복직예정일]],"yyyy-mm"))</f>
        <v/>
      </c>
      <c r="AM438" t="str">
        <f ca="1">IF(tblRoster[[#This Row],[복직예정일]]="","",tblRoster[[#This Row],[복직예정일]]-TODAY())</f>
        <v/>
      </c>
      <c r="AN438" t="str">
        <f ca="1">IF(tblRoster[[#This Row],[휴직잔여일수]]="","",IF(tblRoster[[#This Row],[휴직잔여일수]]&lt;=180,"6개월내","6개월이후"))</f>
        <v/>
      </c>
      <c r="AO43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39" spans="1:41" x14ac:dyDescent="0.3">
      <c r="A439">
        <v>900437</v>
      </c>
      <c r="B439" t="s">
        <v>651</v>
      </c>
      <c r="C439" t="s">
        <v>8</v>
      </c>
      <c r="D439">
        <v>32</v>
      </c>
      <c r="E439" t="s">
        <v>128</v>
      </c>
      <c r="F439" t="s">
        <v>154</v>
      </c>
      <c r="G439" t="s">
        <v>155</v>
      </c>
      <c r="H439" t="s">
        <v>148</v>
      </c>
      <c r="I439" t="s">
        <v>132</v>
      </c>
      <c r="J439" t="s">
        <v>133</v>
      </c>
      <c r="L439" t="s">
        <v>134</v>
      </c>
      <c r="M439" t="s">
        <v>135</v>
      </c>
      <c r="N439" s="1">
        <v>44531</v>
      </c>
      <c r="O439" s="1">
        <v>44531</v>
      </c>
      <c r="P439" s="1">
        <v>44531</v>
      </c>
      <c r="Q439" s="1">
        <v>44531</v>
      </c>
      <c r="R439">
        <v>7</v>
      </c>
      <c r="T43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39" t="str">
        <f>IF(tblRoster[[#This Row],[급수]]="4급(임기제)","4급",tblRoster[[#This Row],[급수]])</f>
        <v>대학회계계약직</v>
      </c>
      <c r="V43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3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39" t="str">
        <f>IF(OR(tblRoster[[#This Row],[교직원상세구분]]="사회복무요원",tblRoster[[#This Row],[교직원상세구분]]="인턴(수습)"),"제외","포함")</f>
        <v>포함</v>
      </c>
      <c r="Y439">
        <f>1</f>
        <v>1</v>
      </c>
      <c r="Z439">
        <f>IF(tblRoster[[#This Row],[재직상태구분]]="휴직",1,0)</f>
        <v>0</v>
      </c>
      <c r="AA43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39">
        <f ca="1">IF(tblRoster[[#This Row],[본교발령시작일자]]="","",DATEDIF(tblRoster[[#This Row],[본교발령시작일자]],TODAY(),"Y"))</f>
        <v>4</v>
      </c>
      <c r="AC439">
        <f ca="1">IF(tblRoster[[#This Row],[최초발령시작일자]]="","",DATEDIF(tblRoster[[#This Row],[최초발령시작일자]],TODAY(),"Y"))</f>
        <v>4</v>
      </c>
      <c r="AD43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39">
        <f ca="1">IF(tblRoster[[#This Row],[직급발령시작일자]]="","",ROUND(YEARFRAC(tblRoster[[#This Row],[직급발령시작일자]],TODAY()),1))</f>
        <v>4.8</v>
      </c>
      <c r="AF43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39" t="str">
        <f ca="1">IF(OR(tblRoster[[#This Row],[공무원구분]]&lt;&gt;"공무원",tblRoster[[#This Row],[나이]]=""),"",YEAR(TODAY())+(60-tblRoster[[#This Row],[나이]]))</f>
        <v/>
      </c>
      <c r="AH439" t="str">
        <f>IF(tblRoster[[#This Row],[직위]]="","일반","보직자")</f>
        <v>일반</v>
      </c>
      <c r="AI43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3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3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39" t="str">
        <f ca="1">IF(tblRoster[[#This Row],[복직예정일]]="","",TEXT(tblRoster[[#This Row],[복직예정일]],"yyyy-mm"))</f>
        <v/>
      </c>
      <c r="AM439" t="str">
        <f ca="1">IF(tblRoster[[#This Row],[복직예정일]]="","",tblRoster[[#This Row],[복직예정일]]-TODAY())</f>
        <v/>
      </c>
      <c r="AN439" t="str">
        <f ca="1">IF(tblRoster[[#This Row],[휴직잔여일수]]="","",IF(tblRoster[[#This Row],[휴직잔여일수]]&lt;=180,"6개월내","6개월이후"))</f>
        <v/>
      </c>
      <c r="AO43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0" spans="1:41" x14ac:dyDescent="0.3">
      <c r="A440">
        <v>900438</v>
      </c>
      <c r="B440" t="s">
        <v>652</v>
      </c>
      <c r="C440" t="s">
        <v>8</v>
      </c>
      <c r="D440">
        <v>26</v>
      </c>
      <c r="E440" t="s">
        <v>150</v>
      </c>
      <c r="F440" t="s">
        <v>184</v>
      </c>
      <c r="G440" t="s">
        <v>185</v>
      </c>
      <c r="H440" t="s">
        <v>186</v>
      </c>
      <c r="I440" t="s">
        <v>186</v>
      </c>
      <c r="J440" t="s">
        <v>133</v>
      </c>
      <c r="L440" t="s">
        <v>134</v>
      </c>
      <c r="M440" t="s">
        <v>135</v>
      </c>
      <c r="N440" s="1">
        <v>44774</v>
      </c>
      <c r="O440" s="1">
        <v>44774</v>
      </c>
      <c r="P440" s="1">
        <v>44774</v>
      </c>
      <c r="Q440" s="1">
        <v>44774</v>
      </c>
      <c r="T44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440" t="str">
        <f>IF(tblRoster[[#This Row],[급수]]="4급(임기제)","4급",tblRoster[[#This Row],[급수]])</f>
        <v>사회복무요원</v>
      </c>
      <c r="V44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44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40" t="str">
        <f>IF(OR(tblRoster[[#This Row],[교직원상세구분]]="사회복무요원",tblRoster[[#This Row],[교직원상세구분]]="인턴(수습)"),"제외","포함")</f>
        <v>제외</v>
      </c>
      <c r="Y440">
        <f>1</f>
        <v>1</v>
      </c>
      <c r="Z440">
        <f>IF(tblRoster[[#This Row],[재직상태구분]]="휴직",1,0)</f>
        <v>0</v>
      </c>
      <c r="AA44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40">
        <f ca="1">IF(tblRoster[[#This Row],[본교발령시작일자]]="","",DATEDIF(tblRoster[[#This Row],[본교발령시작일자]],TODAY(),"Y"))</f>
        <v>4</v>
      </c>
      <c r="AC440">
        <f ca="1">IF(tblRoster[[#This Row],[최초발령시작일자]]="","",DATEDIF(tblRoster[[#This Row],[최초발령시작일자]],TODAY(),"Y"))</f>
        <v>4</v>
      </c>
      <c r="AD44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40">
        <f ca="1">IF(tblRoster[[#This Row],[직급발령시작일자]]="","",ROUND(YEARFRAC(tblRoster[[#This Row],[직급발령시작일자]],TODAY()),1))</f>
        <v>4.0999999999999996</v>
      </c>
      <c r="AF44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0" t="str">
        <f ca="1">IF(OR(tblRoster[[#This Row],[공무원구분]]&lt;&gt;"공무원",tblRoster[[#This Row],[나이]]=""),"",YEAR(TODAY())+(60-tblRoster[[#This Row],[나이]]))</f>
        <v/>
      </c>
      <c r="AH440" t="str">
        <f>IF(tblRoster[[#This Row],[직위]]="","일반","보직자")</f>
        <v>일반</v>
      </c>
      <c r="AI44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0" t="str">
        <f ca="1">IF(tblRoster[[#This Row],[복직예정일]]="","",TEXT(tblRoster[[#This Row],[복직예정일]],"yyyy-mm"))</f>
        <v/>
      </c>
      <c r="AM440" t="str">
        <f ca="1">IF(tblRoster[[#This Row],[복직예정일]]="","",tblRoster[[#This Row],[복직예정일]]-TODAY())</f>
        <v/>
      </c>
      <c r="AN440" t="str">
        <f ca="1">IF(tblRoster[[#This Row],[휴직잔여일수]]="","",IF(tblRoster[[#This Row],[휴직잔여일수]]&lt;=180,"6개월내","6개월이후"))</f>
        <v/>
      </c>
      <c r="AO44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1" spans="1:41" x14ac:dyDescent="0.3">
      <c r="A441">
        <v>900439</v>
      </c>
      <c r="B441" t="s">
        <v>653</v>
      </c>
      <c r="C441" t="s">
        <v>8</v>
      </c>
      <c r="D441">
        <v>26</v>
      </c>
      <c r="E441" t="s">
        <v>150</v>
      </c>
      <c r="F441" t="s">
        <v>179</v>
      </c>
      <c r="G441" t="s">
        <v>130</v>
      </c>
      <c r="H441" t="s">
        <v>296</v>
      </c>
      <c r="I441" t="s">
        <v>132</v>
      </c>
      <c r="J441" t="s">
        <v>133</v>
      </c>
      <c r="L441" t="s">
        <v>135</v>
      </c>
      <c r="M441" t="s">
        <v>135</v>
      </c>
      <c r="N441" s="1">
        <v>45017</v>
      </c>
      <c r="O441" s="1">
        <v>44531</v>
      </c>
      <c r="P441" s="1">
        <v>45474</v>
      </c>
      <c r="Q441" s="1">
        <v>45474</v>
      </c>
      <c r="R441">
        <v>5</v>
      </c>
      <c r="T44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41" t="str">
        <f>IF(tblRoster[[#This Row],[급수]]="4급(임기제)","4급",tblRoster[[#This Row],[급수]])</f>
        <v>대학회계계약직</v>
      </c>
      <c r="V44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4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41" t="str">
        <f>IF(OR(tblRoster[[#This Row],[교직원상세구분]]="사회복무요원",tblRoster[[#This Row],[교직원상세구분]]="인턴(수습)"),"제외","포함")</f>
        <v>포함</v>
      </c>
      <c r="Y441">
        <f>1</f>
        <v>1</v>
      </c>
      <c r="Z441">
        <f>IF(tblRoster[[#This Row],[재직상태구분]]="휴직",1,0)</f>
        <v>0</v>
      </c>
      <c r="AA44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41">
        <f ca="1">IF(tblRoster[[#This Row],[본교발령시작일자]]="","",DATEDIF(tblRoster[[#This Row],[본교발령시작일자]],TODAY(),"Y"))</f>
        <v>4</v>
      </c>
      <c r="AC441">
        <f ca="1">IF(tblRoster[[#This Row],[최초발령시작일자]]="","",DATEDIF(tblRoster[[#This Row],[최초발령시작일자]],TODAY(),"Y"))</f>
        <v>3</v>
      </c>
      <c r="AD44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41">
        <f ca="1">IF(tblRoster[[#This Row],[직급발령시작일자]]="","",ROUND(YEARFRAC(tblRoster[[#This Row],[직급발령시작일자]],TODAY()),1))</f>
        <v>2.2000000000000002</v>
      </c>
      <c r="AF44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1" t="str">
        <f ca="1">IF(OR(tblRoster[[#This Row],[공무원구분]]&lt;&gt;"공무원",tblRoster[[#This Row],[나이]]=""),"",YEAR(TODAY())+(60-tblRoster[[#This Row],[나이]]))</f>
        <v/>
      </c>
      <c r="AH441" t="str">
        <f>IF(tblRoster[[#This Row],[직위]]="","일반","보직자")</f>
        <v>일반</v>
      </c>
      <c r="AI44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1" t="str">
        <f ca="1">IF(tblRoster[[#This Row],[복직예정일]]="","",TEXT(tblRoster[[#This Row],[복직예정일]],"yyyy-mm"))</f>
        <v/>
      </c>
      <c r="AM441" t="str">
        <f ca="1">IF(tblRoster[[#This Row],[복직예정일]]="","",tblRoster[[#This Row],[복직예정일]]-TODAY())</f>
        <v/>
      </c>
      <c r="AN441" t="str">
        <f ca="1">IF(tblRoster[[#This Row],[휴직잔여일수]]="","",IF(tblRoster[[#This Row],[휴직잔여일수]]&lt;=180,"6개월내","6개월이후"))</f>
        <v/>
      </c>
      <c r="AO44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2" spans="1:41" x14ac:dyDescent="0.3">
      <c r="A442">
        <v>900440</v>
      </c>
      <c r="B442" t="s">
        <v>654</v>
      </c>
      <c r="C442" t="s">
        <v>8</v>
      </c>
      <c r="D442">
        <v>59</v>
      </c>
      <c r="E442" t="s">
        <v>128</v>
      </c>
      <c r="F442" t="s">
        <v>137</v>
      </c>
      <c r="G442" t="s">
        <v>197</v>
      </c>
      <c r="H442" t="s">
        <v>163</v>
      </c>
      <c r="I442" t="s">
        <v>144</v>
      </c>
      <c r="J442" t="s">
        <v>145</v>
      </c>
      <c r="L442" t="s">
        <v>134</v>
      </c>
      <c r="M442" t="s">
        <v>135</v>
      </c>
      <c r="N442" s="1">
        <v>37135</v>
      </c>
      <c r="O442" s="1">
        <v>37135</v>
      </c>
      <c r="P442" s="1">
        <v>45200</v>
      </c>
      <c r="Q442" s="1">
        <v>45200</v>
      </c>
      <c r="R442">
        <v>28</v>
      </c>
      <c r="T44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42" t="str">
        <f>IF(tblRoster[[#This Row],[급수]]="4급(임기제)","4급",tblRoster[[#This Row],[급수]])</f>
        <v>6급</v>
      </c>
      <c r="V44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4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42" t="str">
        <f>IF(OR(tblRoster[[#This Row],[교직원상세구분]]="사회복무요원",tblRoster[[#This Row],[교직원상세구분]]="인턴(수습)"),"제외","포함")</f>
        <v>포함</v>
      </c>
      <c r="Y442">
        <f>1</f>
        <v>1</v>
      </c>
      <c r="Z442">
        <f>IF(tblRoster[[#This Row],[재직상태구분]]="휴직",1,0)</f>
        <v>0</v>
      </c>
      <c r="AA44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42">
        <f ca="1">IF(tblRoster[[#This Row],[본교발령시작일자]]="","",DATEDIF(tblRoster[[#This Row],[본교발령시작일자]],TODAY(),"Y"))</f>
        <v>25</v>
      </c>
      <c r="AC442">
        <f ca="1">IF(tblRoster[[#This Row],[최초발령시작일자]]="","",DATEDIF(tblRoster[[#This Row],[최초발령시작일자]],TODAY(),"Y"))</f>
        <v>25</v>
      </c>
      <c r="AD44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42">
        <f ca="1">IF(tblRoster[[#This Row],[직급발령시작일자]]="","",ROUND(YEARFRAC(tblRoster[[#This Row],[직급발령시작일자]],TODAY()),1))</f>
        <v>2.9</v>
      </c>
      <c r="AF442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2">
        <f ca="1">IF(OR(tblRoster[[#This Row],[공무원구분]]&lt;&gt;"공무원",tblRoster[[#This Row],[나이]]=""),"",YEAR(TODAY())+(60-tblRoster[[#This Row],[나이]]))</f>
        <v>2027</v>
      </c>
      <c r="AH442" t="str">
        <f>IF(tblRoster[[#This Row],[직위]]="","일반","보직자")</f>
        <v>일반</v>
      </c>
      <c r="AI44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2" t="str">
        <f ca="1">IF(tblRoster[[#This Row],[복직예정일]]="","",TEXT(tblRoster[[#This Row],[복직예정일]],"yyyy-mm"))</f>
        <v/>
      </c>
      <c r="AM442" t="str">
        <f ca="1">IF(tblRoster[[#This Row],[복직예정일]]="","",tblRoster[[#This Row],[복직예정일]]-TODAY())</f>
        <v/>
      </c>
      <c r="AN442" t="str">
        <f ca="1">IF(tblRoster[[#This Row],[휴직잔여일수]]="","",IF(tblRoster[[#This Row],[휴직잔여일수]]&lt;=180,"6개월내","6개월이후"))</f>
        <v/>
      </c>
      <c r="AO44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3" spans="1:41" x14ac:dyDescent="0.3">
      <c r="A443">
        <v>900441</v>
      </c>
      <c r="B443" t="s">
        <v>95</v>
      </c>
      <c r="C443" t="s">
        <v>8</v>
      </c>
      <c r="D443">
        <v>46</v>
      </c>
      <c r="E443" t="s">
        <v>128</v>
      </c>
      <c r="F443" t="s">
        <v>246</v>
      </c>
      <c r="G443" t="s">
        <v>222</v>
      </c>
      <c r="H443" t="s">
        <v>238</v>
      </c>
      <c r="I443" t="s">
        <v>239</v>
      </c>
      <c r="J443" t="s">
        <v>133</v>
      </c>
      <c r="L443" t="s">
        <v>134</v>
      </c>
      <c r="M443" t="s">
        <v>135</v>
      </c>
      <c r="N443" s="1">
        <v>42979</v>
      </c>
      <c r="O443" s="1">
        <v>42979</v>
      </c>
      <c r="P443" s="1">
        <v>45809</v>
      </c>
      <c r="Q443" s="1">
        <v>45809</v>
      </c>
      <c r="R443">
        <v>11</v>
      </c>
      <c r="S443" t="s">
        <v>655</v>
      </c>
      <c r="T44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443" t="str">
        <f>IF(tblRoster[[#This Row],[급수]]="4급(임기제)","4급",tblRoster[[#This Row],[급수]])</f>
        <v>대학회계직</v>
      </c>
      <c r="V44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44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443" t="str">
        <f>IF(OR(tblRoster[[#This Row],[교직원상세구분]]="사회복무요원",tblRoster[[#This Row],[교직원상세구분]]="인턴(수습)"),"제외","포함")</f>
        <v>포함</v>
      </c>
      <c r="Y443">
        <f>1</f>
        <v>1</v>
      </c>
      <c r="Z443">
        <f>IF(tblRoster[[#This Row],[재직상태구분]]="휴직",1,0)</f>
        <v>0</v>
      </c>
      <c r="AA44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43">
        <f ca="1">IF(tblRoster[[#This Row],[본교발령시작일자]]="","",DATEDIF(tblRoster[[#This Row],[본교발령시작일자]],TODAY(),"Y"))</f>
        <v>9</v>
      </c>
      <c r="AC443">
        <f ca="1">IF(tblRoster[[#This Row],[최초발령시작일자]]="","",DATEDIF(tblRoster[[#This Row],[최초발령시작일자]],TODAY(),"Y"))</f>
        <v>9</v>
      </c>
      <c r="AD44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43">
        <f ca="1">IF(tblRoster[[#This Row],[직급발령시작일자]]="","",ROUND(YEARFRAC(tblRoster[[#This Row],[직급발령시작일자]],TODAY()),1))</f>
        <v>1.3</v>
      </c>
      <c r="AF44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3" t="str">
        <f ca="1">IF(OR(tblRoster[[#This Row],[공무원구분]]&lt;&gt;"공무원",tblRoster[[#This Row],[나이]]=""),"",YEAR(TODAY())+(60-tblRoster[[#This Row],[나이]]))</f>
        <v/>
      </c>
      <c r="AH443" t="str">
        <f>IF(tblRoster[[#This Row],[직위]]="","일반","보직자")</f>
        <v>일반</v>
      </c>
      <c r="AI44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3" t="str">
        <f ca="1">IF(tblRoster[[#This Row],[복직예정일]]="","",TEXT(tblRoster[[#This Row],[복직예정일]],"yyyy-mm"))</f>
        <v/>
      </c>
      <c r="AM443" t="str">
        <f ca="1">IF(tblRoster[[#This Row],[복직예정일]]="","",tblRoster[[#This Row],[복직예정일]]-TODAY())</f>
        <v/>
      </c>
      <c r="AN443" t="str">
        <f ca="1">IF(tblRoster[[#This Row],[휴직잔여일수]]="","",IF(tblRoster[[#This Row],[휴직잔여일수]]&lt;=180,"6개월내","6개월이후"))</f>
        <v/>
      </c>
      <c r="AO44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4" spans="1:41" x14ac:dyDescent="0.3">
      <c r="A444">
        <v>900442</v>
      </c>
      <c r="B444" t="s">
        <v>656</v>
      </c>
      <c r="C444" t="s">
        <v>8</v>
      </c>
      <c r="D444">
        <v>44</v>
      </c>
      <c r="E444" t="s">
        <v>128</v>
      </c>
      <c r="F444" t="s">
        <v>171</v>
      </c>
      <c r="G444" t="s">
        <v>197</v>
      </c>
      <c r="H444" t="s">
        <v>223</v>
      </c>
      <c r="I444" t="s">
        <v>144</v>
      </c>
      <c r="J444" t="s">
        <v>145</v>
      </c>
      <c r="L444" t="s">
        <v>134</v>
      </c>
      <c r="M444" t="s">
        <v>135</v>
      </c>
      <c r="N444" s="1">
        <v>39203</v>
      </c>
      <c r="O444" s="1">
        <v>39203</v>
      </c>
      <c r="P444" s="1">
        <v>41974</v>
      </c>
      <c r="Q444" s="1">
        <v>41974</v>
      </c>
      <c r="R444">
        <v>20</v>
      </c>
      <c r="T44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44" t="str">
        <f>IF(tblRoster[[#This Row],[급수]]="4급(임기제)","4급",tblRoster[[#This Row],[급수]])</f>
        <v>8급</v>
      </c>
      <c r="V44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4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44" t="str">
        <f>IF(OR(tblRoster[[#This Row],[교직원상세구분]]="사회복무요원",tblRoster[[#This Row],[교직원상세구분]]="인턴(수습)"),"제외","포함")</f>
        <v>포함</v>
      </c>
      <c r="Y444">
        <f>1</f>
        <v>1</v>
      </c>
      <c r="Z444">
        <f>IF(tblRoster[[#This Row],[재직상태구분]]="휴직",1,0)</f>
        <v>0</v>
      </c>
      <c r="AA44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44">
        <f ca="1">IF(tblRoster[[#This Row],[본교발령시작일자]]="","",DATEDIF(tblRoster[[#This Row],[본교발령시작일자]],TODAY(),"Y"))</f>
        <v>19</v>
      </c>
      <c r="AC444">
        <f ca="1">IF(tblRoster[[#This Row],[최초발령시작일자]]="","",DATEDIF(tblRoster[[#This Row],[최초발령시작일자]],TODAY(),"Y"))</f>
        <v>19</v>
      </c>
      <c r="AD44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44">
        <f ca="1">IF(tblRoster[[#This Row],[직급발령시작일자]]="","",ROUND(YEARFRAC(tblRoster[[#This Row],[직급발령시작일자]],TODAY()),1))</f>
        <v>11.8</v>
      </c>
      <c r="AF444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44">
        <f ca="1">IF(OR(tblRoster[[#This Row],[공무원구분]]&lt;&gt;"공무원",tblRoster[[#This Row],[나이]]=""),"",YEAR(TODAY())+(60-tblRoster[[#This Row],[나이]]))</f>
        <v>2042</v>
      </c>
      <c r="AH444" t="str">
        <f>IF(tblRoster[[#This Row],[직위]]="","일반","보직자")</f>
        <v>일반</v>
      </c>
      <c r="AI44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4" t="str">
        <f ca="1">IF(tblRoster[[#This Row],[복직예정일]]="","",TEXT(tblRoster[[#This Row],[복직예정일]],"yyyy-mm"))</f>
        <v/>
      </c>
      <c r="AM444" t="str">
        <f ca="1">IF(tblRoster[[#This Row],[복직예정일]]="","",tblRoster[[#This Row],[복직예정일]]-TODAY())</f>
        <v/>
      </c>
      <c r="AN444" t="str">
        <f ca="1">IF(tblRoster[[#This Row],[휴직잔여일수]]="","",IF(tblRoster[[#This Row],[휴직잔여일수]]&lt;=180,"6개월내","6개월이후"))</f>
        <v/>
      </c>
      <c r="AO44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5" spans="1:41" x14ac:dyDescent="0.3">
      <c r="A445">
        <v>900443</v>
      </c>
      <c r="B445" t="s">
        <v>657</v>
      </c>
      <c r="C445" t="s">
        <v>8</v>
      </c>
      <c r="D445">
        <v>53</v>
      </c>
      <c r="E445" t="s">
        <v>128</v>
      </c>
      <c r="F445" t="s">
        <v>154</v>
      </c>
      <c r="G445" t="s">
        <v>130</v>
      </c>
      <c r="H445" t="s">
        <v>260</v>
      </c>
      <c r="I445" t="s">
        <v>239</v>
      </c>
      <c r="J445" t="s">
        <v>133</v>
      </c>
      <c r="L445" t="s">
        <v>134</v>
      </c>
      <c r="M445" t="s">
        <v>135</v>
      </c>
      <c r="N445" s="1">
        <v>41306</v>
      </c>
      <c r="O445" s="1">
        <v>41306</v>
      </c>
      <c r="P445" s="1">
        <v>41518</v>
      </c>
      <c r="Q445" s="1">
        <v>41518</v>
      </c>
      <c r="R445">
        <v>15</v>
      </c>
      <c r="T44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445" t="str">
        <f>IF(tblRoster[[#This Row],[급수]]="4급(임기제)","4급",tblRoster[[#This Row],[급수]])</f>
        <v>대학회계직</v>
      </c>
      <c r="V44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44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445" t="str">
        <f>IF(OR(tblRoster[[#This Row],[교직원상세구분]]="사회복무요원",tblRoster[[#This Row],[교직원상세구분]]="인턴(수습)"),"제외","포함")</f>
        <v>포함</v>
      </c>
      <c r="Y445">
        <f>1</f>
        <v>1</v>
      </c>
      <c r="Z445">
        <f>IF(tblRoster[[#This Row],[재직상태구분]]="휴직",1,0)</f>
        <v>0</v>
      </c>
      <c r="AA44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45">
        <f ca="1">IF(tblRoster[[#This Row],[본교발령시작일자]]="","",DATEDIF(tblRoster[[#This Row],[본교발령시작일자]],TODAY(),"Y"))</f>
        <v>13</v>
      </c>
      <c r="AC445">
        <f ca="1">IF(tblRoster[[#This Row],[최초발령시작일자]]="","",DATEDIF(tblRoster[[#This Row],[최초발령시작일자]],TODAY(),"Y"))</f>
        <v>13</v>
      </c>
      <c r="AD44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45">
        <f ca="1">IF(tblRoster[[#This Row],[직급발령시작일자]]="","",ROUND(YEARFRAC(tblRoster[[#This Row],[직급발령시작일자]],TODAY()),1))</f>
        <v>13</v>
      </c>
      <c r="AF44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45" t="str">
        <f ca="1">IF(OR(tblRoster[[#This Row],[공무원구분]]&lt;&gt;"공무원",tblRoster[[#This Row],[나이]]=""),"",YEAR(TODAY())+(60-tblRoster[[#This Row],[나이]]))</f>
        <v/>
      </c>
      <c r="AH445" t="str">
        <f>IF(tblRoster[[#This Row],[직위]]="","일반","보직자")</f>
        <v>일반</v>
      </c>
      <c r="AI44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5" t="str">
        <f ca="1">IF(tblRoster[[#This Row],[복직예정일]]="","",TEXT(tblRoster[[#This Row],[복직예정일]],"yyyy-mm"))</f>
        <v/>
      </c>
      <c r="AM445" t="str">
        <f ca="1">IF(tblRoster[[#This Row],[복직예정일]]="","",tblRoster[[#This Row],[복직예정일]]-TODAY())</f>
        <v/>
      </c>
      <c r="AN445" t="str">
        <f ca="1">IF(tblRoster[[#This Row],[휴직잔여일수]]="","",IF(tblRoster[[#This Row],[휴직잔여일수]]&lt;=180,"6개월내","6개월이후"))</f>
        <v/>
      </c>
      <c r="AO44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6" spans="1:41" x14ac:dyDescent="0.3">
      <c r="A446">
        <v>900444</v>
      </c>
      <c r="B446" t="s">
        <v>658</v>
      </c>
      <c r="C446" t="s">
        <v>8</v>
      </c>
      <c r="D446">
        <v>36</v>
      </c>
      <c r="E446" t="s">
        <v>128</v>
      </c>
      <c r="F446" t="s">
        <v>154</v>
      </c>
      <c r="G446" t="s">
        <v>155</v>
      </c>
      <c r="H446" t="s">
        <v>180</v>
      </c>
      <c r="I446" t="s">
        <v>144</v>
      </c>
      <c r="J446" t="s">
        <v>145</v>
      </c>
      <c r="L446" t="s">
        <v>134</v>
      </c>
      <c r="M446" t="s">
        <v>135</v>
      </c>
      <c r="N446" s="1">
        <v>45658</v>
      </c>
      <c r="O446" s="1">
        <v>45658</v>
      </c>
      <c r="P446" s="1">
        <v>45658</v>
      </c>
      <c r="Q446" s="1">
        <v>45658</v>
      </c>
      <c r="R446">
        <v>3</v>
      </c>
      <c r="T44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46" t="str">
        <f>IF(tblRoster[[#This Row],[급수]]="4급(임기제)","4급",tblRoster[[#This Row],[급수]])</f>
        <v>7급</v>
      </c>
      <c r="V44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4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46" t="str">
        <f>IF(OR(tblRoster[[#This Row],[교직원상세구분]]="사회복무요원",tblRoster[[#This Row],[교직원상세구분]]="인턴(수습)"),"제외","포함")</f>
        <v>포함</v>
      </c>
      <c r="Y446">
        <f>1</f>
        <v>1</v>
      </c>
      <c r="Z446">
        <f>IF(tblRoster[[#This Row],[재직상태구분]]="휴직",1,0)</f>
        <v>0</v>
      </c>
      <c r="AA44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46">
        <f ca="1">IF(tblRoster[[#This Row],[본교발령시작일자]]="","",DATEDIF(tblRoster[[#This Row],[본교발령시작일자]],TODAY(),"Y"))</f>
        <v>1</v>
      </c>
      <c r="AC446">
        <f ca="1">IF(tblRoster[[#This Row],[최초발령시작일자]]="","",DATEDIF(tblRoster[[#This Row],[최초발령시작일자]],TODAY(),"Y"))</f>
        <v>1</v>
      </c>
      <c r="AD44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46">
        <f ca="1">IF(tblRoster[[#This Row],[직급발령시작일자]]="","",ROUND(YEARFRAC(tblRoster[[#This Row],[직급발령시작일자]],TODAY()),1))</f>
        <v>1.7</v>
      </c>
      <c r="AF44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6">
        <f ca="1">IF(OR(tblRoster[[#This Row],[공무원구분]]&lt;&gt;"공무원",tblRoster[[#This Row],[나이]]=""),"",YEAR(TODAY())+(60-tblRoster[[#This Row],[나이]]))</f>
        <v>2050</v>
      </c>
      <c r="AH446" t="str">
        <f>IF(tblRoster[[#This Row],[직위]]="","일반","보직자")</f>
        <v>일반</v>
      </c>
      <c r="AI44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6" t="str">
        <f ca="1">IF(tblRoster[[#This Row],[복직예정일]]="","",TEXT(tblRoster[[#This Row],[복직예정일]],"yyyy-mm"))</f>
        <v/>
      </c>
      <c r="AM446" t="str">
        <f ca="1">IF(tblRoster[[#This Row],[복직예정일]]="","",tblRoster[[#This Row],[복직예정일]]-TODAY())</f>
        <v/>
      </c>
      <c r="AN446" t="str">
        <f ca="1">IF(tblRoster[[#This Row],[휴직잔여일수]]="","",IF(tblRoster[[#This Row],[휴직잔여일수]]&lt;=180,"6개월내","6개월이후"))</f>
        <v/>
      </c>
      <c r="AO44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7" spans="1:41" x14ac:dyDescent="0.3">
      <c r="A447">
        <v>900445</v>
      </c>
      <c r="B447" t="s">
        <v>659</v>
      </c>
      <c r="C447" t="s">
        <v>8</v>
      </c>
      <c r="D447">
        <v>27</v>
      </c>
      <c r="E447" t="s">
        <v>128</v>
      </c>
      <c r="F447" t="s">
        <v>266</v>
      </c>
      <c r="G447" t="s">
        <v>197</v>
      </c>
      <c r="H447" t="s">
        <v>238</v>
      </c>
      <c r="I447" t="s">
        <v>239</v>
      </c>
      <c r="J447" t="s">
        <v>133</v>
      </c>
      <c r="L447" t="s">
        <v>135</v>
      </c>
      <c r="M447" t="s">
        <v>135</v>
      </c>
      <c r="N447" s="1">
        <v>45383</v>
      </c>
      <c r="O447" s="1">
        <v>46266</v>
      </c>
      <c r="P447" s="1">
        <v>46266</v>
      </c>
      <c r="Q447" s="1">
        <v>46266</v>
      </c>
      <c r="T44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447" t="str">
        <f>IF(tblRoster[[#This Row],[급수]]="4급(임기제)","4급",tblRoster[[#This Row],[급수]])</f>
        <v>대학회계직</v>
      </c>
      <c r="V44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44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447" t="str">
        <f>IF(OR(tblRoster[[#This Row],[교직원상세구분]]="사회복무요원",tblRoster[[#This Row],[교직원상세구분]]="인턴(수습)"),"제외","포함")</f>
        <v>포함</v>
      </c>
      <c r="Y447">
        <f>1</f>
        <v>1</v>
      </c>
      <c r="Z447">
        <f>IF(tblRoster[[#This Row],[재직상태구분]]="휴직",1,0)</f>
        <v>0</v>
      </c>
      <c r="AA44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47">
        <f ca="1">IF(tblRoster[[#This Row],[본교발령시작일자]]="","",DATEDIF(tblRoster[[#This Row],[본교발령시작일자]],TODAY(),"Y"))</f>
        <v>0</v>
      </c>
      <c r="AC447">
        <f ca="1">IF(tblRoster[[#This Row],[최초발령시작일자]]="","",DATEDIF(tblRoster[[#This Row],[최초발령시작일자]],TODAY(),"Y"))</f>
        <v>2</v>
      </c>
      <c r="AD44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47">
        <f ca="1">IF(tblRoster[[#This Row],[직급발령시작일자]]="","",ROUND(YEARFRAC(tblRoster[[#This Row],[직급발령시작일자]],TODAY()),1))</f>
        <v>0</v>
      </c>
      <c r="AF447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7" t="str">
        <f ca="1">IF(OR(tblRoster[[#This Row],[공무원구분]]&lt;&gt;"공무원",tblRoster[[#This Row],[나이]]=""),"",YEAR(TODAY())+(60-tblRoster[[#This Row],[나이]]))</f>
        <v/>
      </c>
      <c r="AH447" t="str">
        <f>IF(tblRoster[[#This Row],[직위]]="","일반","보직자")</f>
        <v>일반</v>
      </c>
      <c r="AI44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7" t="str">
        <f ca="1">IF(tblRoster[[#This Row],[복직예정일]]="","",TEXT(tblRoster[[#This Row],[복직예정일]],"yyyy-mm"))</f>
        <v/>
      </c>
      <c r="AM447" t="str">
        <f ca="1">IF(tblRoster[[#This Row],[복직예정일]]="","",tblRoster[[#This Row],[복직예정일]]-TODAY())</f>
        <v/>
      </c>
      <c r="AN447" t="str">
        <f ca="1">IF(tblRoster[[#This Row],[휴직잔여일수]]="","",IF(tblRoster[[#This Row],[휴직잔여일수]]&lt;=180,"6개월내","6개월이후"))</f>
        <v/>
      </c>
      <c r="AO44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8" spans="1:41" x14ac:dyDescent="0.3">
      <c r="A448">
        <v>900446</v>
      </c>
      <c r="B448" t="s">
        <v>660</v>
      </c>
      <c r="C448" t="s">
        <v>8</v>
      </c>
      <c r="D448">
        <v>50</v>
      </c>
      <c r="E448" t="s">
        <v>128</v>
      </c>
      <c r="F448" t="s">
        <v>184</v>
      </c>
      <c r="G448" t="s">
        <v>173</v>
      </c>
      <c r="H448" t="s">
        <v>165</v>
      </c>
      <c r="I448" t="s">
        <v>144</v>
      </c>
      <c r="J448" t="s">
        <v>145</v>
      </c>
      <c r="L448" t="s">
        <v>134</v>
      </c>
      <c r="M448" t="s">
        <v>135</v>
      </c>
      <c r="N448" s="1">
        <v>36557</v>
      </c>
      <c r="O448" s="1">
        <v>36557</v>
      </c>
      <c r="P448" s="1">
        <v>44713</v>
      </c>
      <c r="Q448" s="1">
        <v>44713</v>
      </c>
      <c r="T44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48" t="str">
        <f>IF(tblRoster[[#This Row],[급수]]="4급(임기제)","4급",tblRoster[[#This Row],[급수]])</f>
        <v>6급</v>
      </c>
      <c r="V44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4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48" t="str">
        <f>IF(OR(tblRoster[[#This Row],[교직원상세구분]]="사회복무요원",tblRoster[[#This Row],[교직원상세구분]]="인턴(수습)"),"제외","포함")</f>
        <v>포함</v>
      </c>
      <c r="Y448">
        <f>1</f>
        <v>1</v>
      </c>
      <c r="Z448">
        <f>IF(tblRoster[[#This Row],[재직상태구분]]="휴직",1,0)</f>
        <v>0</v>
      </c>
      <c r="AA44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48">
        <f ca="1">IF(tblRoster[[#This Row],[본교발령시작일자]]="","",DATEDIF(tblRoster[[#This Row],[본교발령시작일자]],TODAY(),"Y"))</f>
        <v>26</v>
      </c>
      <c r="AC448">
        <f ca="1">IF(tblRoster[[#This Row],[최초발령시작일자]]="","",DATEDIF(tblRoster[[#This Row],[최초발령시작일자]],TODAY(),"Y"))</f>
        <v>26</v>
      </c>
      <c r="AD44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48">
        <f ca="1">IF(tblRoster[[#This Row],[직급발령시작일자]]="","",ROUND(YEARFRAC(tblRoster[[#This Row],[직급발령시작일자]],TODAY()),1))</f>
        <v>4.3</v>
      </c>
      <c r="AF44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8">
        <f ca="1">IF(OR(tblRoster[[#This Row],[공무원구분]]&lt;&gt;"공무원",tblRoster[[#This Row],[나이]]=""),"",YEAR(TODAY())+(60-tblRoster[[#This Row],[나이]]))</f>
        <v>2036</v>
      </c>
      <c r="AH448" t="str">
        <f>IF(tblRoster[[#This Row],[직위]]="","일반","보직자")</f>
        <v>일반</v>
      </c>
      <c r="AI44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8" t="str">
        <f ca="1">IF(tblRoster[[#This Row],[복직예정일]]="","",TEXT(tblRoster[[#This Row],[복직예정일]],"yyyy-mm"))</f>
        <v/>
      </c>
      <c r="AM448" t="str">
        <f ca="1">IF(tblRoster[[#This Row],[복직예정일]]="","",tblRoster[[#This Row],[복직예정일]]-TODAY())</f>
        <v/>
      </c>
      <c r="AN448" t="str">
        <f ca="1">IF(tblRoster[[#This Row],[휴직잔여일수]]="","",IF(tblRoster[[#This Row],[휴직잔여일수]]&lt;=180,"6개월내","6개월이후"))</f>
        <v/>
      </c>
      <c r="AO44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49" spans="1:41" x14ac:dyDescent="0.3">
      <c r="A449">
        <v>900447</v>
      </c>
      <c r="B449" t="s">
        <v>661</v>
      </c>
      <c r="C449" t="s">
        <v>8</v>
      </c>
      <c r="D449">
        <v>43</v>
      </c>
      <c r="E449" t="s">
        <v>128</v>
      </c>
      <c r="F449" t="s">
        <v>266</v>
      </c>
      <c r="G449" t="s">
        <v>130</v>
      </c>
      <c r="H449" t="s">
        <v>180</v>
      </c>
      <c r="I449" t="s">
        <v>144</v>
      </c>
      <c r="J449" t="s">
        <v>145</v>
      </c>
      <c r="L449" t="s">
        <v>134</v>
      </c>
      <c r="M449" t="s">
        <v>135</v>
      </c>
      <c r="N449" s="1">
        <v>43282</v>
      </c>
      <c r="O449" s="1">
        <v>45597</v>
      </c>
      <c r="P449" s="1">
        <v>45597</v>
      </c>
      <c r="Q449" s="1">
        <v>45597</v>
      </c>
      <c r="R449">
        <v>8</v>
      </c>
      <c r="T44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49" t="str">
        <f>IF(tblRoster[[#This Row],[급수]]="4급(임기제)","4급",tblRoster[[#This Row],[급수]])</f>
        <v>7급</v>
      </c>
      <c r="V44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4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49" t="str">
        <f>IF(OR(tblRoster[[#This Row],[교직원상세구분]]="사회복무요원",tblRoster[[#This Row],[교직원상세구분]]="인턴(수습)"),"제외","포함")</f>
        <v>포함</v>
      </c>
      <c r="Y449">
        <f>1</f>
        <v>1</v>
      </c>
      <c r="Z449">
        <f>IF(tblRoster[[#This Row],[재직상태구분]]="휴직",1,0)</f>
        <v>0</v>
      </c>
      <c r="AA44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49">
        <f ca="1">IF(tblRoster[[#This Row],[본교발령시작일자]]="","",DATEDIF(tblRoster[[#This Row],[본교발령시작일자]],TODAY(),"Y"))</f>
        <v>1</v>
      </c>
      <c r="AC449">
        <f ca="1">IF(tblRoster[[#This Row],[최초발령시작일자]]="","",DATEDIF(tblRoster[[#This Row],[최초발령시작일자]],TODAY(),"Y"))</f>
        <v>8</v>
      </c>
      <c r="AD44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49">
        <f ca="1">IF(tblRoster[[#This Row],[직급발령시작일자]]="","",ROUND(YEARFRAC(tblRoster[[#This Row],[직급발령시작일자]],TODAY()),1))</f>
        <v>1.9</v>
      </c>
      <c r="AF44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49">
        <f ca="1">IF(OR(tblRoster[[#This Row],[공무원구분]]&lt;&gt;"공무원",tblRoster[[#This Row],[나이]]=""),"",YEAR(TODAY())+(60-tblRoster[[#This Row],[나이]]))</f>
        <v>2043</v>
      </c>
      <c r="AH449" t="str">
        <f>IF(tblRoster[[#This Row],[직위]]="","일반","보직자")</f>
        <v>일반</v>
      </c>
      <c r="AI44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4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4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49" t="str">
        <f ca="1">IF(tblRoster[[#This Row],[복직예정일]]="","",TEXT(tblRoster[[#This Row],[복직예정일]],"yyyy-mm"))</f>
        <v/>
      </c>
      <c r="AM449" t="str">
        <f ca="1">IF(tblRoster[[#This Row],[복직예정일]]="","",tblRoster[[#This Row],[복직예정일]]-TODAY())</f>
        <v/>
      </c>
      <c r="AN449" t="str">
        <f ca="1">IF(tblRoster[[#This Row],[휴직잔여일수]]="","",IF(tblRoster[[#This Row],[휴직잔여일수]]&lt;=180,"6개월내","6개월이후"))</f>
        <v/>
      </c>
      <c r="AO44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0" spans="1:41" x14ac:dyDescent="0.3">
      <c r="A450">
        <v>900448</v>
      </c>
      <c r="B450" t="s">
        <v>96</v>
      </c>
      <c r="C450" t="s">
        <v>8</v>
      </c>
      <c r="D450">
        <v>36</v>
      </c>
      <c r="E450" t="s">
        <v>128</v>
      </c>
      <c r="F450" t="s">
        <v>246</v>
      </c>
      <c r="G450" t="s">
        <v>130</v>
      </c>
      <c r="H450" t="s">
        <v>662</v>
      </c>
      <c r="I450" t="s">
        <v>144</v>
      </c>
      <c r="J450" t="s">
        <v>145</v>
      </c>
      <c r="L450" t="s">
        <v>134</v>
      </c>
      <c r="M450" t="s">
        <v>135</v>
      </c>
      <c r="N450" s="1">
        <v>41821</v>
      </c>
      <c r="O450" s="1">
        <v>41821</v>
      </c>
      <c r="P450" s="1">
        <v>45778</v>
      </c>
      <c r="Q450" s="1">
        <v>45778</v>
      </c>
      <c r="R450">
        <v>13</v>
      </c>
      <c r="S450" t="s">
        <v>663</v>
      </c>
      <c r="T45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50" t="str">
        <f>IF(tblRoster[[#This Row],[급수]]="4급(임기제)","4급",tblRoster[[#This Row],[급수]])</f>
        <v>8급</v>
      </c>
      <c r="V45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5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0" t="str">
        <f>IF(OR(tblRoster[[#This Row],[교직원상세구분]]="사회복무요원",tblRoster[[#This Row],[교직원상세구분]]="인턴(수습)"),"제외","포함")</f>
        <v>포함</v>
      </c>
      <c r="Y450">
        <f>1</f>
        <v>1</v>
      </c>
      <c r="Z450">
        <f>IF(tblRoster[[#This Row],[재직상태구분]]="휴직",1,0)</f>
        <v>0</v>
      </c>
      <c r="AA45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50">
        <f ca="1">IF(tblRoster[[#This Row],[본교발령시작일자]]="","",DATEDIF(tblRoster[[#This Row],[본교발령시작일자]],TODAY(),"Y"))</f>
        <v>12</v>
      </c>
      <c r="AC450">
        <f ca="1">IF(tblRoster[[#This Row],[최초발령시작일자]]="","",DATEDIF(tblRoster[[#This Row],[최초발령시작일자]],TODAY(),"Y"))</f>
        <v>12</v>
      </c>
      <c r="AD45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50">
        <f ca="1">IF(tblRoster[[#This Row],[직급발령시작일자]]="","",ROUND(YEARFRAC(tblRoster[[#This Row],[직급발령시작일자]],TODAY()),1))</f>
        <v>1.4</v>
      </c>
      <c r="AF45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0">
        <f ca="1">IF(OR(tblRoster[[#This Row],[공무원구분]]&lt;&gt;"공무원",tblRoster[[#This Row],[나이]]=""),"",YEAR(TODAY())+(60-tblRoster[[#This Row],[나이]]))</f>
        <v>2050</v>
      </c>
      <c r="AH450" t="str">
        <f>IF(tblRoster[[#This Row],[직위]]="","일반","보직자")</f>
        <v>일반</v>
      </c>
      <c r="AI45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0" t="str">
        <f ca="1">IF(tblRoster[[#This Row],[복직예정일]]="","",TEXT(tblRoster[[#This Row],[복직예정일]],"yyyy-mm"))</f>
        <v/>
      </c>
      <c r="AM450" t="str">
        <f ca="1">IF(tblRoster[[#This Row],[복직예정일]]="","",tblRoster[[#This Row],[복직예정일]]-TODAY())</f>
        <v/>
      </c>
      <c r="AN450" t="str">
        <f ca="1">IF(tblRoster[[#This Row],[휴직잔여일수]]="","",IF(tblRoster[[#This Row],[휴직잔여일수]]&lt;=180,"6개월내","6개월이후"))</f>
        <v/>
      </c>
      <c r="AO45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1" spans="1:41" x14ac:dyDescent="0.3">
      <c r="A451">
        <v>900449</v>
      </c>
      <c r="B451" t="s">
        <v>664</v>
      </c>
      <c r="C451" t="s">
        <v>8</v>
      </c>
      <c r="D451">
        <v>44</v>
      </c>
      <c r="E451" t="s">
        <v>128</v>
      </c>
      <c r="F451" t="s">
        <v>266</v>
      </c>
      <c r="G451" t="s">
        <v>207</v>
      </c>
      <c r="H451" t="s">
        <v>223</v>
      </c>
      <c r="I451" t="s">
        <v>144</v>
      </c>
      <c r="J451" t="s">
        <v>145</v>
      </c>
      <c r="L451" t="s">
        <v>134</v>
      </c>
      <c r="M451" t="s">
        <v>135</v>
      </c>
      <c r="N451" s="1">
        <v>38596</v>
      </c>
      <c r="O451" s="1">
        <v>44866</v>
      </c>
      <c r="P451" s="1">
        <v>45383</v>
      </c>
      <c r="Q451" s="1">
        <v>45383</v>
      </c>
      <c r="R451">
        <v>23</v>
      </c>
      <c r="T45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51" t="str">
        <f>IF(tblRoster[[#This Row],[급수]]="4급(임기제)","4급",tblRoster[[#This Row],[급수]])</f>
        <v>8급</v>
      </c>
      <c r="V45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5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1" t="str">
        <f>IF(OR(tblRoster[[#This Row],[교직원상세구분]]="사회복무요원",tblRoster[[#This Row],[교직원상세구분]]="인턴(수습)"),"제외","포함")</f>
        <v>포함</v>
      </c>
      <c r="Y451">
        <f>1</f>
        <v>1</v>
      </c>
      <c r="Z451">
        <f>IF(tblRoster[[#This Row],[재직상태구분]]="휴직",1,0)</f>
        <v>0</v>
      </c>
      <c r="AA45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51">
        <f ca="1">IF(tblRoster[[#This Row],[본교발령시작일자]]="","",DATEDIF(tblRoster[[#This Row],[본교발령시작일자]],TODAY(),"Y"))</f>
        <v>3</v>
      </c>
      <c r="AC451">
        <f ca="1">IF(tblRoster[[#This Row],[최초발령시작일자]]="","",DATEDIF(tblRoster[[#This Row],[최초발령시작일자]],TODAY(),"Y"))</f>
        <v>21</v>
      </c>
      <c r="AD45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51">
        <f ca="1">IF(tblRoster[[#This Row],[직급발령시작일자]]="","",ROUND(YEARFRAC(tblRoster[[#This Row],[직급발령시작일자]],TODAY()),1))</f>
        <v>2.4</v>
      </c>
      <c r="AF45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1">
        <f ca="1">IF(OR(tblRoster[[#This Row],[공무원구분]]&lt;&gt;"공무원",tblRoster[[#This Row],[나이]]=""),"",YEAR(TODAY())+(60-tblRoster[[#This Row],[나이]]))</f>
        <v>2042</v>
      </c>
      <c r="AH451" t="str">
        <f>IF(tblRoster[[#This Row],[직위]]="","일반","보직자")</f>
        <v>일반</v>
      </c>
      <c r="AI45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1" t="str">
        <f ca="1">IF(tblRoster[[#This Row],[복직예정일]]="","",TEXT(tblRoster[[#This Row],[복직예정일]],"yyyy-mm"))</f>
        <v/>
      </c>
      <c r="AM451" t="str">
        <f ca="1">IF(tblRoster[[#This Row],[복직예정일]]="","",tblRoster[[#This Row],[복직예정일]]-TODAY())</f>
        <v/>
      </c>
      <c r="AN451" t="str">
        <f ca="1">IF(tblRoster[[#This Row],[휴직잔여일수]]="","",IF(tblRoster[[#This Row],[휴직잔여일수]]&lt;=180,"6개월내","6개월이후"))</f>
        <v/>
      </c>
      <c r="AO45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2" spans="1:41" x14ac:dyDescent="0.3">
      <c r="A452">
        <v>900450</v>
      </c>
      <c r="B452" t="s">
        <v>97</v>
      </c>
      <c r="C452" t="s">
        <v>8</v>
      </c>
      <c r="D452">
        <v>42</v>
      </c>
      <c r="E452" t="s">
        <v>150</v>
      </c>
      <c r="F452" t="s">
        <v>236</v>
      </c>
      <c r="G452" t="s">
        <v>155</v>
      </c>
      <c r="H452" t="s">
        <v>163</v>
      </c>
      <c r="I452" t="s">
        <v>144</v>
      </c>
      <c r="J452" t="s">
        <v>145</v>
      </c>
      <c r="L452" t="s">
        <v>134</v>
      </c>
      <c r="M452" t="s">
        <v>135</v>
      </c>
      <c r="N452" s="1">
        <v>41699</v>
      </c>
      <c r="O452" s="1">
        <v>41699</v>
      </c>
      <c r="P452" s="1">
        <v>43922</v>
      </c>
      <c r="Q452" s="1">
        <v>43922</v>
      </c>
      <c r="R452">
        <v>15</v>
      </c>
      <c r="S452" t="s">
        <v>665</v>
      </c>
      <c r="T45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52" t="str">
        <f>IF(tblRoster[[#This Row],[급수]]="4급(임기제)","4급",tblRoster[[#This Row],[급수]])</f>
        <v>6급</v>
      </c>
      <c r="V45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5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2" t="str">
        <f>IF(OR(tblRoster[[#This Row],[교직원상세구분]]="사회복무요원",tblRoster[[#This Row],[교직원상세구분]]="인턴(수습)"),"제외","포함")</f>
        <v>포함</v>
      </c>
      <c r="Y452">
        <f>1</f>
        <v>1</v>
      </c>
      <c r="Z452">
        <f>IF(tblRoster[[#This Row],[재직상태구분]]="휴직",1,0)</f>
        <v>0</v>
      </c>
      <c r="AA45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52">
        <f ca="1">IF(tblRoster[[#This Row],[본교발령시작일자]]="","",DATEDIF(tblRoster[[#This Row],[본교발령시작일자]],TODAY(),"Y"))</f>
        <v>12</v>
      </c>
      <c r="AC452">
        <f ca="1">IF(tblRoster[[#This Row],[최초발령시작일자]]="","",DATEDIF(tblRoster[[#This Row],[최초발령시작일자]],TODAY(),"Y"))</f>
        <v>12</v>
      </c>
      <c r="AD45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52">
        <f ca="1">IF(tblRoster[[#This Row],[직급발령시작일자]]="","",ROUND(YEARFRAC(tblRoster[[#This Row],[직급발령시작일자]],TODAY()),1))</f>
        <v>6.4</v>
      </c>
      <c r="AF45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52">
        <f ca="1">IF(OR(tblRoster[[#This Row],[공무원구분]]&lt;&gt;"공무원",tblRoster[[#This Row],[나이]]=""),"",YEAR(TODAY())+(60-tblRoster[[#This Row],[나이]]))</f>
        <v>2044</v>
      </c>
      <c r="AH452" t="str">
        <f>IF(tblRoster[[#This Row],[직위]]="","일반","보직자")</f>
        <v>일반</v>
      </c>
      <c r="AI45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2" t="str">
        <f ca="1">IF(tblRoster[[#This Row],[복직예정일]]="","",TEXT(tblRoster[[#This Row],[복직예정일]],"yyyy-mm"))</f>
        <v/>
      </c>
      <c r="AM452" t="str">
        <f ca="1">IF(tblRoster[[#This Row],[복직예정일]]="","",tblRoster[[#This Row],[복직예정일]]-TODAY())</f>
        <v/>
      </c>
      <c r="AN452" t="str">
        <f ca="1">IF(tblRoster[[#This Row],[휴직잔여일수]]="","",IF(tblRoster[[#This Row],[휴직잔여일수]]&lt;=180,"6개월내","6개월이후"))</f>
        <v/>
      </c>
      <c r="AO45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3" spans="1:41" x14ac:dyDescent="0.3">
      <c r="A453">
        <v>900451</v>
      </c>
      <c r="B453" t="s">
        <v>98</v>
      </c>
      <c r="C453" t="s">
        <v>8</v>
      </c>
      <c r="D453">
        <v>32</v>
      </c>
      <c r="E453" t="s">
        <v>150</v>
      </c>
      <c r="F453" t="s">
        <v>171</v>
      </c>
      <c r="G453" t="s">
        <v>197</v>
      </c>
      <c r="H453" t="s">
        <v>392</v>
      </c>
      <c r="I453" t="s">
        <v>144</v>
      </c>
      <c r="J453" t="s">
        <v>145</v>
      </c>
      <c r="L453" t="s">
        <v>134</v>
      </c>
      <c r="M453" t="s">
        <v>135</v>
      </c>
      <c r="N453" s="1">
        <v>45444</v>
      </c>
      <c r="O453" s="1">
        <v>45444</v>
      </c>
      <c r="P453" s="1">
        <v>45444</v>
      </c>
      <c r="Q453" s="1">
        <v>45444</v>
      </c>
      <c r="R453">
        <v>3</v>
      </c>
      <c r="S453" t="s">
        <v>666</v>
      </c>
      <c r="T45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53" t="str">
        <f>IF(tblRoster[[#This Row],[급수]]="4급(임기제)","4급",tblRoster[[#This Row],[급수]])</f>
        <v>9급</v>
      </c>
      <c r="V45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5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3" t="str">
        <f>IF(OR(tblRoster[[#This Row],[교직원상세구분]]="사회복무요원",tblRoster[[#This Row],[교직원상세구분]]="인턴(수습)"),"제외","포함")</f>
        <v>포함</v>
      </c>
      <c r="Y453">
        <f>1</f>
        <v>1</v>
      </c>
      <c r="Z453">
        <f>IF(tblRoster[[#This Row],[재직상태구분]]="휴직",1,0)</f>
        <v>0</v>
      </c>
      <c r="AA45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53">
        <f ca="1">IF(tblRoster[[#This Row],[본교발령시작일자]]="","",DATEDIF(tblRoster[[#This Row],[본교발령시작일자]],TODAY(),"Y"))</f>
        <v>2</v>
      </c>
      <c r="AC453">
        <f ca="1">IF(tblRoster[[#This Row],[최초발령시작일자]]="","",DATEDIF(tblRoster[[#This Row],[최초발령시작일자]],TODAY(),"Y"))</f>
        <v>2</v>
      </c>
      <c r="AD45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53">
        <f ca="1">IF(tblRoster[[#This Row],[직급발령시작일자]]="","",ROUND(YEARFRAC(tblRoster[[#This Row],[직급발령시작일자]],TODAY()),1))</f>
        <v>2.2999999999999998</v>
      </c>
      <c r="AF45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3">
        <f ca="1">IF(OR(tblRoster[[#This Row],[공무원구분]]&lt;&gt;"공무원",tblRoster[[#This Row],[나이]]=""),"",YEAR(TODAY())+(60-tblRoster[[#This Row],[나이]]))</f>
        <v>2054</v>
      </c>
      <c r="AH453" t="str">
        <f>IF(tblRoster[[#This Row],[직위]]="","일반","보직자")</f>
        <v>일반</v>
      </c>
      <c r="AI45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3" t="str">
        <f ca="1">IF(tblRoster[[#This Row],[복직예정일]]="","",TEXT(tblRoster[[#This Row],[복직예정일]],"yyyy-mm"))</f>
        <v/>
      </c>
      <c r="AM453" t="str">
        <f ca="1">IF(tblRoster[[#This Row],[복직예정일]]="","",tblRoster[[#This Row],[복직예정일]]-TODAY())</f>
        <v/>
      </c>
      <c r="AN453" t="str">
        <f ca="1">IF(tblRoster[[#This Row],[휴직잔여일수]]="","",IF(tblRoster[[#This Row],[휴직잔여일수]]&lt;=180,"6개월내","6개월이후"))</f>
        <v/>
      </c>
      <c r="AO45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4" spans="1:41" x14ac:dyDescent="0.3">
      <c r="A454">
        <v>900452</v>
      </c>
      <c r="B454" t="s">
        <v>667</v>
      </c>
      <c r="C454" t="s">
        <v>8</v>
      </c>
      <c r="D454">
        <v>20</v>
      </c>
      <c r="E454" t="s">
        <v>128</v>
      </c>
      <c r="F454" t="s">
        <v>137</v>
      </c>
      <c r="G454" t="s">
        <v>197</v>
      </c>
      <c r="H454" t="s">
        <v>186</v>
      </c>
      <c r="I454" t="s">
        <v>186</v>
      </c>
      <c r="J454" t="s">
        <v>133</v>
      </c>
      <c r="L454" t="s">
        <v>134</v>
      </c>
      <c r="M454" t="s">
        <v>135</v>
      </c>
      <c r="N454" s="1">
        <v>46204</v>
      </c>
      <c r="O454" s="1">
        <v>46204</v>
      </c>
      <c r="P454" s="1">
        <v>46204</v>
      </c>
      <c r="Q454" s="1">
        <v>46204</v>
      </c>
      <c r="T45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454" t="str">
        <f>IF(tblRoster[[#This Row],[급수]]="4급(임기제)","4급",tblRoster[[#This Row],[급수]])</f>
        <v>사회복무요원</v>
      </c>
      <c r="V45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45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54" t="str">
        <f>IF(OR(tblRoster[[#This Row],[교직원상세구분]]="사회복무요원",tblRoster[[#This Row],[교직원상세구분]]="인턴(수습)"),"제외","포함")</f>
        <v>제외</v>
      </c>
      <c r="Y454">
        <f>1</f>
        <v>1</v>
      </c>
      <c r="Z454">
        <f>IF(tblRoster[[#This Row],[재직상태구분]]="휴직",1,0)</f>
        <v>0</v>
      </c>
      <c r="AA45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54">
        <f ca="1">IF(tblRoster[[#This Row],[본교발령시작일자]]="","",DATEDIF(tblRoster[[#This Row],[본교발령시작일자]],TODAY(),"Y"))</f>
        <v>0</v>
      </c>
      <c r="AC454">
        <f ca="1">IF(tblRoster[[#This Row],[최초발령시작일자]]="","",DATEDIF(tblRoster[[#This Row],[최초발령시작일자]],TODAY(),"Y"))</f>
        <v>0</v>
      </c>
      <c r="AD45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54">
        <f ca="1">IF(tblRoster[[#This Row],[직급발령시작일자]]="","",ROUND(YEARFRAC(tblRoster[[#This Row],[직급발령시작일자]],TODAY()),1))</f>
        <v>0.2</v>
      </c>
      <c r="AF45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4" t="str">
        <f ca="1">IF(OR(tblRoster[[#This Row],[공무원구분]]&lt;&gt;"공무원",tblRoster[[#This Row],[나이]]=""),"",YEAR(TODAY())+(60-tblRoster[[#This Row],[나이]]))</f>
        <v/>
      </c>
      <c r="AH454" t="str">
        <f>IF(tblRoster[[#This Row],[직위]]="","일반","보직자")</f>
        <v>일반</v>
      </c>
      <c r="AI45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4" t="str">
        <f ca="1">IF(tblRoster[[#This Row],[복직예정일]]="","",TEXT(tblRoster[[#This Row],[복직예정일]],"yyyy-mm"))</f>
        <v/>
      </c>
      <c r="AM454" t="str">
        <f ca="1">IF(tblRoster[[#This Row],[복직예정일]]="","",tblRoster[[#This Row],[복직예정일]]-TODAY())</f>
        <v/>
      </c>
      <c r="AN454" t="str">
        <f ca="1">IF(tblRoster[[#This Row],[휴직잔여일수]]="","",IF(tblRoster[[#This Row],[휴직잔여일수]]&lt;=180,"6개월내","6개월이후"))</f>
        <v/>
      </c>
      <c r="AO45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5" spans="1:41" x14ac:dyDescent="0.3">
      <c r="A455">
        <v>900453</v>
      </c>
      <c r="B455" t="s">
        <v>668</v>
      </c>
      <c r="C455" t="s">
        <v>8</v>
      </c>
      <c r="D455">
        <v>52</v>
      </c>
      <c r="E455" t="s">
        <v>128</v>
      </c>
      <c r="F455" t="s">
        <v>189</v>
      </c>
      <c r="G455" t="s">
        <v>142</v>
      </c>
      <c r="H455" t="s">
        <v>148</v>
      </c>
      <c r="I455" t="s">
        <v>132</v>
      </c>
      <c r="J455" t="s">
        <v>133</v>
      </c>
      <c r="L455" t="s">
        <v>135</v>
      </c>
      <c r="M455" t="s">
        <v>135</v>
      </c>
      <c r="N455" s="1">
        <v>36586</v>
      </c>
      <c r="O455" s="1">
        <v>36586</v>
      </c>
      <c r="P455" s="1">
        <v>43221</v>
      </c>
      <c r="Q455" s="1">
        <v>43221</v>
      </c>
      <c r="R455">
        <v>29</v>
      </c>
      <c r="T45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55" t="str">
        <f>IF(tblRoster[[#This Row],[급수]]="4급(임기제)","4급",tblRoster[[#This Row],[급수]])</f>
        <v>대학회계계약직</v>
      </c>
      <c r="V45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5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55" t="str">
        <f>IF(OR(tblRoster[[#This Row],[교직원상세구분]]="사회복무요원",tblRoster[[#This Row],[교직원상세구분]]="인턴(수습)"),"제외","포함")</f>
        <v>포함</v>
      </c>
      <c r="Y455">
        <f>1</f>
        <v>1</v>
      </c>
      <c r="Z455">
        <f>IF(tblRoster[[#This Row],[재직상태구분]]="휴직",1,0)</f>
        <v>0</v>
      </c>
      <c r="AA45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55">
        <f ca="1">IF(tblRoster[[#This Row],[본교발령시작일자]]="","",DATEDIF(tblRoster[[#This Row],[본교발령시작일자]],TODAY(),"Y"))</f>
        <v>26</v>
      </c>
      <c r="AC455">
        <f ca="1">IF(tblRoster[[#This Row],[최초발령시작일자]]="","",DATEDIF(tblRoster[[#This Row],[최초발령시작일자]],TODAY(),"Y"))</f>
        <v>26</v>
      </c>
      <c r="AD45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55">
        <f ca="1">IF(tblRoster[[#This Row],[직급발령시작일자]]="","",ROUND(YEARFRAC(tblRoster[[#This Row],[직급발령시작일자]],TODAY()),1))</f>
        <v>8.4</v>
      </c>
      <c r="AF45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55" t="str">
        <f ca="1">IF(OR(tblRoster[[#This Row],[공무원구분]]&lt;&gt;"공무원",tblRoster[[#This Row],[나이]]=""),"",YEAR(TODAY())+(60-tblRoster[[#This Row],[나이]]))</f>
        <v/>
      </c>
      <c r="AH455" t="str">
        <f>IF(tblRoster[[#This Row],[직위]]="","일반","보직자")</f>
        <v>일반</v>
      </c>
      <c r="AI45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5" t="str">
        <f ca="1">IF(tblRoster[[#This Row],[복직예정일]]="","",TEXT(tblRoster[[#This Row],[복직예정일]],"yyyy-mm"))</f>
        <v/>
      </c>
      <c r="AM455" t="str">
        <f ca="1">IF(tblRoster[[#This Row],[복직예정일]]="","",tblRoster[[#This Row],[복직예정일]]-TODAY())</f>
        <v/>
      </c>
      <c r="AN455" t="str">
        <f ca="1">IF(tblRoster[[#This Row],[휴직잔여일수]]="","",IF(tblRoster[[#This Row],[휴직잔여일수]]&lt;=180,"6개월내","6개월이후"))</f>
        <v/>
      </c>
      <c r="AO45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6" spans="1:41" x14ac:dyDescent="0.3">
      <c r="A456">
        <v>900454</v>
      </c>
      <c r="B456" t="s">
        <v>669</v>
      </c>
      <c r="C456" t="s">
        <v>8</v>
      </c>
      <c r="D456">
        <v>45</v>
      </c>
      <c r="E456" t="s">
        <v>150</v>
      </c>
      <c r="F456" t="s">
        <v>168</v>
      </c>
      <c r="G456" t="s">
        <v>182</v>
      </c>
      <c r="H456" t="s">
        <v>175</v>
      </c>
      <c r="I456" t="s">
        <v>144</v>
      </c>
      <c r="J456" t="s">
        <v>145</v>
      </c>
      <c r="L456" t="s">
        <v>134</v>
      </c>
      <c r="M456" t="s">
        <v>135</v>
      </c>
      <c r="N456" s="1">
        <v>38261</v>
      </c>
      <c r="O456" s="1">
        <v>38261</v>
      </c>
      <c r="P456" s="1">
        <v>40909</v>
      </c>
      <c r="Q456" s="1">
        <v>40909</v>
      </c>
      <c r="R456">
        <v>23</v>
      </c>
      <c r="T45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56" t="str">
        <f>IF(tblRoster[[#This Row],[급수]]="4급(임기제)","4급",tblRoster[[#This Row],[급수]])</f>
        <v>9급</v>
      </c>
      <c r="V45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5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6" t="str">
        <f>IF(OR(tblRoster[[#This Row],[교직원상세구분]]="사회복무요원",tblRoster[[#This Row],[교직원상세구분]]="인턴(수습)"),"제외","포함")</f>
        <v>포함</v>
      </c>
      <c r="Y456">
        <f>1</f>
        <v>1</v>
      </c>
      <c r="Z456">
        <f>IF(tblRoster[[#This Row],[재직상태구분]]="휴직",1,0)</f>
        <v>0</v>
      </c>
      <c r="AA45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56">
        <f ca="1">IF(tblRoster[[#This Row],[본교발령시작일자]]="","",DATEDIF(tblRoster[[#This Row],[본교발령시작일자]],TODAY(),"Y"))</f>
        <v>21</v>
      </c>
      <c r="AC456">
        <f ca="1">IF(tblRoster[[#This Row],[최초발령시작일자]]="","",DATEDIF(tblRoster[[#This Row],[최초발령시작일자]],TODAY(),"Y"))</f>
        <v>21</v>
      </c>
      <c r="AD45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56">
        <f ca="1">IF(tblRoster[[#This Row],[직급발령시작일자]]="","",ROUND(YEARFRAC(tblRoster[[#This Row],[직급발령시작일자]],TODAY()),1))</f>
        <v>14.7</v>
      </c>
      <c r="AF456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56">
        <f ca="1">IF(OR(tblRoster[[#This Row],[공무원구분]]&lt;&gt;"공무원",tblRoster[[#This Row],[나이]]=""),"",YEAR(TODAY())+(60-tblRoster[[#This Row],[나이]]))</f>
        <v>2041</v>
      </c>
      <c r="AH456" t="str">
        <f>IF(tblRoster[[#This Row],[직위]]="","일반","보직자")</f>
        <v>일반</v>
      </c>
      <c r="AI45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6" t="str">
        <f ca="1">IF(tblRoster[[#This Row],[복직예정일]]="","",TEXT(tblRoster[[#This Row],[복직예정일]],"yyyy-mm"))</f>
        <v/>
      </c>
      <c r="AM456" t="str">
        <f ca="1">IF(tblRoster[[#This Row],[복직예정일]]="","",tblRoster[[#This Row],[복직예정일]]-TODAY())</f>
        <v/>
      </c>
      <c r="AN456" t="str">
        <f ca="1">IF(tblRoster[[#This Row],[휴직잔여일수]]="","",IF(tblRoster[[#This Row],[휴직잔여일수]]&lt;=180,"6개월내","6개월이후"))</f>
        <v/>
      </c>
      <c r="AO45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7" spans="1:41" x14ac:dyDescent="0.3">
      <c r="A457">
        <v>900455</v>
      </c>
      <c r="B457" t="s">
        <v>670</v>
      </c>
      <c r="C457" t="s">
        <v>8</v>
      </c>
      <c r="D457">
        <v>46</v>
      </c>
      <c r="E457" t="s">
        <v>128</v>
      </c>
      <c r="F457" t="s">
        <v>266</v>
      </c>
      <c r="G457" t="s">
        <v>197</v>
      </c>
      <c r="H457" t="s">
        <v>223</v>
      </c>
      <c r="I457" t="s">
        <v>144</v>
      </c>
      <c r="J457" t="s">
        <v>145</v>
      </c>
      <c r="L457" t="s">
        <v>134</v>
      </c>
      <c r="M457" t="s">
        <v>135</v>
      </c>
      <c r="N457" s="1">
        <v>41365</v>
      </c>
      <c r="O457" s="1">
        <v>41365</v>
      </c>
      <c r="P457" s="1">
        <v>41395</v>
      </c>
      <c r="Q457" s="1">
        <v>41395</v>
      </c>
      <c r="R457">
        <v>13</v>
      </c>
      <c r="T45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57" t="str">
        <f>IF(tblRoster[[#This Row],[급수]]="4급(임기제)","4급",tblRoster[[#This Row],[급수]])</f>
        <v>8급</v>
      </c>
      <c r="V45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5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7" t="str">
        <f>IF(OR(tblRoster[[#This Row],[교직원상세구분]]="사회복무요원",tblRoster[[#This Row],[교직원상세구분]]="인턴(수습)"),"제외","포함")</f>
        <v>포함</v>
      </c>
      <c r="Y457">
        <f>1</f>
        <v>1</v>
      </c>
      <c r="Z457">
        <f>IF(tblRoster[[#This Row],[재직상태구분]]="휴직",1,0)</f>
        <v>0</v>
      </c>
      <c r="AA45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57">
        <f ca="1">IF(tblRoster[[#This Row],[본교발령시작일자]]="","",DATEDIF(tblRoster[[#This Row],[본교발령시작일자]],TODAY(),"Y"))</f>
        <v>13</v>
      </c>
      <c r="AC457">
        <f ca="1">IF(tblRoster[[#This Row],[최초발령시작일자]]="","",DATEDIF(tblRoster[[#This Row],[최초발령시작일자]],TODAY(),"Y"))</f>
        <v>13</v>
      </c>
      <c r="AD45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57">
        <f ca="1">IF(tblRoster[[#This Row],[직급발령시작일자]]="","",ROUND(YEARFRAC(tblRoster[[#This Row],[직급발령시작일자]],TODAY()),1))</f>
        <v>13.4</v>
      </c>
      <c r="AF45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57">
        <f ca="1">IF(OR(tblRoster[[#This Row],[공무원구분]]&lt;&gt;"공무원",tblRoster[[#This Row],[나이]]=""),"",YEAR(TODAY())+(60-tblRoster[[#This Row],[나이]]))</f>
        <v>2040</v>
      </c>
      <c r="AH457" t="str">
        <f>IF(tblRoster[[#This Row],[직위]]="","일반","보직자")</f>
        <v>일반</v>
      </c>
      <c r="AI45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7" t="str">
        <f ca="1">IF(tblRoster[[#This Row],[복직예정일]]="","",TEXT(tblRoster[[#This Row],[복직예정일]],"yyyy-mm"))</f>
        <v/>
      </c>
      <c r="AM457" t="str">
        <f ca="1">IF(tblRoster[[#This Row],[복직예정일]]="","",tblRoster[[#This Row],[복직예정일]]-TODAY())</f>
        <v/>
      </c>
      <c r="AN457" t="str">
        <f ca="1">IF(tblRoster[[#This Row],[휴직잔여일수]]="","",IF(tblRoster[[#This Row],[휴직잔여일수]]&lt;=180,"6개월내","6개월이후"))</f>
        <v/>
      </c>
      <c r="AO45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8" spans="1:41" x14ac:dyDescent="0.3">
      <c r="A458">
        <v>900456</v>
      </c>
      <c r="B458" t="s">
        <v>671</v>
      </c>
      <c r="C458" t="s">
        <v>8</v>
      </c>
      <c r="D458">
        <v>38</v>
      </c>
      <c r="E458" t="s">
        <v>128</v>
      </c>
      <c r="F458" t="s">
        <v>189</v>
      </c>
      <c r="G458" t="s">
        <v>222</v>
      </c>
      <c r="H458" t="s">
        <v>165</v>
      </c>
      <c r="I458" t="s">
        <v>144</v>
      </c>
      <c r="J458" t="s">
        <v>145</v>
      </c>
      <c r="L458" t="s">
        <v>134</v>
      </c>
      <c r="M458" t="s">
        <v>135</v>
      </c>
      <c r="N458" s="1">
        <v>40330</v>
      </c>
      <c r="O458" s="1">
        <v>45017</v>
      </c>
      <c r="P458" s="1">
        <v>45017</v>
      </c>
      <c r="Q458" s="1">
        <v>45017</v>
      </c>
      <c r="R458">
        <v>17</v>
      </c>
      <c r="T45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58" t="str">
        <f>IF(tblRoster[[#This Row],[급수]]="4급(임기제)","4급",tblRoster[[#This Row],[급수]])</f>
        <v>6급</v>
      </c>
      <c r="V45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5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58" t="str">
        <f>IF(OR(tblRoster[[#This Row],[교직원상세구분]]="사회복무요원",tblRoster[[#This Row],[교직원상세구분]]="인턴(수습)"),"제외","포함")</f>
        <v>포함</v>
      </c>
      <c r="Y458">
        <f>1</f>
        <v>1</v>
      </c>
      <c r="Z458">
        <f>IF(tblRoster[[#This Row],[재직상태구분]]="휴직",1,0)</f>
        <v>0</v>
      </c>
      <c r="AA45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30대</v>
      </c>
      <c r="AB458">
        <f ca="1">IF(tblRoster[[#This Row],[본교발령시작일자]]="","",DATEDIF(tblRoster[[#This Row],[본교발령시작일자]],TODAY(),"Y"))</f>
        <v>3</v>
      </c>
      <c r="AC458">
        <f ca="1">IF(tblRoster[[#This Row],[최초발령시작일자]]="","",DATEDIF(tblRoster[[#This Row],[최초발령시작일자]],TODAY(),"Y"))</f>
        <v>16</v>
      </c>
      <c r="AD45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58">
        <f ca="1">IF(tblRoster[[#This Row],[직급발령시작일자]]="","",ROUND(YEARFRAC(tblRoster[[#This Row],[직급발령시작일자]],TODAY()),1))</f>
        <v>3.4</v>
      </c>
      <c r="AF45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8">
        <f ca="1">IF(OR(tblRoster[[#This Row],[공무원구분]]&lt;&gt;"공무원",tblRoster[[#This Row],[나이]]=""),"",YEAR(TODAY())+(60-tblRoster[[#This Row],[나이]]))</f>
        <v>2048</v>
      </c>
      <c r="AH458" t="str">
        <f>IF(tblRoster[[#This Row],[직위]]="","일반","보직자")</f>
        <v>일반</v>
      </c>
      <c r="AI45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8" t="str">
        <f ca="1">IF(tblRoster[[#This Row],[복직예정일]]="","",TEXT(tblRoster[[#This Row],[복직예정일]],"yyyy-mm"))</f>
        <v/>
      </c>
      <c r="AM458" t="str">
        <f ca="1">IF(tblRoster[[#This Row],[복직예정일]]="","",tblRoster[[#This Row],[복직예정일]]-TODAY())</f>
        <v/>
      </c>
      <c r="AN458" t="str">
        <f ca="1">IF(tblRoster[[#This Row],[휴직잔여일수]]="","",IF(tblRoster[[#This Row],[휴직잔여일수]]&lt;=180,"6개월내","6개월이후"))</f>
        <v/>
      </c>
      <c r="AO45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59" spans="1:41" x14ac:dyDescent="0.3">
      <c r="A459">
        <v>900457</v>
      </c>
      <c r="B459" t="s">
        <v>672</v>
      </c>
      <c r="C459" t="s">
        <v>8</v>
      </c>
      <c r="D459">
        <v>53</v>
      </c>
      <c r="E459" t="s">
        <v>128</v>
      </c>
      <c r="F459" t="s">
        <v>189</v>
      </c>
      <c r="G459" t="s">
        <v>130</v>
      </c>
      <c r="H459" t="s">
        <v>416</v>
      </c>
      <c r="I459" t="s">
        <v>132</v>
      </c>
      <c r="J459" t="s">
        <v>133</v>
      </c>
      <c r="L459" t="s">
        <v>135</v>
      </c>
      <c r="M459" t="s">
        <v>135</v>
      </c>
      <c r="N459" s="1">
        <v>38231</v>
      </c>
      <c r="O459" s="1">
        <v>45444</v>
      </c>
      <c r="P459" s="1">
        <v>45444</v>
      </c>
      <c r="Q459" s="1">
        <v>45444</v>
      </c>
      <c r="R459">
        <v>24</v>
      </c>
      <c r="T45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59" t="str">
        <f>IF(tblRoster[[#This Row],[급수]]="4급(임기제)","4급",tblRoster[[#This Row],[급수]])</f>
        <v>대학회계계약직</v>
      </c>
      <c r="V45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5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59" t="str">
        <f>IF(OR(tblRoster[[#This Row],[교직원상세구분]]="사회복무요원",tblRoster[[#This Row],[교직원상세구분]]="인턴(수습)"),"제외","포함")</f>
        <v>포함</v>
      </c>
      <c r="Y459">
        <f>1</f>
        <v>1</v>
      </c>
      <c r="Z459">
        <f>IF(tblRoster[[#This Row],[재직상태구분]]="휴직",1,0)</f>
        <v>0</v>
      </c>
      <c r="AA45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59">
        <f ca="1">IF(tblRoster[[#This Row],[본교발령시작일자]]="","",DATEDIF(tblRoster[[#This Row],[본교발령시작일자]],TODAY(),"Y"))</f>
        <v>2</v>
      </c>
      <c r="AC459">
        <f ca="1">IF(tblRoster[[#This Row],[최초발령시작일자]]="","",DATEDIF(tblRoster[[#This Row],[최초발령시작일자]],TODAY(),"Y"))</f>
        <v>22</v>
      </c>
      <c r="AD45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59">
        <f ca="1">IF(tblRoster[[#This Row],[직급발령시작일자]]="","",ROUND(YEARFRAC(tblRoster[[#This Row],[직급발령시작일자]],TODAY()),1))</f>
        <v>2.2999999999999998</v>
      </c>
      <c r="AF45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59" t="str">
        <f ca="1">IF(OR(tblRoster[[#This Row],[공무원구분]]&lt;&gt;"공무원",tblRoster[[#This Row],[나이]]=""),"",YEAR(TODAY())+(60-tblRoster[[#This Row],[나이]]))</f>
        <v/>
      </c>
      <c r="AH459" t="str">
        <f>IF(tblRoster[[#This Row],[직위]]="","일반","보직자")</f>
        <v>일반</v>
      </c>
      <c r="AI45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5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5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59" t="str">
        <f ca="1">IF(tblRoster[[#This Row],[복직예정일]]="","",TEXT(tblRoster[[#This Row],[복직예정일]],"yyyy-mm"))</f>
        <v/>
      </c>
      <c r="AM459" t="str">
        <f ca="1">IF(tblRoster[[#This Row],[복직예정일]]="","",tblRoster[[#This Row],[복직예정일]]-TODAY())</f>
        <v/>
      </c>
      <c r="AN459" t="str">
        <f ca="1">IF(tblRoster[[#This Row],[휴직잔여일수]]="","",IF(tblRoster[[#This Row],[휴직잔여일수]]&lt;=180,"6개월내","6개월이후"))</f>
        <v/>
      </c>
      <c r="AO45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0" spans="1:41" x14ac:dyDescent="0.3">
      <c r="A460">
        <v>900458</v>
      </c>
      <c r="B460" t="s">
        <v>673</v>
      </c>
      <c r="C460" t="s">
        <v>8</v>
      </c>
      <c r="D460">
        <v>43</v>
      </c>
      <c r="E460" t="s">
        <v>128</v>
      </c>
      <c r="F460" t="s">
        <v>154</v>
      </c>
      <c r="G460" t="s">
        <v>151</v>
      </c>
      <c r="H460" t="s">
        <v>175</v>
      </c>
      <c r="I460" t="s">
        <v>144</v>
      </c>
      <c r="J460" t="s">
        <v>145</v>
      </c>
      <c r="L460" t="s">
        <v>135</v>
      </c>
      <c r="M460" t="s">
        <v>135</v>
      </c>
      <c r="N460" s="1">
        <v>39264</v>
      </c>
      <c r="O460" s="1">
        <v>39264</v>
      </c>
      <c r="P460" s="1">
        <v>45231</v>
      </c>
      <c r="Q460" s="1">
        <v>45231</v>
      </c>
      <c r="R460">
        <v>19</v>
      </c>
      <c r="T46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60" t="str">
        <f>IF(tblRoster[[#This Row],[급수]]="4급(임기제)","4급",tblRoster[[#This Row],[급수]])</f>
        <v>9급</v>
      </c>
      <c r="V46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6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0" t="str">
        <f>IF(OR(tblRoster[[#This Row],[교직원상세구분]]="사회복무요원",tblRoster[[#This Row],[교직원상세구분]]="인턴(수습)"),"제외","포함")</f>
        <v>포함</v>
      </c>
      <c r="Y460">
        <f>1</f>
        <v>1</v>
      </c>
      <c r="Z460">
        <f>IF(tblRoster[[#This Row],[재직상태구분]]="휴직",1,0)</f>
        <v>0</v>
      </c>
      <c r="AA46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60">
        <f ca="1">IF(tblRoster[[#This Row],[본교발령시작일자]]="","",DATEDIF(tblRoster[[#This Row],[본교발령시작일자]],TODAY(),"Y"))</f>
        <v>19</v>
      </c>
      <c r="AC460">
        <f ca="1">IF(tblRoster[[#This Row],[최초발령시작일자]]="","",DATEDIF(tblRoster[[#This Row],[최초발령시작일자]],TODAY(),"Y"))</f>
        <v>19</v>
      </c>
      <c r="AD46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60">
        <f ca="1">IF(tblRoster[[#This Row],[직급발령시작일자]]="","",ROUND(YEARFRAC(tblRoster[[#This Row],[직급발령시작일자]],TODAY()),1))</f>
        <v>2.9</v>
      </c>
      <c r="AF46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0">
        <f ca="1">IF(OR(tblRoster[[#This Row],[공무원구분]]&lt;&gt;"공무원",tblRoster[[#This Row],[나이]]=""),"",YEAR(TODAY())+(60-tblRoster[[#This Row],[나이]]))</f>
        <v>2043</v>
      </c>
      <c r="AH460" t="str">
        <f>IF(tblRoster[[#This Row],[직위]]="","일반","보직자")</f>
        <v>일반</v>
      </c>
      <c r="AI46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0" t="str">
        <f ca="1">IF(tblRoster[[#This Row],[복직예정일]]="","",TEXT(tblRoster[[#This Row],[복직예정일]],"yyyy-mm"))</f>
        <v/>
      </c>
      <c r="AM460" t="str">
        <f ca="1">IF(tblRoster[[#This Row],[복직예정일]]="","",tblRoster[[#This Row],[복직예정일]]-TODAY())</f>
        <v/>
      </c>
      <c r="AN460" t="str">
        <f ca="1">IF(tblRoster[[#This Row],[휴직잔여일수]]="","",IF(tblRoster[[#This Row],[휴직잔여일수]]&lt;=180,"6개월내","6개월이후"))</f>
        <v/>
      </c>
      <c r="AO46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1" spans="1:41" x14ac:dyDescent="0.3">
      <c r="A461">
        <v>900459</v>
      </c>
      <c r="B461" t="s">
        <v>99</v>
      </c>
      <c r="C461" t="s">
        <v>8</v>
      </c>
      <c r="D461">
        <v>48</v>
      </c>
      <c r="E461" t="s">
        <v>128</v>
      </c>
      <c r="F461" t="s">
        <v>154</v>
      </c>
      <c r="G461" t="s">
        <v>182</v>
      </c>
      <c r="H461" t="s">
        <v>180</v>
      </c>
      <c r="I461" t="s">
        <v>144</v>
      </c>
      <c r="J461" t="s">
        <v>145</v>
      </c>
      <c r="L461" t="s">
        <v>134</v>
      </c>
      <c r="M461" t="s">
        <v>135</v>
      </c>
      <c r="N461" s="1">
        <v>41306</v>
      </c>
      <c r="O461" s="1">
        <v>41306</v>
      </c>
      <c r="P461" s="1">
        <v>45962</v>
      </c>
      <c r="Q461" s="1">
        <v>45962</v>
      </c>
      <c r="R461">
        <v>16</v>
      </c>
      <c r="S461" t="s">
        <v>674</v>
      </c>
      <c r="T46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61" t="str">
        <f>IF(tblRoster[[#This Row],[급수]]="4급(임기제)","4급",tblRoster[[#This Row],[급수]])</f>
        <v>7급</v>
      </c>
      <c r="V46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6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1" t="str">
        <f>IF(OR(tblRoster[[#This Row],[교직원상세구분]]="사회복무요원",tblRoster[[#This Row],[교직원상세구분]]="인턴(수습)"),"제외","포함")</f>
        <v>포함</v>
      </c>
      <c r="Y461">
        <f>1</f>
        <v>1</v>
      </c>
      <c r="Z461">
        <f>IF(tblRoster[[#This Row],[재직상태구분]]="휴직",1,0)</f>
        <v>0</v>
      </c>
      <c r="AA46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61">
        <f ca="1">IF(tblRoster[[#This Row],[본교발령시작일자]]="","",DATEDIF(tblRoster[[#This Row],[본교발령시작일자]],TODAY(),"Y"))</f>
        <v>13</v>
      </c>
      <c r="AC461">
        <f ca="1">IF(tblRoster[[#This Row],[최초발령시작일자]]="","",DATEDIF(tblRoster[[#This Row],[최초발령시작일자]],TODAY(),"Y"))</f>
        <v>13</v>
      </c>
      <c r="AD46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61">
        <f ca="1">IF(tblRoster[[#This Row],[직급발령시작일자]]="","",ROUND(YEARFRAC(tblRoster[[#This Row],[직급발령시작일자]],TODAY()),1))</f>
        <v>0.9</v>
      </c>
      <c r="AF46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1">
        <f ca="1">IF(OR(tblRoster[[#This Row],[공무원구분]]&lt;&gt;"공무원",tblRoster[[#This Row],[나이]]=""),"",YEAR(TODAY())+(60-tblRoster[[#This Row],[나이]]))</f>
        <v>2038</v>
      </c>
      <c r="AH461" t="str">
        <f>IF(tblRoster[[#This Row],[직위]]="","일반","보직자")</f>
        <v>일반</v>
      </c>
      <c r="AI46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1" t="str">
        <f ca="1">IF(tblRoster[[#This Row],[복직예정일]]="","",TEXT(tblRoster[[#This Row],[복직예정일]],"yyyy-mm"))</f>
        <v/>
      </c>
      <c r="AM461" t="str">
        <f ca="1">IF(tblRoster[[#This Row],[복직예정일]]="","",tblRoster[[#This Row],[복직예정일]]-TODAY())</f>
        <v/>
      </c>
      <c r="AN461" t="str">
        <f ca="1">IF(tblRoster[[#This Row],[휴직잔여일수]]="","",IF(tblRoster[[#This Row],[휴직잔여일수]]&lt;=180,"6개월내","6개월이후"))</f>
        <v/>
      </c>
      <c r="AO46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2" spans="1:41" x14ac:dyDescent="0.3">
      <c r="A462">
        <v>900460</v>
      </c>
      <c r="B462" t="s">
        <v>675</v>
      </c>
      <c r="C462" t="s">
        <v>8</v>
      </c>
      <c r="D462">
        <v>49</v>
      </c>
      <c r="E462" t="s">
        <v>128</v>
      </c>
      <c r="F462" t="s">
        <v>266</v>
      </c>
      <c r="G462" t="s">
        <v>222</v>
      </c>
      <c r="H462" t="s">
        <v>148</v>
      </c>
      <c r="I462" t="s">
        <v>132</v>
      </c>
      <c r="J462" t="s">
        <v>133</v>
      </c>
      <c r="L462" t="s">
        <v>135</v>
      </c>
      <c r="M462" t="s">
        <v>135</v>
      </c>
      <c r="N462" s="1">
        <v>40848</v>
      </c>
      <c r="O462" s="1">
        <v>40848</v>
      </c>
      <c r="P462" s="1">
        <v>42583</v>
      </c>
      <c r="Q462" s="1">
        <v>42583</v>
      </c>
      <c r="R462">
        <v>16</v>
      </c>
      <c r="T46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62" t="str">
        <f>IF(tblRoster[[#This Row],[급수]]="4급(임기제)","4급",tblRoster[[#This Row],[급수]])</f>
        <v>대학회계계약직</v>
      </c>
      <c r="V46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6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62" t="str">
        <f>IF(OR(tblRoster[[#This Row],[교직원상세구분]]="사회복무요원",tblRoster[[#This Row],[교직원상세구분]]="인턴(수습)"),"제외","포함")</f>
        <v>포함</v>
      </c>
      <c r="Y462">
        <f>1</f>
        <v>1</v>
      </c>
      <c r="Z462">
        <f>IF(tblRoster[[#This Row],[재직상태구분]]="휴직",1,0)</f>
        <v>0</v>
      </c>
      <c r="AA46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62">
        <f ca="1">IF(tblRoster[[#This Row],[본교발령시작일자]]="","",DATEDIF(tblRoster[[#This Row],[본교발령시작일자]],TODAY(),"Y"))</f>
        <v>14</v>
      </c>
      <c r="AC462">
        <f ca="1">IF(tblRoster[[#This Row],[최초발령시작일자]]="","",DATEDIF(tblRoster[[#This Row],[최초발령시작일자]],TODAY(),"Y"))</f>
        <v>14</v>
      </c>
      <c r="AD46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62">
        <f ca="1">IF(tblRoster[[#This Row],[직급발령시작일자]]="","",ROUND(YEARFRAC(tblRoster[[#This Row],[직급발령시작일자]],TODAY()),1))</f>
        <v>10.1</v>
      </c>
      <c r="AF462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62" t="str">
        <f ca="1">IF(OR(tblRoster[[#This Row],[공무원구분]]&lt;&gt;"공무원",tblRoster[[#This Row],[나이]]=""),"",YEAR(TODAY())+(60-tblRoster[[#This Row],[나이]]))</f>
        <v/>
      </c>
      <c r="AH462" t="str">
        <f>IF(tblRoster[[#This Row],[직위]]="","일반","보직자")</f>
        <v>일반</v>
      </c>
      <c r="AI46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2" t="str">
        <f ca="1">IF(tblRoster[[#This Row],[복직예정일]]="","",TEXT(tblRoster[[#This Row],[복직예정일]],"yyyy-mm"))</f>
        <v/>
      </c>
      <c r="AM462" t="str">
        <f ca="1">IF(tblRoster[[#This Row],[복직예정일]]="","",tblRoster[[#This Row],[복직예정일]]-TODAY())</f>
        <v/>
      </c>
      <c r="AN462" t="str">
        <f ca="1">IF(tblRoster[[#This Row],[휴직잔여일수]]="","",IF(tblRoster[[#This Row],[휴직잔여일수]]&lt;=180,"6개월내","6개월이후"))</f>
        <v/>
      </c>
      <c r="AO46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3" spans="1:41" x14ac:dyDescent="0.3">
      <c r="A463">
        <v>900461</v>
      </c>
      <c r="B463" t="s">
        <v>676</v>
      </c>
      <c r="C463" t="s">
        <v>8</v>
      </c>
      <c r="D463">
        <v>42</v>
      </c>
      <c r="E463" t="s">
        <v>128</v>
      </c>
      <c r="F463" t="s">
        <v>171</v>
      </c>
      <c r="G463" t="s">
        <v>130</v>
      </c>
      <c r="H463" t="s">
        <v>381</v>
      </c>
      <c r="I463" t="s">
        <v>144</v>
      </c>
      <c r="J463" t="s">
        <v>145</v>
      </c>
      <c r="L463" t="s">
        <v>134</v>
      </c>
      <c r="M463" t="s">
        <v>135</v>
      </c>
      <c r="N463" s="1">
        <v>44713</v>
      </c>
      <c r="O463" s="1">
        <v>44713</v>
      </c>
      <c r="P463" s="1">
        <v>44713</v>
      </c>
      <c r="Q463" s="1">
        <v>44713</v>
      </c>
      <c r="R463">
        <v>6</v>
      </c>
      <c r="T46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63" t="str">
        <f>IF(tblRoster[[#This Row],[급수]]="4급(임기제)","4급",tblRoster[[#This Row],[급수]])</f>
        <v>7급</v>
      </c>
      <c r="V46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6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3" t="str">
        <f>IF(OR(tblRoster[[#This Row],[교직원상세구분]]="사회복무요원",tblRoster[[#This Row],[교직원상세구분]]="인턴(수습)"),"제외","포함")</f>
        <v>포함</v>
      </c>
      <c r="Y463">
        <f>1</f>
        <v>1</v>
      </c>
      <c r="Z463">
        <f>IF(tblRoster[[#This Row],[재직상태구분]]="휴직",1,0)</f>
        <v>0</v>
      </c>
      <c r="AA46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63">
        <f ca="1">IF(tblRoster[[#This Row],[본교발령시작일자]]="","",DATEDIF(tblRoster[[#This Row],[본교발령시작일자]],TODAY(),"Y"))</f>
        <v>4</v>
      </c>
      <c r="AC463">
        <f ca="1">IF(tblRoster[[#This Row],[최초발령시작일자]]="","",DATEDIF(tblRoster[[#This Row],[최초발령시작일자]],TODAY(),"Y"))</f>
        <v>4</v>
      </c>
      <c r="AD46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63">
        <f ca="1">IF(tblRoster[[#This Row],[직급발령시작일자]]="","",ROUND(YEARFRAC(tblRoster[[#This Row],[직급발령시작일자]],TODAY()),1))</f>
        <v>4.3</v>
      </c>
      <c r="AF46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3">
        <f ca="1">IF(OR(tblRoster[[#This Row],[공무원구분]]&lt;&gt;"공무원",tblRoster[[#This Row],[나이]]=""),"",YEAR(TODAY())+(60-tblRoster[[#This Row],[나이]]))</f>
        <v>2044</v>
      </c>
      <c r="AH463" t="str">
        <f>IF(tblRoster[[#This Row],[직위]]="","일반","보직자")</f>
        <v>일반</v>
      </c>
      <c r="AI463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3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3" t="str">
        <f ca="1">IF(tblRoster[[#This Row],[복직예정일]]="","",TEXT(tblRoster[[#This Row],[복직예정일]],"yyyy-mm"))</f>
        <v/>
      </c>
      <c r="AM463" t="str">
        <f ca="1">IF(tblRoster[[#This Row],[복직예정일]]="","",tblRoster[[#This Row],[복직예정일]]-TODAY())</f>
        <v/>
      </c>
      <c r="AN463" t="str">
        <f ca="1">IF(tblRoster[[#This Row],[휴직잔여일수]]="","",IF(tblRoster[[#This Row],[휴직잔여일수]]&lt;=180,"6개월내","6개월이후"))</f>
        <v/>
      </c>
      <c r="AO46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4" spans="1:41" x14ac:dyDescent="0.3">
      <c r="A464">
        <v>900462</v>
      </c>
      <c r="B464" t="s">
        <v>100</v>
      </c>
      <c r="C464" t="s">
        <v>8</v>
      </c>
      <c r="D464">
        <v>55</v>
      </c>
      <c r="E464" t="s">
        <v>150</v>
      </c>
      <c r="F464" t="s">
        <v>171</v>
      </c>
      <c r="G464" t="s">
        <v>151</v>
      </c>
      <c r="H464" t="s">
        <v>180</v>
      </c>
      <c r="I464" t="s">
        <v>144</v>
      </c>
      <c r="J464" t="s">
        <v>145</v>
      </c>
      <c r="L464" t="s">
        <v>134</v>
      </c>
      <c r="M464" t="s">
        <v>135</v>
      </c>
      <c r="N464" s="1">
        <v>36831</v>
      </c>
      <c r="O464" s="1">
        <v>36831</v>
      </c>
      <c r="P464" s="1">
        <v>44866</v>
      </c>
      <c r="Q464" s="1">
        <v>44866</v>
      </c>
      <c r="R464">
        <v>27</v>
      </c>
      <c r="S464" t="s">
        <v>677</v>
      </c>
      <c r="T46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64" t="str">
        <f>IF(tblRoster[[#This Row],[급수]]="4급(임기제)","4급",tblRoster[[#This Row],[급수]])</f>
        <v>7급</v>
      </c>
      <c r="V46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6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4" t="str">
        <f>IF(OR(tblRoster[[#This Row],[교직원상세구분]]="사회복무요원",tblRoster[[#This Row],[교직원상세구분]]="인턴(수습)"),"제외","포함")</f>
        <v>포함</v>
      </c>
      <c r="Y464">
        <f>1</f>
        <v>1</v>
      </c>
      <c r="Z464">
        <f>IF(tblRoster[[#This Row],[재직상태구분]]="휴직",1,0)</f>
        <v>0</v>
      </c>
      <c r="AA46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64">
        <f ca="1">IF(tblRoster[[#This Row],[본교발령시작일자]]="","",DATEDIF(tblRoster[[#This Row],[본교발령시작일자]],TODAY(),"Y"))</f>
        <v>25</v>
      </c>
      <c r="AC464">
        <f ca="1">IF(tblRoster[[#This Row],[최초발령시작일자]]="","",DATEDIF(tblRoster[[#This Row],[최초발령시작일자]],TODAY(),"Y"))</f>
        <v>25</v>
      </c>
      <c r="AD46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64">
        <f ca="1">IF(tblRoster[[#This Row],[직급발령시작일자]]="","",ROUND(YEARFRAC(tblRoster[[#This Row],[직급발령시작일자]],TODAY()),1))</f>
        <v>3.9</v>
      </c>
      <c r="AF46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4">
        <f ca="1">IF(OR(tblRoster[[#This Row],[공무원구분]]&lt;&gt;"공무원",tblRoster[[#This Row],[나이]]=""),"",YEAR(TODAY())+(60-tblRoster[[#This Row],[나이]]))</f>
        <v>2031</v>
      </c>
      <c r="AH464" t="str">
        <f>IF(tblRoster[[#This Row],[직위]]="","일반","보직자")</f>
        <v>일반</v>
      </c>
      <c r="AI46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4" t="str">
        <f ca="1">IF(tblRoster[[#This Row],[복직예정일]]="","",TEXT(tblRoster[[#This Row],[복직예정일]],"yyyy-mm"))</f>
        <v/>
      </c>
      <c r="AM464" t="str">
        <f ca="1">IF(tblRoster[[#This Row],[복직예정일]]="","",tblRoster[[#This Row],[복직예정일]]-TODAY())</f>
        <v/>
      </c>
      <c r="AN464" t="str">
        <f ca="1">IF(tblRoster[[#This Row],[휴직잔여일수]]="","",IF(tblRoster[[#This Row],[휴직잔여일수]]&lt;=180,"6개월내","6개월이후"))</f>
        <v/>
      </c>
      <c r="AO46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5" spans="1:41" x14ac:dyDescent="0.3">
      <c r="A465">
        <v>900463</v>
      </c>
      <c r="B465" t="s">
        <v>678</v>
      </c>
      <c r="C465" t="s">
        <v>8</v>
      </c>
      <c r="D465">
        <v>29</v>
      </c>
      <c r="E465" t="s">
        <v>150</v>
      </c>
      <c r="F465" t="s">
        <v>171</v>
      </c>
      <c r="G465" t="s">
        <v>173</v>
      </c>
      <c r="H465" t="s">
        <v>175</v>
      </c>
      <c r="I465" t="s">
        <v>144</v>
      </c>
      <c r="J465" t="s">
        <v>145</v>
      </c>
      <c r="L465" t="s">
        <v>134</v>
      </c>
      <c r="M465" t="s">
        <v>135</v>
      </c>
      <c r="N465" s="1">
        <v>44348</v>
      </c>
      <c r="O465" s="1">
        <v>44348</v>
      </c>
      <c r="P465" s="1">
        <v>44348</v>
      </c>
      <c r="Q465" s="1">
        <v>44348</v>
      </c>
      <c r="R465">
        <v>7</v>
      </c>
      <c r="T46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65" t="str">
        <f>IF(tblRoster[[#This Row],[급수]]="4급(임기제)","4급",tblRoster[[#This Row],[급수]])</f>
        <v>9급</v>
      </c>
      <c r="V46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6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5" t="str">
        <f>IF(OR(tblRoster[[#This Row],[교직원상세구분]]="사회복무요원",tblRoster[[#This Row],[교직원상세구분]]="인턴(수습)"),"제외","포함")</f>
        <v>포함</v>
      </c>
      <c r="Y465">
        <f>1</f>
        <v>1</v>
      </c>
      <c r="Z465">
        <f>IF(tblRoster[[#This Row],[재직상태구분]]="휴직",1,0)</f>
        <v>0</v>
      </c>
      <c r="AA46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65">
        <f ca="1">IF(tblRoster[[#This Row],[본교발령시작일자]]="","",DATEDIF(tblRoster[[#This Row],[본교발령시작일자]],TODAY(),"Y"))</f>
        <v>5</v>
      </c>
      <c r="AC465">
        <f ca="1">IF(tblRoster[[#This Row],[최초발령시작일자]]="","",DATEDIF(tblRoster[[#This Row],[최초발령시작일자]],TODAY(),"Y"))</f>
        <v>5</v>
      </c>
      <c r="AD46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65">
        <f ca="1">IF(tblRoster[[#This Row],[직급발령시작일자]]="","",ROUND(YEARFRAC(tblRoster[[#This Row],[직급발령시작일자]],TODAY()),1))</f>
        <v>5.3</v>
      </c>
      <c r="AF465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65">
        <f ca="1">IF(OR(tblRoster[[#This Row],[공무원구분]]&lt;&gt;"공무원",tblRoster[[#This Row],[나이]]=""),"",YEAR(TODAY())+(60-tblRoster[[#This Row],[나이]]))</f>
        <v>2057</v>
      </c>
      <c r="AH465" t="str">
        <f>IF(tblRoster[[#This Row],[직위]]="","일반","보직자")</f>
        <v>일반</v>
      </c>
      <c r="AI465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5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5" t="str">
        <f ca="1">IF(tblRoster[[#This Row],[복직예정일]]="","",TEXT(tblRoster[[#This Row],[복직예정일]],"yyyy-mm"))</f>
        <v/>
      </c>
      <c r="AM465" t="str">
        <f ca="1">IF(tblRoster[[#This Row],[복직예정일]]="","",tblRoster[[#This Row],[복직예정일]]-TODAY())</f>
        <v/>
      </c>
      <c r="AN465" t="str">
        <f ca="1">IF(tblRoster[[#This Row],[휴직잔여일수]]="","",IF(tblRoster[[#This Row],[휴직잔여일수]]&lt;=180,"6개월내","6개월이후"))</f>
        <v/>
      </c>
      <c r="AO46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6" spans="1:41" x14ac:dyDescent="0.3">
      <c r="A466">
        <v>900464</v>
      </c>
      <c r="B466" t="s">
        <v>679</v>
      </c>
      <c r="C466" t="s">
        <v>8</v>
      </c>
      <c r="D466">
        <v>28</v>
      </c>
      <c r="E466" t="s">
        <v>150</v>
      </c>
      <c r="F466" t="s">
        <v>266</v>
      </c>
      <c r="G466" t="s">
        <v>155</v>
      </c>
      <c r="H466" t="s">
        <v>148</v>
      </c>
      <c r="I466" t="s">
        <v>132</v>
      </c>
      <c r="J466" t="s">
        <v>133</v>
      </c>
      <c r="L466" t="s">
        <v>134</v>
      </c>
      <c r="M466" t="s">
        <v>135</v>
      </c>
      <c r="N466" s="1">
        <v>44986</v>
      </c>
      <c r="O466" s="1">
        <v>44986</v>
      </c>
      <c r="P466" s="1">
        <v>44986</v>
      </c>
      <c r="Q466" s="1">
        <v>44986</v>
      </c>
      <c r="R466">
        <v>4</v>
      </c>
      <c r="T46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66" t="str">
        <f>IF(tblRoster[[#This Row],[급수]]="4급(임기제)","4급",tblRoster[[#This Row],[급수]])</f>
        <v>대학회계계약직</v>
      </c>
      <c r="V46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6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66" t="str">
        <f>IF(OR(tblRoster[[#This Row],[교직원상세구분]]="사회복무요원",tblRoster[[#This Row],[교직원상세구분]]="인턴(수습)"),"제외","포함")</f>
        <v>포함</v>
      </c>
      <c r="Y466">
        <f>1</f>
        <v>1</v>
      </c>
      <c r="Z466">
        <f>IF(tblRoster[[#This Row],[재직상태구분]]="휴직",1,0)</f>
        <v>0</v>
      </c>
      <c r="AA46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66">
        <f ca="1">IF(tblRoster[[#This Row],[본교발령시작일자]]="","",DATEDIF(tblRoster[[#This Row],[본교발령시작일자]],TODAY(),"Y"))</f>
        <v>3</v>
      </c>
      <c r="AC466">
        <f ca="1">IF(tblRoster[[#This Row],[최초발령시작일자]]="","",DATEDIF(tblRoster[[#This Row],[최초발령시작일자]],TODAY(),"Y"))</f>
        <v>3</v>
      </c>
      <c r="AD46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66">
        <f ca="1">IF(tblRoster[[#This Row],[직급발령시작일자]]="","",ROUND(YEARFRAC(tblRoster[[#This Row],[직급발령시작일자]],TODAY()),1))</f>
        <v>3.5</v>
      </c>
      <c r="AF46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6" t="str">
        <f ca="1">IF(OR(tblRoster[[#This Row],[공무원구분]]&lt;&gt;"공무원",tblRoster[[#This Row],[나이]]=""),"",YEAR(TODAY())+(60-tblRoster[[#This Row],[나이]]))</f>
        <v/>
      </c>
      <c r="AH466" t="str">
        <f>IF(tblRoster[[#This Row],[직위]]="","일반","보직자")</f>
        <v>일반</v>
      </c>
      <c r="AI46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6" t="str">
        <f ca="1">IF(tblRoster[[#This Row],[복직예정일]]="","",TEXT(tblRoster[[#This Row],[복직예정일]],"yyyy-mm"))</f>
        <v/>
      </c>
      <c r="AM466" t="str">
        <f ca="1">IF(tblRoster[[#This Row],[복직예정일]]="","",tblRoster[[#This Row],[복직예정일]]-TODAY())</f>
        <v/>
      </c>
      <c r="AN466" t="str">
        <f ca="1">IF(tblRoster[[#This Row],[휴직잔여일수]]="","",IF(tblRoster[[#This Row],[휴직잔여일수]]&lt;=180,"6개월내","6개월이후"))</f>
        <v/>
      </c>
      <c r="AO46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7" spans="1:41" x14ac:dyDescent="0.3">
      <c r="A467">
        <v>900465</v>
      </c>
      <c r="B467" t="s">
        <v>680</v>
      </c>
      <c r="C467" t="s">
        <v>8</v>
      </c>
      <c r="D467">
        <v>52</v>
      </c>
      <c r="E467" t="s">
        <v>150</v>
      </c>
      <c r="F467" t="s">
        <v>147</v>
      </c>
      <c r="G467" t="s">
        <v>185</v>
      </c>
      <c r="H467" t="s">
        <v>191</v>
      </c>
      <c r="I467" t="s">
        <v>144</v>
      </c>
      <c r="J467" t="s">
        <v>145</v>
      </c>
      <c r="K467" t="s">
        <v>681</v>
      </c>
      <c r="L467" t="s">
        <v>134</v>
      </c>
      <c r="M467" t="s">
        <v>135</v>
      </c>
      <c r="N467" s="1">
        <v>38991</v>
      </c>
      <c r="O467" s="1">
        <v>38991</v>
      </c>
      <c r="P467" s="1">
        <v>41944</v>
      </c>
      <c r="Q467" s="1">
        <v>41944</v>
      </c>
      <c r="R467">
        <v>23</v>
      </c>
      <c r="T46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467" t="str">
        <f>IF(tblRoster[[#This Row],[급수]]="4급(임기제)","4급",tblRoster[[#This Row],[급수]])</f>
        <v>5급</v>
      </c>
      <c r="V46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46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7" t="str">
        <f>IF(OR(tblRoster[[#This Row],[교직원상세구분]]="사회복무요원",tblRoster[[#This Row],[교직원상세구분]]="인턴(수습)"),"제외","포함")</f>
        <v>포함</v>
      </c>
      <c r="Y467">
        <f>1</f>
        <v>1</v>
      </c>
      <c r="Z467">
        <f>IF(tblRoster[[#This Row],[재직상태구분]]="휴직",1,0)</f>
        <v>0</v>
      </c>
      <c r="AA46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67">
        <f ca="1">IF(tblRoster[[#This Row],[본교발령시작일자]]="","",DATEDIF(tblRoster[[#This Row],[본교발령시작일자]],TODAY(),"Y"))</f>
        <v>19</v>
      </c>
      <c r="AC467">
        <f ca="1">IF(tblRoster[[#This Row],[최초발령시작일자]]="","",DATEDIF(tblRoster[[#This Row],[최초발령시작일자]],TODAY(),"Y"))</f>
        <v>19</v>
      </c>
      <c r="AD46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67">
        <f ca="1">IF(tblRoster[[#This Row],[직급발령시작일자]]="","",ROUND(YEARFRAC(tblRoster[[#This Row],[직급발령시작일자]],TODAY()),1))</f>
        <v>11.9</v>
      </c>
      <c r="AF46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67">
        <f ca="1">IF(OR(tblRoster[[#This Row],[공무원구분]]&lt;&gt;"공무원",tblRoster[[#This Row],[나이]]=""),"",YEAR(TODAY())+(60-tblRoster[[#This Row],[나이]]))</f>
        <v>2034</v>
      </c>
      <c r="AH467" t="str">
        <f>IF(tblRoster[[#This Row],[직위]]="","일반","보직자")</f>
        <v>보직자</v>
      </c>
      <c r="AI467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7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7" t="str">
        <f ca="1">IF(tblRoster[[#This Row],[복직예정일]]="","",TEXT(tblRoster[[#This Row],[복직예정일]],"yyyy-mm"))</f>
        <v/>
      </c>
      <c r="AM467" t="str">
        <f ca="1">IF(tblRoster[[#This Row],[복직예정일]]="","",tblRoster[[#This Row],[복직예정일]]-TODAY())</f>
        <v/>
      </c>
      <c r="AN467" t="str">
        <f ca="1">IF(tblRoster[[#This Row],[휴직잔여일수]]="","",IF(tblRoster[[#This Row],[휴직잔여일수]]&lt;=180,"6개월내","6개월이후"))</f>
        <v/>
      </c>
      <c r="AO46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8" spans="1:41" x14ac:dyDescent="0.3">
      <c r="A468">
        <v>900466</v>
      </c>
      <c r="B468" t="s">
        <v>682</v>
      </c>
      <c r="C468" t="s">
        <v>8</v>
      </c>
      <c r="D468">
        <v>45</v>
      </c>
      <c r="E468" t="s">
        <v>150</v>
      </c>
      <c r="F468" t="s">
        <v>189</v>
      </c>
      <c r="G468" t="s">
        <v>130</v>
      </c>
      <c r="H468" t="s">
        <v>398</v>
      </c>
      <c r="I468" t="s">
        <v>399</v>
      </c>
      <c r="J468" t="s">
        <v>145</v>
      </c>
      <c r="L468" t="s">
        <v>134</v>
      </c>
      <c r="M468" t="s">
        <v>135</v>
      </c>
      <c r="N468" s="1">
        <v>38384</v>
      </c>
      <c r="O468" s="1">
        <v>38384</v>
      </c>
      <c r="P468" s="1">
        <v>43160</v>
      </c>
      <c r="Q468" s="1">
        <v>43160</v>
      </c>
      <c r="R468">
        <v>21</v>
      </c>
      <c r="T46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68" t="str">
        <f>IF(tblRoster[[#This Row],[급수]]="4급(임기제)","4급",tblRoster[[#This Row],[급수]])</f>
        <v>6급</v>
      </c>
      <c r="V46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6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8" t="str">
        <f>IF(OR(tblRoster[[#This Row],[교직원상세구분]]="사회복무요원",tblRoster[[#This Row],[교직원상세구분]]="인턴(수습)"),"제외","포함")</f>
        <v>포함</v>
      </c>
      <c r="Y468">
        <f>1</f>
        <v>1</v>
      </c>
      <c r="Z468">
        <f>IF(tblRoster[[#This Row],[재직상태구분]]="휴직",1,0)</f>
        <v>0</v>
      </c>
      <c r="AA46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68">
        <f ca="1">IF(tblRoster[[#This Row],[본교발령시작일자]]="","",DATEDIF(tblRoster[[#This Row],[본교발령시작일자]],TODAY(),"Y"))</f>
        <v>21</v>
      </c>
      <c r="AC468">
        <f ca="1">IF(tblRoster[[#This Row],[최초발령시작일자]]="","",DATEDIF(tblRoster[[#This Row],[최초발령시작일자]],TODAY(),"Y"))</f>
        <v>21</v>
      </c>
      <c r="AD46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68">
        <f ca="1">IF(tblRoster[[#This Row],[직급발령시작일자]]="","",ROUND(YEARFRAC(tblRoster[[#This Row],[직급발령시작일자]],TODAY()),1))</f>
        <v>8.5</v>
      </c>
      <c r="AF468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68">
        <f ca="1">IF(OR(tblRoster[[#This Row],[공무원구분]]&lt;&gt;"공무원",tblRoster[[#This Row],[나이]]=""),"",YEAR(TODAY())+(60-tblRoster[[#This Row],[나이]]))</f>
        <v>2041</v>
      </c>
      <c r="AH468" t="str">
        <f>IF(tblRoster[[#This Row],[직위]]="","일반","보직자")</f>
        <v>일반</v>
      </c>
      <c r="AI46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8" t="str">
        <f ca="1">IF(tblRoster[[#This Row],[복직예정일]]="","",TEXT(tblRoster[[#This Row],[복직예정일]],"yyyy-mm"))</f>
        <v/>
      </c>
      <c r="AM468" t="str">
        <f ca="1">IF(tblRoster[[#This Row],[복직예정일]]="","",tblRoster[[#This Row],[복직예정일]]-TODAY())</f>
        <v/>
      </c>
      <c r="AN468" t="str">
        <f ca="1">IF(tblRoster[[#This Row],[휴직잔여일수]]="","",IF(tblRoster[[#This Row],[휴직잔여일수]]&lt;=180,"6개월내","6개월이후"))</f>
        <v/>
      </c>
      <c r="AO46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69" spans="1:41" x14ac:dyDescent="0.3">
      <c r="A469">
        <v>900467</v>
      </c>
      <c r="B469" t="s">
        <v>683</v>
      </c>
      <c r="C469" t="s">
        <v>8</v>
      </c>
      <c r="D469">
        <v>49</v>
      </c>
      <c r="E469" t="s">
        <v>150</v>
      </c>
      <c r="F469" t="s">
        <v>154</v>
      </c>
      <c r="G469" t="s">
        <v>207</v>
      </c>
      <c r="H469" t="s">
        <v>200</v>
      </c>
      <c r="I469" t="s">
        <v>144</v>
      </c>
      <c r="J469" t="s">
        <v>145</v>
      </c>
      <c r="L469" t="s">
        <v>134</v>
      </c>
      <c r="M469" t="s">
        <v>135</v>
      </c>
      <c r="N469" s="1">
        <v>43983</v>
      </c>
      <c r="O469" s="1">
        <v>45017</v>
      </c>
      <c r="P469" s="1">
        <v>45778</v>
      </c>
      <c r="Q469" s="1">
        <v>45778</v>
      </c>
      <c r="T46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469" t="str">
        <f>IF(tblRoster[[#This Row],[급수]]="4급(임기제)","4급",tblRoster[[#This Row],[급수]])</f>
        <v>5급</v>
      </c>
      <c r="V46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46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69" t="str">
        <f>IF(OR(tblRoster[[#This Row],[교직원상세구분]]="사회복무요원",tblRoster[[#This Row],[교직원상세구분]]="인턴(수습)"),"제외","포함")</f>
        <v>포함</v>
      </c>
      <c r="Y469">
        <f>1</f>
        <v>1</v>
      </c>
      <c r="Z469">
        <f>IF(tblRoster[[#This Row],[재직상태구분]]="휴직",1,0)</f>
        <v>0</v>
      </c>
      <c r="AA46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69">
        <f ca="1">IF(tblRoster[[#This Row],[본교발령시작일자]]="","",DATEDIF(tblRoster[[#This Row],[본교발령시작일자]],TODAY(),"Y"))</f>
        <v>3</v>
      </c>
      <c r="AC469">
        <f ca="1">IF(tblRoster[[#This Row],[최초발령시작일자]]="","",DATEDIF(tblRoster[[#This Row],[최초발령시작일자]],TODAY(),"Y"))</f>
        <v>6</v>
      </c>
      <c r="AD46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69">
        <f ca="1">IF(tblRoster[[#This Row],[직급발령시작일자]]="","",ROUND(YEARFRAC(tblRoster[[#This Row],[직급발령시작일자]],TODAY()),1))</f>
        <v>1.4</v>
      </c>
      <c r="AF46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69">
        <f ca="1">IF(OR(tblRoster[[#This Row],[공무원구분]]&lt;&gt;"공무원",tblRoster[[#This Row],[나이]]=""),"",YEAR(TODAY())+(60-tblRoster[[#This Row],[나이]]))</f>
        <v>2037</v>
      </c>
      <c r="AH469" t="str">
        <f>IF(tblRoster[[#This Row],[직위]]="","일반","보직자")</f>
        <v>일반</v>
      </c>
      <c r="AI46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6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6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69" t="str">
        <f ca="1">IF(tblRoster[[#This Row],[복직예정일]]="","",TEXT(tblRoster[[#This Row],[복직예정일]],"yyyy-mm"))</f>
        <v/>
      </c>
      <c r="AM469" t="str">
        <f ca="1">IF(tblRoster[[#This Row],[복직예정일]]="","",tblRoster[[#This Row],[복직예정일]]-TODAY())</f>
        <v/>
      </c>
      <c r="AN469" t="str">
        <f ca="1">IF(tblRoster[[#This Row],[휴직잔여일수]]="","",IF(tblRoster[[#This Row],[휴직잔여일수]]&lt;=180,"6개월내","6개월이후"))</f>
        <v/>
      </c>
      <c r="AO46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0" spans="1:41" x14ac:dyDescent="0.3">
      <c r="A470">
        <v>900468</v>
      </c>
      <c r="B470" t="s">
        <v>684</v>
      </c>
      <c r="C470" t="s">
        <v>8</v>
      </c>
      <c r="D470">
        <v>25</v>
      </c>
      <c r="E470" t="s">
        <v>128</v>
      </c>
      <c r="F470" t="s">
        <v>154</v>
      </c>
      <c r="G470" t="s">
        <v>211</v>
      </c>
      <c r="H470" t="s">
        <v>212</v>
      </c>
      <c r="I470" t="s">
        <v>213</v>
      </c>
      <c r="J470" t="s">
        <v>133</v>
      </c>
      <c r="L470" t="s">
        <v>135</v>
      </c>
      <c r="M470" t="s">
        <v>135</v>
      </c>
      <c r="N470" s="1">
        <v>45748</v>
      </c>
      <c r="O470" s="1">
        <v>45748</v>
      </c>
      <c r="P470" s="1">
        <v>45748</v>
      </c>
      <c r="Q470" s="1">
        <v>45748</v>
      </c>
      <c r="T47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470" t="str">
        <f>IF(tblRoster[[#This Row],[급수]]="4급(임기제)","4급",tblRoster[[#This Row],[급수]])</f>
        <v>인턴</v>
      </c>
      <c r="V47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47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70" t="str">
        <f>IF(OR(tblRoster[[#This Row],[교직원상세구분]]="사회복무요원",tblRoster[[#This Row],[교직원상세구분]]="인턴(수습)"),"제외","포함")</f>
        <v>제외</v>
      </c>
      <c r="Y470">
        <f>1</f>
        <v>1</v>
      </c>
      <c r="Z470">
        <f>IF(tblRoster[[#This Row],[재직상태구분]]="휴직",1,0)</f>
        <v>0</v>
      </c>
      <c r="AA47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70">
        <f ca="1">IF(tblRoster[[#This Row],[본교발령시작일자]]="","",DATEDIF(tblRoster[[#This Row],[본교발령시작일자]],TODAY(),"Y"))</f>
        <v>1</v>
      </c>
      <c r="AC470">
        <f ca="1">IF(tblRoster[[#This Row],[최초발령시작일자]]="","",DATEDIF(tblRoster[[#This Row],[최초발령시작일자]],TODAY(),"Y"))</f>
        <v>1</v>
      </c>
      <c r="AD47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70">
        <f ca="1">IF(tblRoster[[#This Row],[직급발령시작일자]]="","",ROUND(YEARFRAC(tblRoster[[#This Row],[직급발령시작일자]],TODAY()),1))</f>
        <v>1.4</v>
      </c>
      <c r="AF47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70" t="str">
        <f ca="1">IF(OR(tblRoster[[#This Row],[공무원구분]]&lt;&gt;"공무원",tblRoster[[#This Row],[나이]]=""),"",YEAR(TODAY())+(60-tblRoster[[#This Row],[나이]]))</f>
        <v/>
      </c>
      <c r="AH470" t="str">
        <f>IF(tblRoster[[#This Row],[직위]]="","일반","보직자")</f>
        <v>일반</v>
      </c>
      <c r="AI47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0" t="str">
        <f ca="1">IF(tblRoster[[#This Row],[복직예정일]]="","",TEXT(tblRoster[[#This Row],[복직예정일]],"yyyy-mm"))</f>
        <v/>
      </c>
      <c r="AM470" t="str">
        <f ca="1">IF(tblRoster[[#This Row],[복직예정일]]="","",tblRoster[[#This Row],[복직예정일]]-TODAY())</f>
        <v/>
      </c>
      <c r="AN470" t="str">
        <f ca="1">IF(tblRoster[[#This Row],[휴직잔여일수]]="","",IF(tblRoster[[#This Row],[휴직잔여일수]]&lt;=180,"6개월내","6개월이후"))</f>
        <v/>
      </c>
      <c r="AO47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1" spans="1:41" x14ac:dyDescent="0.3">
      <c r="A471">
        <v>900469</v>
      </c>
      <c r="B471" t="s">
        <v>685</v>
      </c>
      <c r="C471" t="s">
        <v>8</v>
      </c>
      <c r="D471">
        <v>49</v>
      </c>
      <c r="E471" t="s">
        <v>128</v>
      </c>
      <c r="F471" t="s">
        <v>129</v>
      </c>
      <c r="G471" t="s">
        <v>197</v>
      </c>
      <c r="H471" t="s">
        <v>200</v>
      </c>
      <c r="I471" t="s">
        <v>144</v>
      </c>
      <c r="J471" t="s">
        <v>145</v>
      </c>
      <c r="K471" t="s">
        <v>686</v>
      </c>
      <c r="L471" t="s">
        <v>134</v>
      </c>
      <c r="M471" t="s">
        <v>135</v>
      </c>
      <c r="N471" s="1">
        <v>44348</v>
      </c>
      <c r="O471" s="1">
        <v>44348</v>
      </c>
      <c r="P471" s="1">
        <v>44348</v>
      </c>
      <c r="Q471" s="1">
        <v>44348</v>
      </c>
      <c r="R471">
        <v>7</v>
      </c>
      <c r="T47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5급</v>
      </c>
      <c r="U471" t="str">
        <f>IF(tblRoster[[#This Row],[급수]]="4급(임기제)","4급",tblRoster[[#This Row],[급수]])</f>
        <v>5급</v>
      </c>
      <c r="V47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3</v>
      </c>
      <c r="W47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1" t="str">
        <f>IF(OR(tblRoster[[#This Row],[교직원상세구분]]="사회복무요원",tblRoster[[#This Row],[교직원상세구분]]="인턴(수습)"),"제외","포함")</f>
        <v>포함</v>
      </c>
      <c r="Y471">
        <f>1</f>
        <v>1</v>
      </c>
      <c r="Z471">
        <f>IF(tblRoster[[#This Row],[재직상태구분]]="휴직",1,0)</f>
        <v>0</v>
      </c>
      <c r="AA47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71">
        <f ca="1">IF(tblRoster[[#This Row],[본교발령시작일자]]="","",DATEDIF(tblRoster[[#This Row],[본교발령시작일자]],TODAY(),"Y"))</f>
        <v>5</v>
      </c>
      <c r="AC471">
        <f ca="1">IF(tblRoster[[#This Row],[최초발령시작일자]]="","",DATEDIF(tblRoster[[#This Row],[최초발령시작일자]],TODAY(),"Y"))</f>
        <v>5</v>
      </c>
      <c r="AD47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5~10년</v>
      </c>
      <c r="AE471">
        <f ca="1">IF(tblRoster[[#This Row],[직급발령시작일자]]="","",ROUND(YEARFRAC(tblRoster[[#This Row],[직급발령시작일자]],TODAY()),1))</f>
        <v>5.3</v>
      </c>
      <c r="AF471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71">
        <f ca="1">IF(OR(tblRoster[[#This Row],[공무원구분]]&lt;&gt;"공무원",tblRoster[[#This Row],[나이]]=""),"",YEAR(TODAY())+(60-tblRoster[[#This Row],[나이]]))</f>
        <v>2037</v>
      </c>
      <c r="AH471" t="str">
        <f>IF(tblRoster[[#This Row],[직위]]="","일반","보직자")</f>
        <v>보직자</v>
      </c>
      <c r="AI47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1" t="str">
        <f ca="1">IF(tblRoster[[#This Row],[복직예정일]]="","",TEXT(tblRoster[[#This Row],[복직예정일]],"yyyy-mm"))</f>
        <v/>
      </c>
      <c r="AM471" t="str">
        <f ca="1">IF(tblRoster[[#This Row],[복직예정일]]="","",tblRoster[[#This Row],[복직예정일]]-TODAY())</f>
        <v/>
      </c>
      <c r="AN471" t="str">
        <f ca="1">IF(tblRoster[[#This Row],[휴직잔여일수]]="","",IF(tblRoster[[#This Row],[휴직잔여일수]]&lt;=180,"6개월내","6개월이후"))</f>
        <v/>
      </c>
      <c r="AO47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2" spans="1:41" x14ac:dyDescent="0.3">
      <c r="A472">
        <v>900470</v>
      </c>
      <c r="B472" t="s">
        <v>687</v>
      </c>
      <c r="C472" t="s">
        <v>8</v>
      </c>
      <c r="D472">
        <v>51</v>
      </c>
      <c r="E472" t="s">
        <v>128</v>
      </c>
      <c r="F472" t="s">
        <v>179</v>
      </c>
      <c r="G472" t="s">
        <v>151</v>
      </c>
      <c r="H472" t="s">
        <v>163</v>
      </c>
      <c r="I472" t="s">
        <v>144</v>
      </c>
      <c r="J472" t="s">
        <v>145</v>
      </c>
      <c r="L472" t="s">
        <v>134</v>
      </c>
      <c r="M472" t="s">
        <v>135</v>
      </c>
      <c r="N472" s="1">
        <v>42430</v>
      </c>
      <c r="O472" s="1">
        <v>42430</v>
      </c>
      <c r="P472" s="1">
        <v>44440</v>
      </c>
      <c r="Q472" s="1">
        <v>44440</v>
      </c>
      <c r="R472">
        <v>12</v>
      </c>
      <c r="T472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6급</v>
      </c>
      <c r="U472" t="str">
        <f>IF(tblRoster[[#This Row],[급수]]="4급(임기제)","4급",tblRoster[[#This Row],[급수]])</f>
        <v>6급</v>
      </c>
      <c r="V472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4</v>
      </c>
      <c r="W472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2" t="str">
        <f>IF(OR(tblRoster[[#This Row],[교직원상세구분]]="사회복무요원",tblRoster[[#This Row],[교직원상세구분]]="인턴(수습)"),"제외","포함")</f>
        <v>포함</v>
      </c>
      <c r="Y472">
        <f>1</f>
        <v>1</v>
      </c>
      <c r="Z472">
        <f>IF(tblRoster[[#This Row],[재직상태구분]]="휴직",1,0)</f>
        <v>0</v>
      </c>
      <c r="AA472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72">
        <f ca="1">IF(tblRoster[[#This Row],[본교발령시작일자]]="","",DATEDIF(tblRoster[[#This Row],[본교발령시작일자]],TODAY(),"Y"))</f>
        <v>10</v>
      </c>
      <c r="AC472">
        <f ca="1">IF(tblRoster[[#This Row],[최초발령시작일자]]="","",DATEDIF(tblRoster[[#This Row],[최초발령시작일자]],TODAY(),"Y"))</f>
        <v>10</v>
      </c>
      <c r="AD472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72">
        <f ca="1">IF(tblRoster[[#This Row],[직급발령시작일자]]="","",ROUND(YEARFRAC(tblRoster[[#This Row],[직급발령시작일자]],TODAY()),1))</f>
        <v>5</v>
      </c>
      <c r="AF472" t="str">
        <f ca="1">_xlfn.IFS(tblRoster[[#This Row],[현직급체류년수]]="","미상",tblRoster[[#This Row],[현직급체류년수]]&gt;=10,"10년 이상",tblRoster[[#This Row],[현직급체류년수]]&gt;=5,"5~10년",TRUE,"5년 미만")</f>
        <v>5~10년</v>
      </c>
      <c r="AG472">
        <f ca="1">IF(OR(tblRoster[[#This Row],[공무원구분]]&lt;&gt;"공무원",tblRoster[[#This Row],[나이]]=""),"",YEAR(TODAY())+(60-tblRoster[[#This Row],[나이]]))</f>
        <v>2035</v>
      </c>
      <c r="AH472" t="str">
        <f>IF(tblRoster[[#This Row],[직위]]="","일반","보직자")</f>
        <v>일반</v>
      </c>
      <c r="AI472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2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2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2" t="str">
        <f ca="1">IF(tblRoster[[#This Row],[복직예정일]]="","",TEXT(tblRoster[[#This Row],[복직예정일]],"yyyy-mm"))</f>
        <v/>
      </c>
      <c r="AM472" t="str">
        <f ca="1">IF(tblRoster[[#This Row],[복직예정일]]="","",tblRoster[[#This Row],[복직예정일]]-TODAY())</f>
        <v/>
      </c>
      <c r="AN472" t="str">
        <f ca="1">IF(tblRoster[[#This Row],[휴직잔여일수]]="","",IF(tblRoster[[#This Row],[휴직잔여일수]]&lt;=180,"6개월내","6개월이후"))</f>
        <v/>
      </c>
      <c r="AO472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3" spans="1:41" x14ac:dyDescent="0.3">
      <c r="A473">
        <v>900471</v>
      </c>
      <c r="B473" t="s">
        <v>101</v>
      </c>
      <c r="C473" t="s">
        <v>16</v>
      </c>
      <c r="D473">
        <v>45</v>
      </c>
      <c r="E473" t="s">
        <v>150</v>
      </c>
      <c r="F473" t="s">
        <v>154</v>
      </c>
      <c r="G473" t="s">
        <v>182</v>
      </c>
      <c r="H473" t="s">
        <v>238</v>
      </c>
      <c r="I473" t="s">
        <v>239</v>
      </c>
      <c r="J473" t="s">
        <v>133</v>
      </c>
      <c r="L473" t="s">
        <v>134</v>
      </c>
      <c r="M473" t="s">
        <v>135</v>
      </c>
      <c r="N473" s="1">
        <v>41944</v>
      </c>
      <c r="O473" s="1">
        <v>46054</v>
      </c>
      <c r="P473" s="1">
        <v>46054</v>
      </c>
      <c r="Q473" s="1">
        <v>46054</v>
      </c>
      <c r="R473">
        <v>14</v>
      </c>
      <c r="S473" t="s">
        <v>688</v>
      </c>
      <c r="T473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대학회계직</v>
      </c>
      <c r="U473" t="str">
        <f>IF(tblRoster[[#This Row],[급수]]="4급(임기제)","4급",tblRoster[[#This Row],[급수]])</f>
        <v>대학회계직</v>
      </c>
      <c r="V473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10</v>
      </c>
      <c r="W473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대학회계직</v>
      </c>
      <c r="X473" t="str">
        <f>IF(OR(tblRoster[[#This Row],[교직원상세구분]]="사회복무요원",tblRoster[[#This Row],[교직원상세구분]]="인턴(수습)"),"제외","포함")</f>
        <v>포함</v>
      </c>
      <c r="Y473">
        <f>1</f>
        <v>1</v>
      </c>
      <c r="Z473">
        <f>IF(tblRoster[[#This Row],[재직상태구분]]="휴직",1,0)</f>
        <v>1</v>
      </c>
      <c r="AA473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73">
        <f ca="1">IF(tblRoster[[#This Row],[본교발령시작일자]]="","",DATEDIF(tblRoster[[#This Row],[본교발령시작일자]],TODAY(),"Y"))</f>
        <v>0</v>
      </c>
      <c r="AC473">
        <f ca="1">IF(tblRoster[[#This Row],[최초발령시작일자]]="","",DATEDIF(tblRoster[[#This Row],[최초발령시작일자]],TODAY(),"Y"))</f>
        <v>11</v>
      </c>
      <c r="AD473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73">
        <f ca="1">IF(tblRoster[[#This Row],[직급발령시작일자]]="","",ROUND(YEARFRAC(tblRoster[[#This Row],[직급발령시작일자]],TODAY()),1))</f>
        <v>0.6</v>
      </c>
      <c r="AF473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73" t="str">
        <f ca="1">IF(OR(tblRoster[[#This Row],[공무원구분]]&lt;&gt;"공무원",tblRoster[[#This Row],[나이]]=""),"",YEAR(TODAY())+(60-tblRoster[[#This Row],[나이]]))</f>
        <v/>
      </c>
      <c r="AH473" t="str">
        <f>IF(tblRoster[[#This Row],[직위]]="","일반","보직자")</f>
        <v>일반</v>
      </c>
      <c r="AI473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46109</v>
      </c>
      <c r="AJ473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473" s="1">
        <f ca="1">IF(tblRoster[[#This Row],[현재휴직시작일]]="","",IFERROR(INDEX(tblLeave[종료일],MATCH(tblRoster[[#This Row],[교직원번호]]&amp;"|"&amp;tblRoster[[#This Row],[현재휴직시작일]],tblLeave[매칭키],0)),""))</f>
        <v>46474</v>
      </c>
      <c r="AL473" t="str">
        <f ca="1">IF(tblRoster[[#This Row],[복직예정일]]="","",TEXT(tblRoster[[#This Row],[복직예정일]],"yyyy-mm"))</f>
        <v>2027-03</v>
      </c>
      <c r="AM473">
        <f ca="1">IF(tblRoster[[#This Row],[복직예정일]]="","",tblRoster[[#This Row],[복직예정일]]-TODAY())</f>
        <v>202</v>
      </c>
      <c r="AN473" t="str">
        <f ca="1">IF(tblRoster[[#This Row],[휴직잔여일수]]="","",IF(tblRoster[[#This Row],[휴직잔여일수]]&lt;=180,"6개월내","6개월이후"))</f>
        <v>6개월이후</v>
      </c>
      <c r="AO473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4" spans="1:41" x14ac:dyDescent="0.3">
      <c r="A474">
        <v>900472</v>
      </c>
      <c r="B474" t="s">
        <v>689</v>
      </c>
      <c r="C474" t="s">
        <v>8</v>
      </c>
      <c r="D474">
        <v>50</v>
      </c>
      <c r="E474" t="s">
        <v>128</v>
      </c>
      <c r="F474" t="s">
        <v>154</v>
      </c>
      <c r="G474" t="s">
        <v>197</v>
      </c>
      <c r="H474" t="s">
        <v>148</v>
      </c>
      <c r="I474" t="s">
        <v>132</v>
      </c>
      <c r="J474" t="s">
        <v>133</v>
      </c>
      <c r="L474" t="s">
        <v>135</v>
      </c>
      <c r="M474" t="s">
        <v>135</v>
      </c>
      <c r="N474" s="1">
        <v>36800</v>
      </c>
      <c r="O474" s="1">
        <v>44896</v>
      </c>
      <c r="P474" s="1">
        <v>44896</v>
      </c>
      <c r="Q474" s="1">
        <v>44896</v>
      </c>
      <c r="R474">
        <v>29</v>
      </c>
      <c r="T474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74" t="str">
        <f>IF(tblRoster[[#This Row],[급수]]="4급(임기제)","4급",tblRoster[[#This Row],[급수]])</f>
        <v>대학회계계약직</v>
      </c>
      <c r="V474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74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74" t="str">
        <f>IF(OR(tblRoster[[#This Row],[교직원상세구분]]="사회복무요원",tblRoster[[#This Row],[교직원상세구분]]="인턴(수습)"),"제외","포함")</f>
        <v>포함</v>
      </c>
      <c r="Y474">
        <f>1</f>
        <v>1</v>
      </c>
      <c r="Z474">
        <f>IF(tblRoster[[#This Row],[재직상태구분]]="휴직",1,0)</f>
        <v>0</v>
      </c>
      <c r="AA474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74">
        <f ca="1">IF(tblRoster[[#This Row],[본교발령시작일자]]="","",DATEDIF(tblRoster[[#This Row],[본교발령시작일자]],TODAY(),"Y"))</f>
        <v>3</v>
      </c>
      <c r="AC474">
        <f ca="1">IF(tblRoster[[#This Row],[최초발령시작일자]]="","",DATEDIF(tblRoster[[#This Row],[최초발령시작일자]],TODAY(),"Y"))</f>
        <v>25</v>
      </c>
      <c r="AD474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74">
        <f ca="1">IF(tblRoster[[#This Row],[직급발령시작일자]]="","",ROUND(YEARFRAC(tblRoster[[#This Row],[직급발령시작일자]],TODAY()),1))</f>
        <v>3.8</v>
      </c>
      <c r="AF474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74" t="str">
        <f ca="1">IF(OR(tblRoster[[#This Row],[공무원구분]]&lt;&gt;"공무원",tblRoster[[#This Row],[나이]]=""),"",YEAR(TODAY())+(60-tblRoster[[#This Row],[나이]]))</f>
        <v/>
      </c>
      <c r="AH474" t="str">
        <f>IF(tblRoster[[#This Row],[직위]]="","일반","보직자")</f>
        <v>일반</v>
      </c>
      <c r="AI474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4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4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4" t="str">
        <f ca="1">IF(tblRoster[[#This Row],[복직예정일]]="","",TEXT(tblRoster[[#This Row],[복직예정일]],"yyyy-mm"))</f>
        <v/>
      </c>
      <c r="AM474" t="str">
        <f ca="1">IF(tblRoster[[#This Row],[복직예정일]]="","",tblRoster[[#This Row],[복직예정일]]-TODAY())</f>
        <v/>
      </c>
      <c r="AN474" t="str">
        <f ca="1">IF(tblRoster[[#This Row],[휴직잔여일수]]="","",IF(tblRoster[[#This Row],[휴직잔여일수]]&lt;=180,"6개월내","6개월이후"))</f>
        <v/>
      </c>
      <c r="AO474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5" spans="1:41" x14ac:dyDescent="0.3">
      <c r="A475">
        <v>900473</v>
      </c>
      <c r="B475" t="s">
        <v>102</v>
      </c>
      <c r="C475" t="s">
        <v>16</v>
      </c>
      <c r="D475">
        <v>50</v>
      </c>
      <c r="E475" t="s">
        <v>150</v>
      </c>
      <c r="F475" t="s">
        <v>184</v>
      </c>
      <c r="G475" t="s">
        <v>197</v>
      </c>
      <c r="H475" t="s">
        <v>180</v>
      </c>
      <c r="I475" t="s">
        <v>144</v>
      </c>
      <c r="J475" t="s">
        <v>145</v>
      </c>
      <c r="L475" t="s">
        <v>134</v>
      </c>
      <c r="M475" t="s">
        <v>135</v>
      </c>
      <c r="N475" s="1">
        <v>40269</v>
      </c>
      <c r="O475" s="1">
        <v>40269</v>
      </c>
      <c r="P475" s="1">
        <v>41456</v>
      </c>
      <c r="Q475" s="1">
        <v>41456</v>
      </c>
      <c r="R475">
        <v>18</v>
      </c>
      <c r="S475" t="s">
        <v>690</v>
      </c>
      <c r="T475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75" t="str">
        <f>IF(tblRoster[[#This Row],[급수]]="4급(임기제)","4급",tblRoster[[#This Row],[급수]])</f>
        <v>7급</v>
      </c>
      <c r="V475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75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5" t="str">
        <f>IF(OR(tblRoster[[#This Row],[교직원상세구분]]="사회복무요원",tblRoster[[#This Row],[교직원상세구분]]="인턴(수습)"),"제외","포함")</f>
        <v>포함</v>
      </c>
      <c r="Y475">
        <f>1</f>
        <v>1</v>
      </c>
      <c r="Z475">
        <f>IF(tblRoster[[#This Row],[재직상태구분]]="휴직",1,0)</f>
        <v>1</v>
      </c>
      <c r="AA475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75">
        <f ca="1">IF(tblRoster[[#This Row],[본교발령시작일자]]="","",DATEDIF(tblRoster[[#This Row],[본교발령시작일자]],TODAY(),"Y"))</f>
        <v>16</v>
      </c>
      <c r="AC475">
        <f ca="1">IF(tblRoster[[#This Row],[최초발령시작일자]]="","",DATEDIF(tblRoster[[#This Row],[최초발령시작일자]],TODAY(),"Y"))</f>
        <v>16</v>
      </c>
      <c r="AD475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10~20년</v>
      </c>
      <c r="AE475">
        <f ca="1">IF(tblRoster[[#This Row],[직급발령시작일자]]="","",ROUND(YEARFRAC(tblRoster[[#This Row],[직급발령시작일자]],TODAY()),1))</f>
        <v>13.2</v>
      </c>
      <c r="AF475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75">
        <f ca="1">IF(OR(tblRoster[[#This Row],[공무원구분]]&lt;&gt;"공무원",tblRoster[[#This Row],[나이]]=""),"",YEAR(TODAY())+(60-tblRoster[[#This Row],[나이]]))</f>
        <v>2036</v>
      </c>
      <c r="AH475" t="str">
        <f>IF(tblRoster[[#This Row],[직위]]="","일반","보직자")</f>
        <v>일반</v>
      </c>
      <c r="AI475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46171</v>
      </c>
      <c r="AJ475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475" s="1">
        <f ca="1">IF(tblRoster[[#This Row],[현재휴직시작일]]="","",IFERROR(INDEX(tblLeave[종료일],MATCH(tblRoster[[#This Row],[교직원번호]]&amp;"|"&amp;tblRoster[[#This Row],[현재휴직시작일]],tblLeave[매칭키],0)),""))</f>
        <v>46355</v>
      </c>
      <c r="AL475" t="str">
        <f ca="1">IF(tblRoster[[#This Row],[복직예정일]]="","",TEXT(tblRoster[[#This Row],[복직예정일]],"yyyy-mm"))</f>
        <v>2026-11</v>
      </c>
      <c r="AM475">
        <f ca="1">IF(tblRoster[[#This Row],[복직예정일]]="","",tblRoster[[#This Row],[복직예정일]]-TODAY())</f>
        <v>83</v>
      </c>
      <c r="AN475" t="str">
        <f ca="1">IF(tblRoster[[#This Row],[휴직잔여일수]]="","",IF(tblRoster[[#This Row],[휴직잔여일수]]&lt;=180,"6개월내","6개월이후"))</f>
        <v>6개월내</v>
      </c>
      <c r="AO475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6" spans="1:41" x14ac:dyDescent="0.3">
      <c r="A476">
        <v>900474</v>
      </c>
      <c r="B476" t="s">
        <v>691</v>
      </c>
      <c r="C476" t="s">
        <v>8</v>
      </c>
      <c r="D476">
        <v>28</v>
      </c>
      <c r="E476" t="s">
        <v>150</v>
      </c>
      <c r="F476" t="s">
        <v>141</v>
      </c>
      <c r="G476" t="s">
        <v>222</v>
      </c>
      <c r="H476" t="s">
        <v>381</v>
      </c>
      <c r="I476" t="s">
        <v>144</v>
      </c>
      <c r="J476" t="s">
        <v>145</v>
      </c>
      <c r="L476" t="s">
        <v>134</v>
      </c>
      <c r="M476" t="s">
        <v>135</v>
      </c>
      <c r="N476" s="1">
        <v>45261</v>
      </c>
      <c r="O476" s="1">
        <v>46266</v>
      </c>
      <c r="P476" s="1">
        <v>46266</v>
      </c>
      <c r="Q476" s="1">
        <v>46266</v>
      </c>
      <c r="R476">
        <v>3</v>
      </c>
      <c r="T476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7급</v>
      </c>
      <c r="U476" t="str">
        <f>IF(tblRoster[[#This Row],[급수]]="4급(임기제)","4급",tblRoster[[#This Row],[급수]])</f>
        <v>7급</v>
      </c>
      <c r="V476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5</v>
      </c>
      <c r="W476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6" t="str">
        <f>IF(OR(tblRoster[[#This Row],[교직원상세구분]]="사회복무요원",tblRoster[[#This Row],[교직원상세구분]]="인턴(수습)"),"제외","포함")</f>
        <v>포함</v>
      </c>
      <c r="Y476">
        <f>1</f>
        <v>1</v>
      </c>
      <c r="Z476">
        <f>IF(tblRoster[[#This Row],[재직상태구분]]="휴직",1,0)</f>
        <v>0</v>
      </c>
      <c r="AA476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76">
        <f ca="1">IF(tblRoster[[#This Row],[본교발령시작일자]]="","",DATEDIF(tblRoster[[#This Row],[본교발령시작일자]],TODAY(),"Y"))</f>
        <v>0</v>
      </c>
      <c r="AC476">
        <f ca="1">IF(tblRoster[[#This Row],[최초발령시작일자]]="","",DATEDIF(tblRoster[[#This Row],[최초발령시작일자]],TODAY(),"Y"))</f>
        <v>2</v>
      </c>
      <c r="AD476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76">
        <f ca="1">IF(tblRoster[[#This Row],[직급발령시작일자]]="","",ROUND(YEARFRAC(tblRoster[[#This Row],[직급발령시작일자]],TODAY()),1))</f>
        <v>0</v>
      </c>
      <c r="AF476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76">
        <f ca="1">IF(OR(tblRoster[[#This Row],[공무원구분]]&lt;&gt;"공무원",tblRoster[[#This Row],[나이]]=""),"",YEAR(TODAY())+(60-tblRoster[[#This Row],[나이]]))</f>
        <v>2058</v>
      </c>
      <c r="AH476" t="str">
        <f>IF(tblRoster[[#This Row],[직위]]="","일반","보직자")</f>
        <v>일반</v>
      </c>
      <c r="AI476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6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6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6" t="str">
        <f ca="1">IF(tblRoster[[#This Row],[복직예정일]]="","",TEXT(tblRoster[[#This Row],[복직예정일]],"yyyy-mm"))</f>
        <v/>
      </c>
      <c r="AM476" t="str">
        <f ca="1">IF(tblRoster[[#This Row],[복직예정일]]="","",tblRoster[[#This Row],[복직예정일]]-TODAY())</f>
        <v/>
      </c>
      <c r="AN476" t="str">
        <f ca="1">IF(tblRoster[[#This Row],[휴직잔여일수]]="","",IF(tblRoster[[#This Row],[휴직잔여일수]]&lt;=180,"6개월내","6개월이후"))</f>
        <v/>
      </c>
      <c r="AO476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7" spans="1:41" x14ac:dyDescent="0.3">
      <c r="A477">
        <v>900475</v>
      </c>
      <c r="B477" t="s">
        <v>103</v>
      </c>
      <c r="C477" t="s">
        <v>16</v>
      </c>
      <c r="D477">
        <v>53</v>
      </c>
      <c r="E477" t="s">
        <v>128</v>
      </c>
      <c r="F477" t="s">
        <v>246</v>
      </c>
      <c r="G477" t="s">
        <v>130</v>
      </c>
      <c r="H477" t="s">
        <v>175</v>
      </c>
      <c r="I477" t="s">
        <v>144</v>
      </c>
      <c r="J477" t="s">
        <v>145</v>
      </c>
      <c r="L477" t="s">
        <v>135</v>
      </c>
      <c r="M477" t="s">
        <v>135</v>
      </c>
      <c r="N477" s="1">
        <v>34759</v>
      </c>
      <c r="O477" s="1">
        <v>34759</v>
      </c>
      <c r="P477" s="1">
        <v>42064</v>
      </c>
      <c r="Q477" s="1">
        <v>42064</v>
      </c>
      <c r="R477">
        <v>31</v>
      </c>
      <c r="S477" t="s">
        <v>692</v>
      </c>
      <c r="T477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9급</v>
      </c>
      <c r="U477" t="str">
        <f>IF(tblRoster[[#This Row],[급수]]="4급(임기제)","4급",tblRoster[[#This Row],[급수]])</f>
        <v>9급</v>
      </c>
      <c r="V477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7</v>
      </c>
      <c r="W477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7" t="str">
        <f>IF(OR(tblRoster[[#This Row],[교직원상세구분]]="사회복무요원",tblRoster[[#This Row],[교직원상세구분]]="인턴(수습)"),"제외","포함")</f>
        <v>포함</v>
      </c>
      <c r="Y477">
        <f>1</f>
        <v>1</v>
      </c>
      <c r="Z477">
        <f>IF(tblRoster[[#This Row],[재직상태구분]]="휴직",1,0)</f>
        <v>1</v>
      </c>
      <c r="AA477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50대</v>
      </c>
      <c r="AB477">
        <f ca="1">IF(tblRoster[[#This Row],[본교발령시작일자]]="","",DATEDIF(tblRoster[[#This Row],[본교발령시작일자]],TODAY(),"Y"))</f>
        <v>31</v>
      </c>
      <c r="AC477">
        <f ca="1">IF(tblRoster[[#This Row],[최초발령시작일자]]="","",DATEDIF(tblRoster[[#This Row],[최초발령시작일자]],TODAY(),"Y"))</f>
        <v>31</v>
      </c>
      <c r="AD477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30년 이상</v>
      </c>
      <c r="AE477">
        <f ca="1">IF(tblRoster[[#This Row],[직급발령시작일자]]="","",ROUND(YEARFRAC(tblRoster[[#This Row],[직급발령시작일자]],TODAY()),1))</f>
        <v>11.5</v>
      </c>
      <c r="AF477" t="str">
        <f ca="1">_xlfn.IFS(tblRoster[[#This Row],[현직급체류년수]]="","미상",tblRoster[[#This Row],[현직급체류년수]]&gt;=10,"10년 이상",tblRoster[[#This Row],[현직급체류년수]]&gt;=5,"5~10년",TRUE,"5년 미만")</f>
        <v>10년 이상</v>
      </c>
      <c r="AG477">
        <f ca="1">IF(OR(tblRoster[[#This Row],[공무원구분]]&lt;&gt;"공무원",tblRoster[[#This Row],[나이]]=""),"",YEAR(TODAY())+(60-tblRoster[[#This Row],[나이]]))</f>
        <v>2033</v>
      </c>
      <c r="AH477" t="str">
        <f>IF(tblRoster[[#This Row],[직위]]="","일반","보직자")</f>
        <v>일반</v>
      </c>
      <c r="AI477" s="1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>45960</v>
      </c>
      <c r="AJ477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>육아휴직</v>
      </c>
      <c r="AK477" s="1">
        <f ca="1">IF(tblRoster[[#This Row],[현재휴직시작일]]="","",IFERROR(INDEX(tblLeave[종료일],MATCH(tblRoster[[#This Row],[교직원번호]]&amp;"|"&amp;tblRoster[[#This Row],[현재휴직시작일]],tblLeave[매칭키],0)),""))</f>
        <v>46690</v>
      </c>
      <c r="AL477" t="str">
        <f ca="1">IF(tblRoster[[#This Row],[복직예정일]]="","",TEXT(tblRoster[[#This Row],[복직예정일]],"yyyy-mm"))</f>
        <v>2027-10</v>
      </c>
      <c r="AM477">
        <f ca="1">IF(tblRoster[[#This Row],[복직예정일]]="","",tblRoster[[#This Row],[복직예정일]]-TODAY())</f>
        <v>418</v>
      </c>
      <c r="AN477" t="str">
        <f ca="1">IF(tblRoster[[#This Row],[휴직잔여일수]]="","",IF(tblRoster[[#This Row],[휴직잔여일수]]&lt;=180,"6개월내","6개월이후"))</f>
        <v>6개월이후</v>
      </c>
      <c r="AO477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8" spans="1:41" x14ac:dyDescent="0.3">
      <c r="A478">
        <v>900476</v>
      </c>
      <c r="B478" t="s">
        <v>693</v>
      </c>
      <c r="C478" t="s">
        <v>8</v>
      </c>
      <c r="D478">
        <v>24</v>
      </c>
      <c r="E478" t="s">
        <v>128</v>
      </c>
      <c r="F478" t="s">
        <v>246</v>
      </c>
      <c r="G478" t="s">
        <v>202</v>
      </c>
      <c r="H478" t="s">
        <v>223</v>
      </c>
      <c r="I478" t="s">
        <v>144</v>
      </c>
      <c r="J478" t="s">
        <v>145</v>
      </c>
      <c r="L478" t="s">
        <v>135</v>
      </c>
      <c r="M478" t="s">
        <v>135</v>
      </c>
      <c r="N478" s="1">
        <v>45474</v>
      </c>
      <c r="O478" s="1">
        <v>45474</v>
      </c>
      <c r="P478" s="1">
        <v>45748</v>
      </c>
      <c r="Q478" s="1">
        <v>45748</v>
      </c>
      <c r="R478">
        <v>2</v>
      </c>
      <c r="T478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8급</v>
      </c>
      <c r="U478" t="str">
        <f>IF(tblRoster[[#This Row],[급수]]="4급(임기제)","4급",tblRoster[[#This Row],[급수]])</f>
        <v>8급</v>
      </c>
      <c r="V478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6</v>
      </c>
      <c r="W478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공무원</v>
      </c>
      <c r="X478" t="str">
        <f>IF(OR(tblRoster[[#This Row],[교직원상세구분]]="사회복무요원",tblRoster[[#This Row],[교직원상세구분]]="인턴(수습)"),"제외","포함")</f>
        <v>포함</v>
      </c>
      <c r="Y478">
        <f>1</f>
        <v>1</v>
      </c>
      <c r="Z478">
        <f>IF(tblRoster[[#This Row],[재직상태구분]]="휴직",1,0)</f>
        <v>0</v>
      </c>
      <c r="AA478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78">
        <f ca="1">IF(tblRoster[[#This Row],[본교발령시작일자]]="","",DATEDIF(tblRoster[[#This Row],[본교발령시작일자]],TODAY(),"Y"))</f>
        <v>2</v>
      </c>
      <c r="AC478">
        <f ca="1">IF(tblRoster[[#This Row],[최초발령시작일자]]="","",DATEDIF(tblRoster[[#This Row],[최초발령시작일자]],TODAY(),"Y"))</f>
        <v>2</v>
      </c>
      <c r="AD478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5년 미만</v>
      </c>
      <c r="AE478">
        <f ca="1">IF(tblRoster[[#This Row],[직급발령시작일자]]="","",ROUND(YEARFRAC(tblRoster[[#This Row],[직급발령시작일자]],TODAY()),1))</f>
        <v>1.4</v>
      </c>
      <c r="AF478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78">
        <f ca="1">IF(OR(tblRoster[[#This Row],[공무원구분]]&lt;&gt;"공무원",tblRoster[[#This Row],[나이]]=""),"",YEAR(TODAY())+(60-tblRoster[[#This Row],[나이]]))</f>
        <v>2062</v>
      </c>
      <c r="AH478" t="str">
        <f>IF(tblRoster[[#This Row],[직위]]="","일반","보직자")</f>
        <v>일반</v>
      </c>
      <c r="AI478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8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8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8" t="str">
        <f ca="1">IF(tblRoster[[#This Row],[복직예정일]]="","",TEXT(tblRoster[[#This Row],[복직예정일]],"yyyy-mm"))</f>
        <v/>
      </c>
      <c r="AM478" t="str">
        <f ca="1">IF(tblRoster[[#This Row],[복직예정일]]="","",tblRoster[[#This Row],[복직예정일]]-TODAY())</f>
        <v/>
      </c>
      <c r="AN478" t="str">
        <f ca="1">IF(tblRoster[[#This Row],[휴직잔여일수]]="","",IF(tblRoster[[#This Row],[휴직잔여일수]]&lt;=180,"6개월내","6개월이후"))</f>
        <v/>
      </c>
      <c r="AO478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79" spans="1:41" x14ac:dyDescent="0.3">
      <c r="A479">
        <v>900477</v>
      </c>
      <c r="B479" t="s">
        <v>694</v>
      </c>
      <c r="C479" t="s">
        <v>8</v>
      </c>
      <c r="D479">
        <v>25</v>
      </c>
      <c r="E479" t="s">
        <v>150</v>
      </c>
      <c r="F479" t="s">
        <v>162</v>
      </c>
      <c r="G479" t="s">
        <v>207</v>
      </c>
      <c r="H479" t="s">
        <v>186</v>
      </c>
      <c r="I479" t="s">
        <v>186</v>
      </c>
      <c r="J479" t="s">
        <v>133</v>
      </c>
      <c r="L479" t="s">
        <v>134</v>
      </c>
      <c r="M479" t="s">
        <v>135</v>
      </c>
      <c r="N479" s="1">
        <v>45870</v>
      </c>
      <c r="O479" s="1">
        <v>45870</v>
      </c>
      <c r="P479" s="1">
        <v>45870</v>
      </c>
      <c r="Q479" s="1">
        <v>45870</v>
      </c>
      <c r="T479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사회복무요원</v>
      </c>
      <c r="U479" t="str">
        <f>IF(tblRoster[[#This Row],[급수]]="4급(임기제)","4급",tblRoster[[#This Row],[급수]])</f>
        <v>사회복무요원</v>
      </c>
      <c r="V479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12</v>
      </c>
      <c r="W479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79" t="str">
        <f>IF(OR(tblRoster[[#This Row],[교직원상세구분]]="사회복무요원",tblRoster[[#This Row],[교직원상세구분]]="인턴(수습)"),"제외","포함")</f>
        <v>제외</v>
      </c>
      <c r="Y479">
        <f>1</f>
        <v>1</v>
      </c>
      <c r="Z479">
        <f>IF(tblRoster[[#This Row],[재직상태구분]]="휴직",1,0)</f>
        <v>0</v>
      </c>
      <c r="AA479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79">
        <f ca="1">IF(tblRoster[[#This Row],[본교발령시작일자]]="","",DATEDIF(tblRoster[[#This Row],[본교발령시작일자]],TODAY(),"Y"))</f>
        <v>1</v>
      </c>
      <c r="AC479">
        <f ca="1">IF(tblRoster[[#This Row],[최초발령시작일자]]="","",DATEDIF(tblRoster[[#This Row],[최초발령시작일자]],TODAY(),"Y"))</f>
        <v>1</v>
      </c>
      <c r="AD479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79">
        <f ca="1">IF(tblRoster[[#This Row],[직급발령시작일자]]="","",ROUND(YEARFRAC(tblRoster[[#This Row],[직급발령시작일자]],TODAY()),1))</f>
        <v>1.1000000000000001</v>
      </c>
      <c r="AF479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79" t="str">
        <f ca="1">IF(OR(tblRoster[[#This Row],[공무원구분]]&lt;&gt;"공무원",tblRoster[[#This Row],[나이]]=""),"",YEAR(TODAY())+(60-tblRoster[[#This Row],[나이]]))</f>
        <v/>
      </c>
      <c r="AH479" t="str">
        <f>IF(tblRoster[[#This Row],[직위]]="","일반","보직자")</f>
        <v>일반</v>
      </c>
      <c r="AI479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79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79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79" t="str">
        <f ca="1">IF(tblRoster[[#This Row],[복직예정일]]="","",TEXT(tblRoster[[#This Row],[복직예정일]],"yyyy-mm"))</f>
        <v/>
      </c>
      <c r="AM479" t="str">
        <f ca="1">IF(tblRoster[[#This Row],[복직예정일]]="","",tblRoster[[#This Row],[복직예정일]]-TODAY())</f>
        <v/>
      </c>
      <c r="AN479" t="str">
        <f ca="1">IF(tblRoster[[#This Row],[휴직잔여일수]]="","",IF(tblRoster[[#This Row],[휴직잔여일수]]&lt;=180,"6개월내","6개월이후"))</f>
        <v/>
      </c>
      <c r="AO479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80" spans="1:41" x14ac:dyDescent="0.3">
      <c r="A480">
        <v>900478</v>
      </c>
      <c r="B480" t="s">
        <v>695</v>
      </c>
      <c r="C480" t="s">
        <v>8</v>
      </c>
      <c r="D480">
        <v>23</v>
      </c>
      <c r="E480" t="s">
        <v>128</v>
      </c>
      <c r="F480" t="s">
        <v>158</v>
      </c>
      <c r="G480" t="s">
        <v>142</v>
      </c>
      <c r="H480" t="s">
        <v>212</v>
      </c>
      <c r="I480" t="s">
        <v>213</v>
      </c>
      <c r="J480" t="s">
        <v>133</v>
      </c>
      <c r="L480" t="s">
        <v>134</v>
      </c>
      <c r="M480" t="s">
        <v>135</v>
      </c>
      <c r="N480" s="1">
        <v>45778</v>
      </c>
      <c r="O480" s="1">
        <v>45778</v>
      </c>
      <c r="P480" s="1">
        <v>45778</v>
      </c>
      <c r="Q480" s="1">
        <v>45778</v>
      </c>
      <c r="T480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인턴</v>
      </c>
      <c r="U480" t="str">
        <f>IF(tblRoster[[#This Row],[급수]]="4급(임기제)","4급",tblRoster[[#This Row],[급수]])</f>
        <v>인턴</v>
      </c>
      <c r="V480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13</v>
      </c>
      <c r="W480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기타(복무·인턴)</v>
      </c>
      <c r="X480" t="str">
        <f>IF(OR(tblRoster[[#This Row],[교직원상세구분]]="사회복무요원",tblRoster[[#This Row],[교직원상세구분]]="인턴(수습)"),"제외","포함")</f>
        <v>제외</v>
      </c>
      <c r="Y480">
        <f>1</f>
        <v>1</v>
      </c>
      <c r="Z480">
        <f>IF(tblRoster[[#This Row],[재직상태구분]]="휴직",1,0)</f>
        <v>0</v>
      </c>
      <c r="AA480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20대 이하</v>
      </c>
      <c r="AB480">
        <f ca="1">IF(tblRoster[[#This Row],[본교발령시작일자]]="","",DATEDIF(tblRoster[[#This Row],[본교발령시작일자]],TODAY(),"Y"))</f>
        <v>1</v>
      </c>
      <c r="AC480">
        <f ca="1">IF(tblRoster[[#This Row],[최초발령시작일자]]="","",DATEDIF(tblRoster[[#This Row],[최초발령시작일자]],TODAY(),"Y"))</f>
        <v>1</v>
      </c>
      <c r="AD480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미상</v>
      </c>
      <c r="AE480">
        <f ca="1">IF(tblRoster[[#This Row],[직급발령시작일자]]="","",ROUND(YEARFRAC(tblRoster[[#This Row],[직급발령시작일자]],TODAY()),1))</f>
        <v>1.4</v>
      </c>
      <c r="AF480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80" t="str">
        <f ca="1">IF(OR(tblRoster[[#This Row],[공무원구분]]&lt;&gt;"공무원",tblRoster[[#This Row],[나이]]=""),"",YEAR(TODAY())+(60-tblRoster[[#This Row],[나이]]))</f>
        <v/>
      </c>
      <c r="AH480" t="str">
        <f>IF(tblRoster[[#This Row],[직위]]="","일반","보직자")</f>
        <v>일반</v>
      </c>
      <c r="AI480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80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80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80" t="str">
        <f ca="1">IF(tblRoster[[#This Row],[복직예정일]]="","",TEXT(tblRoster[[#This Row],[복직예정일]],"yyyy-mm"))</f>
        <v/>
      </c>
      <c r="AM480" t="str">
        <f ca="1">IF(tblRoster[[#This Row],[복직예정일]]="","",tblRoster[[#This Row],[복직예정일]]-TODAY())</f>
        <v/>
      </c>
      <c r="AN480" t="str">
        <f ca="1">IF(tblRoster[[#This Row],[휴직잔여일수]]="","",IF(tblRoster[[#This Row],[휴직잔여일수]]&lt;=180,"6개월내","6개월이후"))</f>
        <v/>
      </c>
      <c r="AO480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  <row r="481" spans="1:41" x14ac:dyDescent="0.3">
      <c r="A481">
        <v>900479</v>
      </c>
      <c r="B481" t="s">
        <v>696</v>
      </c>
      <c r="C481" t="s">
        <v>8</v>
      </c>
      <c r="D481">
        <v>45</v>
      </c>
      <c r="E481" t="s">
        <v>150</v>
      </c>
      <c r="F481" t="s">
        <v>162</v>
      </c>
      <c r="G481" t="s">
        <v>155</v>
      </c>
      <c r="H481" t="s">
        <v>148</v>
      </c>
      <c r="I481" t="s">
        <v>132</v>
      </c>
      <c r="J481" t="s">
        <v>133</v>
      </c>
      <c r="L481" t="s">
        <v>134</v>
      </c>
      <c r="M481" t="s">
        <v>135</v>
      </c>
      <c r="N481" s="1">
        <v>39845</v>
      </c>
      <c r="O481" s="1">
        <v>39845</v>
      </c>
      <c r="P481" s="1">
        <v>46204</v>
      </c>
      <c r="Q481" s="1">
        <v>46204</v>
      </c>
      <c r="R481">
        <v>20</v>
      </c>
      <c r="T481" t="str">
        <f>_xlfn.IFS(tblRoster[[#This Row],[교직원상세구분]]="대학회계계약직","대학회계계약직",tblRoster[[#This Row],[교직원상세구분]]="대학회계직","대학회계직",tblRoster[[#This Row],[교직원상세구분]]="사회복무요원","사회복무요원",tblRoster[[#This Row],[교직원상세구분]]="인턴(수습)","인턴",tblRoster[[#This Row],[교직원상세구분]]="연구직","연구사",ISNUMBER(SEARCH("전문경력관",tblRoster[[#This Row],[직급]])),"전문경력관",ISNUMBER(SEARCH("임기제",tblRoster[[#This Row],[직급]])),"4급(임기제)",ISNUMBER(SEARCH("서기관",tblRoster[[#This Row],[직급]])),"4급",ISNUMBER(SEARCH("사무관",tblRoster[[#This Row],[직급]])),"5급",ISNUMBER(SEARCH("주사보",tblRoster[[#This Row],[직급]])),"7급",ISNUMBER(SEARCH("주사",tblRoster[[#This Row],[직급]])),"6급",ISNUMBER(SEARCH("서기보",tblRoster[[#This Row],[직급]])),"9급",ISNUMBER(SEARCH("서기",tblRoster[[#This Row],[직급]])),"8급",TRUE,"미분류")</f>
        <v>대학회계계약직</v>
      </c>
      <c r="U481" t="str">
        <f>IF(tblRoster[[#This Row],[급수]]="4급(임기제)","4급",tblRoster[[#This Row],[급수]])</f>
        <v>대학회계계약직</v>
      </c>
      <c r="V481">
        <f>_xlfn.IFS(tblRoster[[#This Row],[급수]]="4급",1,tblRoster[[#This Row],[급수]]="4급(임기제)",2,tblRoster[[#This Row],[급수]]="5급",3,tblRoster[[#This Row],[급수]]="6급",4,tblRoster[[#This Row],[급수]]="7급",5,tblRoster[[#This Row],[급수]]="8급",6,tblRoster[[#This Row],[급수]]="9급",7,tblRoster[[#This Row],[급수]]="연구사",8,tblRoster[[#This Row],[급수]]="전문경력관",9,tblRoster[[#This Row],[급수]]="대학회계직",10,tblRoster[[#This Row],[급수]]="대학회계계약직",11,tblRoster[[#This Row],[급수]]="사회복무요원",12,tblRoster[[#This Row],[급수]]="인턴",13,TRUE,99)</f>
        <v>11</v>
      </c>
      <c r="W481" t="str">
        <f>_xlfn.IFS(tblRoster[[#This Row],[교직원상세구분]]="대학회계계약직","대학회계계약직",tblRoster[[#This Row],[교직원상세구분]]="대학회계직","대학회계직",tblRoster[[#This Row],[공무원구분]]="공무원","공무원",TRUE,"기타(복무·인턴)")</f>
        <v>대학회계계약직</v>
      </c>
      <c r="X481" t="str">
        <f>IF(OR(tblRoster[[#This Row],[교직원상세구분]]="사회복무요원",tblRoster[[#This Row],[교직원상세구분]]="인턴(수습)"),"제외","포함")</f>
        <v>포함</v>
      </c>
      <c r="Y481">
        <f>1</f>
        <v>1</v>
      </c>
      <c r="Z481">
        <f>IF(tblRoster[[#This Row],[재직상태구분]]="휴직",1,0)</f>
        <v>0</v>
      </c>
      <c r="AA481" t="str">
        <f>_xlfn.IFS(tblRoster[[#This Row],[나이]]="","미상",tblRoster[[#This Row],[나이]]&lt;30,"20대 이하",tblRoster[[#This Row],[나이]]&lt;40,"30대",tblRoster[[#This Row],[나이]]&lt;50,"40대",tblRoster[[#This Row],[나이]]&lt;60,"50대",TRUE,"60대 이상")</f>
        <v>40대</v>
      </c>
      <c r="AB481">
        <f ca="1">IF(tblRoster[[#This Row],[본교발령시작일자]]="","",DATEDIF(tblRoster[[#This Row],[본교발령시작일자]],TODAY(),"Y"))</f>
        <v>17</v>
      </c>
      <c r="AC481">
        <f ca="1">IF(tblRoster[[#This Row],[최초발령시작일자]]="","",DATEDIF(tblRoster[[#This Row],[최초발령시작일자]],TODAY(),"Y"))</f>
        <v>17</v>
      </c>
      <c r="AD481" t="str">
        <f>_xlfn.IFS(tblRoster[[#This Row],[인사시스템근속년수]]="","미상",tblRoster[[#This Row],[인사시스템근속년수]]&lt;5,"5년 미만",tblRoster[[#This Row],[인사시스템근속년수]]&lt;10,"5~10년",tblRoster[[#This Row],[인사시스템근속년수]]&lt;20,"10~20년",tblRoster[[#This Row],[인사시스템근속년수]]&lt;30,"20~30년",TRUE,"30년 이상")</f>
        <v>20~30년</v>
      </c>
      <c r="AE481">
        <f ca="1">IF(tblRoster[[#This Row],[직급발령시작일자]]="","",ROUND(YEARFRAC(tblRoster[[#This Row],[직급발령시작일자]],TODAY()),1))</f>
        <v>0.2</v>
      </c>
      <c r="AF481" t="str">
        <f ca="1">_xlfn.IFS(tblRoster[[#This Row],[현직급체류년수]]="","미상",tblRoster[[#This Row],[현직급체류년수]]&gt;=10,"10년 이상",tblRoster[[#This Row],[현직급체류년수]]&gt;=5,"5~10년",TRUE,"5년 미만")</f>
        <v>5년 미만</v>
      </c>
      <c r="AG481" t="str">
        <f ca="1">IF(OR(tblRoster[[#This Row],[공무원구분]]&lt;&gt;"공무원",tblRoster[[#This Row],[나이]]=""),"",YEAR(TODAY())+(60-tblRoster[[#This Row],[나이]]))</f>
        <v/>
      </c>
      <c r="AH481" t="str">
        <f>IF(tblRoster[[#This Row],[직위]]="","일반","보직자")</f>
        <v>일반</v>
      </c>
      <c r="AI481" s="1" t="str">
        <f ca="1">IF(tblRoster[[#This Row],[재직상태구분]]&lt;&gt;"휴직","",IF(_xlfn.MAXIFS(tblLeave[시작일],tblLeave[교직원번호],tblRoster[[#This Row],[교직원번호]],tblLeave[휴직구분],"&lt;&gt;휴직복직",tblLeave[종료일],"&gt;="&amp;TODAY(),tblLeave[시작일],"&lt;="&amp;TODAY())=0,"",_xlfn.MAXIFS(tblLeave[시작일],tblLeave[교직원번호],tblRoster[[#This Row],[교직원번호]],tblLeave[휴직구분],"&lt;&gt;휴직복직",tblLeave[종료일],"&gt;="&amp;TODAY(),tblLeave[시작일],"&lt;="&amp;TODAY())))</f>
        <v/>
      </c>
      <c r="AJ481" t="str">
        <f ca="1">IF(tblRoster[[#This Row],[현재휴직시작일]]="","",IFERROR(INDEX(tblLeave[휴직구분],MATCH(tblRoster[[#This Row],[교직원번호]]&amp;"|"&amp;tblRoster[[#This Row],[현재휴직시작일]],tblLeave[매칭키],0)),"확인필요"))</f>
        <v/>
      </c>
      <c r="AK481" s="1" t="str">
        <f ca="1">IF(tblRoster[[#This Row],[현재휴직시작일]]="","",IFERROR(INDEX(tblLeave[종료일],MATCH(tblRoster[[#This Row],[교직원번호]]&amp;"|"&amp;tblRoster[[#This Row],[현재휴직시작일]],tblLeave[매칭키],0)),""))</f>
        <v/>
      </c>
      <c r="AL481" t="str">
        <f ca="1">IF(tblRoster[[#This Row],[복직예정일]]="","",TEXT(tblRoster[[#This Row],[복직예정일]],"yyyy-mm"))</f>
        <v/>
      </c>
      <c r="AM481" t="str">
        <f ca="1">IF(tblRoster[[#This Row],[복직예정일]]="","",tblRoster[[#This Row],[복직예정일]]-TODAY())</f>
        <v/>
      </c>
      <c r="AN481" t="str">
        <f ca="1">IF(tblRoster[[#This Row],[휴직잔여일수]]="","",IF(tblRoster[[#This Row],[휴직잔여일수]]&lt;=180,"6개월내","6개월이후"))</f>
        <v/>
      </c>
      <c r="AO481" t="str">
        <f ca="1">IF(AND(tblRoster[[#This Row],[재직상태구분]]="휴직",tblRoster[[#This Row],[복직예정일]]=""),"휴직사유 자동판정 실패",IF(COUNTIFS(tblLeave[교직원번호],tblRoster[[#This Row],[교직원번호]],tblLeave[검토],"오류")&gt;0,"휴직기간 오류(시작&gt;종료)",""))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1045-8F4D-41F6-A7DC-3ECB00027419}">
  <dimension ref="A1:N13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78" width="12.625" customWidth="1"/>
  </cols>
  <sheetData>
    <row r="1" spans="1:14" s="53" customFormat="1" ht="32.1" customHeight="1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104</v>
      </c>
      <c r="I1" s="53" t="s">
        <v>105</v>
      </c>
      <c r="J1" s="53" t="s">
        <v>106</v>
      </c>
      <c r="K1" s="53" t="s">
        <v>107</v>
      </c>
      <c r="L1" s="53" t="s">
        <v>108</v>
      </c>
      <c r="M1" s="53" t="s">
        <v>109</v>
      </c>
      <c r="N1" s="53" t="s">
        <v>110</v>
      </c>
    </row>
    <row r="2" spans="1:14" x14ac:dyDescent="0.3">
      <c r="A2">
        <v>900019</v>
      </c>
      <c r="B2" t="s">
        <v>7</v>
      </c>
      <c r="C2" t="s">
        <v>8</v>
      </c>
      <c r="D2">
        <v>1</v>
      </c>
      <c r="E2" t="s">
        <v>9</v>
      </c>
      <c r="F2" s="1">
        <v>45368</v>
      </c>
      <c r="G2" s="1">
        <v>2958465</v>
      </c>
      <c r="H2" t="str">
        <f>IF(tblLeave[[#This Row],[휴직구분]]="휴직복직","",tblLeave[[#This Row],[교직원번호]]&amp;"|"&amp;tblLeave[[#This Row],[시작일]])</f>
        <v/>
      </c>
      <c r="I2" t="str">
        <f>IF(tblLeave[[#This Row],[휴직구분]]="휴직복직","",tblLeave[[#This Row],[종료일]]-tblLeave[[#This Row],[시작일]])</f>
        <v/>
      </c>
      <c r="J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" t="str">
        <f>IF(tblLeave[[#This Row],[휴직구분]]="휴직복직","",TEXT(tblLeave[[#This Row],[종료일]],"yyyy-mm"))</f>
        <v/>
      </c>
      <c r="L2" t="str">
        <f>IF(tblLeave[[#This Row],[휴직구분]]="휴직복직","",YEAR(tblLeave[[#This Row],[시작일]]))</f>
        <v/>
      </c>
      <c r="M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" t="str">
        <f>IF(tblLeave[[#This Row],[시작일]]&gt;tblLeave[[#This Row],[종료일]],"오류","")</f>
        <v/>
      </c>
    </row>
    <row r="3" spans="1:14" x14ac:dyDescent="0.3">
      <c r="A3">
        <v>900022</v>
      </c>
      <c r="B3" t="s">
        <v>10</v>
      </c>
      <c r="C3" t="s">
        <v>8</v>
      </c>
      <c r="D3">
        <v>1</v>
      </c>
      <c r="E3" t="s">
        <v>9</v>
      </c>
      <c r="F3" s="1">
        <v>45364</v>
      </c>
      <c r="G3" s="1">
        <v>2958465</v>
      </c>
      <c r="H3" t="str">
        <f>IF(tblLeave[[#This Row],[휴직구분]]="휴직복직","",tblLeave[[#This Row],[교직원번호]]&amp;"|"&amp;tblLeave[[#This Row],[시작일]])</f>
        <v/>
      </c>
      <c r="I3" t="str">
        <f>IF(tblLeave[[#This Row],[휴직구분]]="휴직복직","",tblLeave[[#This Row],[종료일]]-tblLeave[[#This Row],[시작일]])</f>
        <v/>
      </c>
      <c r="J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" t="str">
        <f>IF(tblLeave[[#This Row],[휴직구분]]="휴직복직","",TEXT(tblLeave[[#This Row],[종료일]],"yyyy-mm"))</f>
        <v/>
      </c>
      <c r="L3" t="str">
        <f>IF(tblLeave[[#This Row],[휴직구분]]="휴직복직","",YEAR(tblLeave[[#This Row],[시작일]]))</f>
        <v/>
      </c>
      <c r="M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" t="str">
        <f>IF(tblLeave[[#This Row],[시작일]]&gt;tblLeave[[#This Row],[종료일]],"오류","")</f>
        <v/>
      </c>
    </row>
    <row r="4" spans="1:14" x14ac:dyDescent="0.3">
      <c r="A4">
        <v>900026</v>
      </c>
      <c r="B4" t="s">
        <v>11</v>
      </c>
      <c r="C4" t="s">
        <v>8</v>
      </c>
      <c r="D4">
        <v>1</v>
      </c>
      <c r="E4" t="s">
        <v>9</v>
      </c>
      <c r="F4" s="1">
        <v>45365</v>
      </c>
      <c r="G4" s="1">
        <v>2958465</v>
      </c>
      <c r="H4" t="str">
        <f>IF(tblLeave[[#This Row],[휴직구분]]="휴직복직","",tblLeave[[#This Row],[교직원번호]]&amp;"|"&amp;tblLeave[[#This Row],[시작일]])</f>
        <v/>
      </c>
      <c r="I4" t="str">
        <f>IF(tblLeave[[#This Row],[휴직구분]]="휴직복직","",tblLeave[[#This Row],[종료일]]-tblLeave[[#This Row],[시작일]])</f>
        <v/>
      </c>
      <c r="J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" t="str">
        <f>IF(tblLeave[[#This Row],[휴직구분]]="휴직복직","",TEXT(tblLeave[[#This Row],[종료일]],"yyyy-mm"))</f>
        <v/>
      </c>
      <c r="L4" t="str">
        <f>IF(tblLeave[[#This Row],[휴직구분]]="휴직복직","",YEAR(tblLeave[[#This Row],[시작일]]))</f>
        <v/>
      </c>
      <c r="M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" t="str">
        <f>IF(tblLeave[[#This Row],[시작일]]&gt;tblLeave[[#This Row],[종료일]],"오류","")</f>
        <v/>
      </c>
    </row>
    <row r="5" spans="1:14" x14ac:dyDescent="0.3">
      <c r="A5">
        <v>900031</v>
      </c>
      <c r="B5" t="s">
        <v>12</v>
      </c>
      <c r="C5" t="s">
        <v>8</v>
      </c>
      <c r="D5">
        <v>1</v>
      </c>
      <c r="E5" t="s">
        <v>9</v>
      </c>
      <c r="F5" s="1">
        <v>45332</v>
      </c>
      <c r="G5" s="1">
        <v>2958465</v>
      </c>
      <c r="H5" t="str">
        <f>IF(tblLeave[[#This Row],[휴직구분]]="휴직복직","",tblLeave[[#This Row],[교직원번호]]&amp;"|"&amp;tblLeave[[#This Row],[시작일]])</f>
        <v/>
      </c>
      <c r="I5" t="str">
        <f>IF(tblLeave[[#This Row],[휴직구분]]="휴직복직","",tblLeave[[#This Row],[종료일]]-tblLeave[[#This Row],[시작일]])</f>
        <v/>
      </c>
      <c r="J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" t="str">
        <f>IF(tblLeave[[#This Row],[휴직구분]]="휴직복직","",TEXT(tblLeave[[#This Row],[종료일]],"yyyy-mm"))</f>
        <v/>
      </c>
      <c r="L5" t="str">
        <f>IF(tblLeave[[#This Row],[휴직구분]]="휴직복직","",YEAR(tblLeave[[#This Row],[시작일]]))</f>
        <v/>
      </c>
      <c r="M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" t="str">
        <f>IF(tblLeave[[#This Row],[시작일]]&gt;tblLeave[[#This Row],[종료일]],"오류","")</f>
        <v/>
      </c>
    </row>
    <row r="6" spans="1:14" x14ac:dyDescent="0.3">
      <c r="A6">
        <v>900037</v>
      </c>
      <c r="B6" t="s">
        <v>13</v>
      </c>
      <c r="C6" t="s">
        <v>8</v>
      </c>
      <c r="D6">
        <v>1</v>
      </c>
      <c r="E6" t="s">
        <v>9</v>
      </c>
      <c r="F6" s="1">
        <v>45686</v>
      </c>
      <c r="G6" s="1">
        <v>2958465</v>
      </c>
      <c r="H6" t="str">
        <f>IF(tblLeave[[#This Row],[휴직구분]]="휴직복직","",tblLeave[[#This Row],[교직원번호]]&amp;"|"&amp;tblLeave[[#This Row],[시작일]])</f>
        <v/>
      </c>
      <c r="I6" t="str">
        <f>IF(tblLeave[[#This Row],[휴직구분]]="휴직복직","",tblLeave[[#This Row],[종료일]]-tblLeave[[#This Row],[시작일]])</f>
        <v/>
      </c>
      <c r="J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" t="str">
        <f>IF(tblLeave[[#This Row],[휴직구분]]="휴직복직","",TEXT(tblLeave[[#This Row],[종료일]],"yyyy-mm"))</f>
        <v/>
      </c>
      <c r="L6" t="str">
        <f>IF(tblLeave[[#This Row],[휴직구분]]="휴직복직","",YEAR(tblLeave[[#This Row],[시작일]]))</f>
        <v/>
      </c>
      <c r="M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" t="str">
        <f>IF(tblLeave[[#This Row],[시작일]]&gt;tblLeave[[#This Row],[종료일]],"오류","")</f>
        <v/>
      </c>
    </row>
    <row r="7" spans="1:14" x14ac:dyDescent="0.3">
      <c r="A7">
        <v>900049</v>
      </c>
      <c r="B7" t="s">
        <v>14</v>
      </c>
      <c r="C7" t="s">
        <v>8</v>
      </c>
      <c r="D7">
        <v>1</v>
      </c>
      <c r="E7" t="s">
        <v>9</v>
      </c>
      <c r="F7" s="1">
        <v>45057</v>
      </c>
      <c r="G7" s="1">
        <v>2958465</v>
      </c>
      <c r="H7" t="str">
        <f>IF(tblLeave[[#This Row],[휴직구분]]="휴직복직","",tblLeave[[#This Row],[교직원번호]]&amp;"|"&amp;tblLeave[[#This Row],[시작일]])</f>
        <v/>
      </c>
      <c r="I7" t="str">
        <f>IF(tblLeave[[#This Row],[휴직구분]]="휴직복직","",tblLeave[[#This Row],[종료일]]-tblLeave[[#This Row],[시작일]])</f>
        <v/>
      </c>
      <c r="J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" t="str">
        <f>IF(tblLeave[[#This Row],[휴직구분]]="휴직복직","",TEXT(tblLeave[[#This Row],[종료일]],"yyyy-mm"))</f>
        <v/>
      </c>
      <c r="L7" t="str">
        <f>IF(tblLeave[[#This Row],[휴직구분]]="휴직복직","",YEAR(tblLeave[[#This Row],[시작일]]))</f>
        <v/>
      </c>
      <c r="M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" t="str">
        <f>IF(tblLeave[[#This Row],[시작일]]&gt;tblLeave[[#This Row],[종료일]],"오류","")</f>
        <v/>
      </c>
    </row>
    <row r="8" spans="1:14" x14ac:dyDescent="0.3">
      <c r="A8">
        <v>900052</v>
      </c>
      <c r="B8" t="s">
        <v>15</v>
      </c>
      <c r="C8" t="s">
        <v>16</v>
      </c>
      <c r="D8">
        <v>1</v>
      </c>
      <c r="E8" t="s">
        <v>9</v>
      </c>
      <c r="F8" s="1">
        <v>45401</v>
      </c>
      <c r="G8" s="1">
        <v>2958465</v>
      </c>
      <c r="H8" t="str">
        <f>IF(tblLeave[[#This Row],[휴직구분]]="휴직복직","",tblLeave[[#This Row],[교직원번호]]&amp;"|"&amp;tblLeave[[#This Row],[시작일]])</f>
        <v/>
      </c>
      <c r="I8" t="str">
        <f>IF(tblLeave[[#This Row],[휴직구분]]="휴직복직","",tblLeave[[#This Row],[종료일]]-tblLeave[[#This Row],[시작일]])</f>
        <v/>
      </c>
      <c r="J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" t="str">
        <f>IF(tblLeave[[#This Row],[휴직구분]]="휴직복직","",TEXT(tblLeave[[#This Row],[종료일]],"yyyy-mm"))</f>
        <v/>
      </c>
      <c r="L8" t="str">
        <f>IF(tblLeave[[#This Row],[휴직구분]]="휴직복직","",YEAR(tblLeave[[#This Row],[시작일]]))</f>
        <v/>
      </c>
      <c r="M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" t="str">
        <f>IF(tblLeave[[#This Row],[시작일]]&gt;tblLeave[[#This Row],[종료일]],"오류","")</f>
        <v/>
      </c>
    </row>
    <row r="9" spans="1:14" x14ac:dyDescent="0.3">
      <c r="A9">
        <v>900052</v>
      </c>
      <c r="B9" t="s">
        <v>15</v>
      </c>
      <c r="C9" t="s">
        <v>16</v>
      </c>
      <c r="D9">
        <v>2</v>
      </c>
      <c r="E9" t="s">
        <v>9</v>
      </c>
      <c r="F9" s="1">
        <v>45822</v>
      </c>
      <c r="G9" s="1">
        <v>2958465</v>
      </c>
      <c r="H9" t="str">
        <f>IF(tblLeave[[#This Row],[휴직구분]]="휴직복직","",tblLeave[[#This Row],[교직원번호]]&amp;"|"&amp;tblLeave[[#This Row],[시작일]])</f>
        <v/>
      </c>
      <c r="I9" t="str">
        <f>IF(tblLeave[[#This Row],[휴직구분]]="휴직복직","",tblLeave[[#This Row],[종료일]]-tblLeave[[#This Row],[시작일]])</f>
        <v/>
      </c>
      <c r="J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" t="str">
        <f>IF(tblLeave[[#This Row],[휴직구분]]="휴직복직","",TEXT(tblLeave[[#This Row],[종료일]],"yyyy-mm"))</f>
        <v/>
      </c>
      <c r="L9" t="str">
        <f>IF(tblLeave[[#This Row],[휴직구분]]="휴직복직","",YEAR(tblLeave[[#This Row],[시작일]]))</f>
        <v/>
      </c>
      <c r="M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" t="str">
        <f>IF(tblLeave[[#This Row],[시작일]]&gt;tblLeave[[#This Row],[종료일]],"오류","")</f>
        <v/>
      </c>
    </row>
    <row r="10" spans="1:14" x14ac:dyDescent="0.3">
      <c r="A10">
        <v>900052</v>
      </c>
      <c r="B10" t="s">
        <v>15</v>
      </c>
      <c r="C10" t="s">
        <v>16</v>
      </c>
      <c r="D10">
        <v>3</v>
      </c>
      <c r="E10" t="s">
        <v>17</v>
      </c>
      <c r="F10" s="1">
        <v>46164</v>
      </c>
      <c r="G10" s="1">
        <v>46529</v>
      </c>
      <c r="H10" t="str">
        <f>IF(tblLeave[[#This Row],[휴직구분]]="휴직복직","",tblLeave[[#This Row],[교직원번호]]&amp;"|"&amp;tblLeave[[#This Row],[시작일]])</f>
        <v>900052|46164</v>
      </c>
      <c r="I10">
        <f>IF(tblLeave[[#This Row],[휴직구분]]="휴직복직","",tblLeave[[#This Row],[종료일]]-tblLeave[[#This Row],[시작일]])</f>
        <v>365</v>
      </c>
      <c r="J1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0" t="str">
        <f>IF(tblLeave[[#This Row],[휴직구분]]="휴직복직","",TEXT(tblLeave[[#This Row],[종료일]],"yyyy-mm"))</f>
        <v>2027-05</v>
      </c>
      <c r="L10">
        <f>IF(tblLeave[[#This Row],[휴직구분]]="휴직복직","",YEAR(tblLeave[[#This Row],[시작일]]))</f>
        <v>2026</v>
      </c>
      <c r="M1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0" t="str">
        <f>IF(tblLeave[[#This Row],[시작일]]&gt;tblLeave[[#This Row],[종료일]],"오류","")</f>
        <v/>
      </c>
    </row>
    <row r="11" spans="1:14" x14ac:dyDescent="0.3">
      <c r="A11">
        <v>900054</v>
      </c>
      <c r="B11" t="s">
        <v>18</v>
      </c>
      <c r="C11" t="s">
        <v>16</v>
      </c>
      <c r="D11">
        <v>1</v>
      </c>
      <c r="E11" t="s">
        <v>9</v>
      </c>
      <c r="F11" s="1">
        <v>45086</v>
      </c>
      <c r="G11" s="1">
        <v>2958465</v>
      </c>
      <c r="H11" t="str">
        <f>IF(tblLeave[[#This Row],[휴직구분]]="휴직복직","",tblLeave[[#This Row],[교직원번호]]&amp;"|"&amp;tblLeave[[#This Row],[시작일]])</f>
        <v/>
      </c>
      <c r="I11" t="str">
        <f>IF(tblLeave[[#This Row],[휴직구분]]="휴직복직","",tblLeave[[#This Row],[종료일]]-tblLeave[[#This Row],[시작일]])</f>
        <v/>
      </c>
      <c r="J1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" t="str">
        <f>IF(tblLeave[[#This Row],[휴직구분]]="휴직복직","",TEXT(tblLeave[[#This Row],[종료일]],"yyyy-mm"))</f>
        <v/>
      </c>
      <c r="L11" t="str">
        <f>IF(tblLeave[[#This Row],[휴직구분]]="휴직복직","",YEAR(tblLeave[[#This Row],[시작일]]))</f>
        <v/>
      </c>
      <c r="M1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" t="str">
        <f>IF(tblLeave[[#This Row],[시작일]]&gt;tblLeave[[#This Row],[종료일]],"오류","")</f>
        <v/>
      </c>
    </row>
    <row r="12" spans="1:14" x14ac:dyDescent="0.3">
      <c r="A12">
        <v>900054</v>
      </c>
      <c r="B12" t="s">
        <v>18</v>
      </c>
      <c r="C12" t="s">
        <v>16</v>
      </c>
      <c r="D12">
        <v>2</v>
      </c>
      <c r="E12" t="s">
        <v>17</v>
      </c>
      <c r="F12" s="1">
        <v>46159</v>
      </c>
      <c r="G12" s="1">
        <v>46524</v>
      </c>
      <c r="H12" t="str">
        <f>IF(tblLeave[[#This Row],[휴직구분]]="휴직복직","",tblLeave[[#This Row],[교직원번호]]&amp;"|"&amp;tblLeave[[#This Row],[시작일]])</f>
        <v>900054|46159</v>
      </c>
      <c r="I12">
        <f>IF(tblLeave[[#This Row],[휴직구분]]="휴직복직","",tblLeave[[#This Row],[종료일]]-tblLeave[[#This Row],[시작일]])</f>
        <v>365</v>
      </c>
      <c r="J1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2" t="str">
        <f>IF(tblLeave[[#This Row],[휴직구분]]="휴직복직","",TEXT(tblLeave[[#This Row],[종료일]],"yyyy-mm"))</f>
        <v>2027-05</v>
      </c>
      <c r="L12">
        <f>IF(tblLeave[[#This Row],[휴직구분]]="휴직복직","",YEAR(tblLeave[[#This Row],[시작일]]))</f>
        <v>2026</v>
      </c>
      <c r="M1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2" t="str">
        <f>IF(tblLeave[[#This Row],[시작일]]&gt;tblLeave[[#This Row],[종료일]],"오류","")</f>
        <v/>
      </c>
    </row>
    <row r="13" spans="1:14" x14ac:dyDescent="0.3">
      <c r="A13">
        <v>900056</v>
      </c>
      <c r="B13" t="s">
        <v>19</v>
      </c>
      <c r="C13" t="s">
        <v>8</v>
      </c>
      <c r="D13">
        <v>1</v>
      </c>
      <c r="E13" t="s">
        <v>9</v>
      </c>
      <c r="F13" s="1">
        <v>45528</v>
      </c>
      <c r="G13" s="1">
        <v>2958465</v>
      </c>
      <c r="H13" t="str">
        <f>IF(tblLeave[[#This Row],[휴직구분]]="휴직복직","",tblLeave[[#This Row],[교직원번호]]&amp;"|"&amp;tblLeave[[#This Row],[시작일]])</f>
        <v/>
      </c>
      <c r="I13" t="str">
        <f>IF(tblLeave[[#This Row],[휴직구분]]="휴직복직","",tblLeave[[#This Row],[종료일]]-tblLeave[[#This Row],[시작일]])</f>
        <v/>
      </c>
      <c r="J1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3" t="str">
        <f>IF(tblLeave[[#This Row],[휴직구분]]="휴직복직","",TEXT(tblLeave[[#This Row],[종료일]],"yyyy-mm"))</f>
        <v/>
      </c>
      <c r="L13" t="str">
        <f>IF(tblLeave[[#This Row],[휴직구분]]="휴직복직","",YEAR(tblLeave[[#This Row],[시작일]]))</f>
        <v/>
      </c>
      <c r="M1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3" t="str">
        <f>IF(tblLeave[[#This Row],[시작일]]&gt;tblLeave[[#This Row],[종료일]],"오류","")</f>
        <v/>
      </c>
    </row>
    <row r="14" spans="1:14" x14ac:dyDescent="0.3">
      <c r="A14">
        <v>900057</v>
      </c>
      <c r="B14" t="s">
        <v>20</v>
      </c>
      <c r="C14" t="s">
        <v>16</v>
      </c>
      <c r="D14">
        <v>1</v>
      </c>
      <c r="E14" t="s">
        <v>9</v>
      </c>
      <c r="F14" s="1">
        <v>45424</v>
      </c>
      <c r="G14" s="1">
        <v>2958465</v>
      </c>
      <c r="H14" t="str">
        <f>IF(tblLeave[[#This Row],[휴직구분]]="휴직복직","",tblLeave[[#This Row],[교직원번호]]&amp;"|"&amp;tblLeave[[#This Row],[시작일]])</f>
        <v/>
      </c>
      <c r="I14" t="str">
        <f>IF(tblLeave[[#This Row],[휴직구분]]="휴직복직","",tblLeave[[#This Row],[종료일]]-tblLeave[[#This Row],[시작일]])</f>
        <v/>
      </c>
      <c r="J1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4" t="str">
        <f>IF(tblLeave[[#This Row],[휴직구분]]="휴직복직","",TEXT(tblLeave[[#This Row],[종료일]],"yyyy-mm"))</f>
        <v/>
      </c>
      <c r="L14" t="str">
        <f>IF(tblLeave[[#This Row],[휴직구분]]="휴직복직","",YEAR(tblLeave[[#This Row],[시작일]]))</f>
        <v/>
      </c>
      <c r="M1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4" t="str">
        <f>IF(tblLeave[[#This Row],[시작일]]&gt;tblLeave[[#This Row],[종료일]],"오류","")</f>
        <v/>
      </c>
    </row>
    <row r="15" spans="1:14" x14ac:dyDescent="0.3">
      <c r="A15">
        <v>900057</v>
      </c>
      <c r="B15" t="s">
        <v>20</v>
      </c>
      <c r="C15" t="s">
        <v>16</v>
      </c>
      <c r="D15">
        <v>2</v>
      </c>
      <c r="E15" t="s">
        <v>21</v>
      </c>
      <c r="F15" s="1">
        <v>46253</v>
      </c>
      <c r="G15" s="1">
        <v>46618</v>
      </c>
      <c r="H15" t="str">
        <f>IF(tblLeave[[#This Row],[휴직구분]]="휴직복직","",tblLeave[[#This Row],[교직원번호]]&amp;"|"&amp;tblLeave[[#This Row],[시작일]])</f>
        <v>900057|46253</v>
      </c>
      <c r="I15">
        <f>IF(tblLeave[[#This Row],[휴직구분]]="휴직복직","",tblLeave[[#This Row],[종료일]]-tblLeave[[#This Row],[시작일]])</f>
        <v>365</v>
      </c>
      <c r="J1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5" t="str">
        <f>IF(tblLeave[[#This Row],[휴직구분]]="휴직복직","",TEXT(tblLeave[[#This Row],[종료일]],"yyyy-mm"))</f>
        <v>2027-08</v>
      </c>
      <c r="L15">
        <f>IF(tblLeave[[#This Row],[휴직구분]]="휴직복직","",YEAR(tblLeave[[#This Row],[시작일]]))</f>
        <v>2026</v>
      </c>
      <c r="M1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5" t="str">
        <f>IF(tblLeave[[#This Row],[시작일]]&gt;tblLeave[[#This Row],[종료일]],"오류","")</f>
        <v/>
      </c>
    </row>
    <row r="16" spans="1:14" x14ac:dyDescent="0.3">
      <c r="A16">
        <v>900066</v>
      </c>
      <c r="B16" t="s">
        <v>22</v>
      </c>
      <c r="C16" t="s">
        <v>8</v>
      </c>
      <c r="D16">
        <v>1</v>
      </c>
      <c r="E16" t="s">
        <v>9</v>
      </c>
      <c r="F16" s="1">
        <v>45742</v>
      </c>
      <c r="G16" s="1">
        <v>2958465</v>
      </c>
      <c r="H16" t="str">
        <f>IF(tblLeave[[#This Row],[휴직구분]]="휴직복직","",tblLeave[[#This Row],[교직원번호]]&amp;"|"&amp;tblLeave[[#This Row],[시작일]])</f>
        <v/>
      </c>
      <c r="I16" t="str">
        <f>IF(tblLeave[[#This Row],[휴직구분]]="휴직복직","",tblLeave[[#This Row],[종료일]]-tblLeave[[#This Row],[시작일]])</f>
        <v/>
      </c>
      <c r="J1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6" t="str">
        <f>IF(tblLeave[[#This Row],[휴직구분]]="휴직복직","",TEXT(tblLeave[[#This Row],[종료일]],"yyyy-mm"))</f>
        <v/>
      </c>
      <c r="L16" t="str">
        <f>IF(tblLeave[[#This Row],[휴직구분]]="휴직복직","",YEAR(tblLeave[[#This Row],[시작일]]))</f>
        <v/>
      </c>
      <c r="M1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6" t="str">
        <f>IF(tblLeave[[#This Row],[시작일]]&gt;tblLeave[[#This Row],[종료일]],"오류","")</f>
        <v/>
      </c>
    </row>
    <row r="17" spans="1:14" x14ac:dyDescent="0.3">
      <c r="A17">
        <v>900069</v>
      </c>
      <c r="B17" t="s">
        <v>23</v>
      </c>
      <c r="C17" t="s">
        <v>16</v>
      </c>
      <c r="D17">
        <v>1</v>
      </c>
      <c r="E17" t="s">
        <v>17</v>
      </c>
      <c r="F17" s="1">
        <v>46138</v>
      </c>
      <c r="G17" s="1">
        <v>46503</v>
      </c>
      <c r="H17" t="str">
        <f>IF(tblLeave[[#This Row],[휴직구분]]="휴직복직","",tblLeave[[#This Row],[교직원번호]]&amp;"|"&amp;tblLeave[[#This Row],[시작일]])</f>
        <v>900069|46138</v>
      </c>
      <c r="I17">
        <f>IF(tblLeave[[#This Row],[휴직구분]]="휴직복직","",tblLeave[[#This Row],[종료일]]-tblLeave[[#This Row],[시작일]])</f>
        <v>365</v>
      </c>
      <c r="J1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7" t="str">
        <f>IF(tblLeave[[#This Row],[휴직구분]]="휴직복직","",TEXT(tblLeave[[#This Row],[종료일]],"yyyy-mm"))</f>
        <v>2027-04</v>
      </c>
      <c r="L17">
        <f>IF(tblLeave[[#This Row],[휴직구분]]="휴직복직","",YEAR(tblLeave[[#This Row],[시작일]]))</f>
        <v>2026</v>
      </c>
      <c r="M1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7" t="str">
        <f>IF(tblLeave[[#This Row],[시작일]]&gt;tblLeave[[#This Row],[종료일]],"오류","")</f>
        <v/>
      </c>
    </row>
    <row r="18" spans="1:14" x14ac:dyDescent="0.3">
      <c r="A18">
        <v>900075</v>
      </c>
      <c r="B18" t="s">
        <v>24</v>
      </c>
      <c r="C18" t="s">
        <v>8</v>
      </c>
      <c r="D18">
        <v>1</v>
      </c>
      <c r="E18" t="s">
        <v>9</v>
      </c>
      <c r="F18" s="1">
        <v>45199</v>
      </c>
      <c r="G18" s="1">
        <v>2958465</v>
      </c>
      <c r="H18" t="str">
        <f>IF(tblLeave[[#This Row],[휴직구분]]="휴직복직","",tblLeave[[#This Row],[교직원번호]]&amp;"|"&amp;tblLeave[[#This Row],[시작일]])</f>
        <v/>
      </c>
      <c r="I18" t="str">
        <f>IF(tblLeave[[#This Row],[휴직구분]]="휴직복직","",tblLeave[[#This Row],[종료일]]-tblLeave[[#This Row],[시작일]])</f>
        <v/>
      </c>
      <c r="J1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8" t="str">
        <f>IF(tblLeave[[#This Row],[휴직구분]]="휴직복직","",TEXT(tblLeave[[#This Row],[종료일]],"yyyy-mm"))</f>
        <v/>
      </c>
      <c r="L18" t="str">
        <f>IF(tblLeave[[#This Row],[휴직구분]]="휴직복직","",YEAR(tblLeave[[#This Row],[시작일]]))</f>
        <v/>
      </c>
      <c r="M1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8" t="str">
        <f>IF(tblLeave[[#This Row],[시작일]]&gt;tblLeave[[#This Row],[종료일]],"오류","")</f>
        <v/>
      </c>
    </row>
    <row r="19" spans="1:14" x14ac:dyDescent="0.3">
      <c r="A19">
        <v>900076</v>
      </c>
      <c r="B19" t="s">
        <v>25</v>
      </c>
      <c r="C19" t="s">
        <v>16</v>
      </c>
      <c r="D19">
        <v>1</v>
      </c>
      <c r="E19" t="s">
        <v>17</v>
      </c>
      <c r="F19" s="1">
        <v>45990</v>
      </c>
      <c r="G19" s="1">
        <v>46355</v>
      </c>
      <c r="H19" t="str">
        <f>IF(tblLeave[[#This Row],[휴직구분]]="휴직복직","",tblLeave[[#This Row],[교직원번호]]&amp;"|"&amp;tblLeave[[#This Row],[시작일]])</f>
        <v>900076|45990</v>
      </c>
      <c r="I19">
        <f>IF(tblLeave[[#This Row],[휴직구분]]="휴직복직","",tblLeave[[#This Row],[종료일]]-tblLeave[[#This Row],[시작일]])</f>
        <v>365</v>
      </c>
      <c r="J1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9" t="str">
        <f>IF(tblLeave[[#This Row],[휴직구분]]="휴직복직","",TEXT(tblLeave[[#This Row],[종료일]],"yyyy-mm"))</f>
        <v>2026-11</v>
      </c>
      <c r="L19">
        <f>IF(tblLeave[[#This Row],[휴직구분]]="휴직복직","",YEAR(tblLeave[[#This Row],[시작일]]))</f>
        <v>2025</v>
      </c>
      <c r="M1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9" t="str">
        <f>IF(tblLeave[[#This Row],[시작일]]&gt;tblLeave[[#This Row],[종료일]],"오류","")</f>
        <v/>
      </c>
    </row>
    <row r="20" spans="1:14" x14ac:dyDescent="0.3">
      <c r="A20">
        <v>900077</v>
      </c>
      <c r="B20" t="s">
        <v>26</v>
      </c>
      <c r="C20" t="s">
        <v>16</v>
      </c>
      <c r="D20">
        <v>1</v>
      </c>
      <c r="E20" t="s">
        <v>9</v>
      </c>
      <c r="F20" s="1">
        <v>45336</v>
      </c>
      <c r="G20" s="1">
        <v>2958465</v>
      </c>
      <c r="H20" t="str">
        <f>IF(tblLeave[[#This Row],[휴직구분]]="휴직복직","",tblLeave[[#This Row],[교직원번호]]&amp;"|"&amp;tblLeave[[#This Row],[시작일]])</f>
        <v/>
      </c>
      <c r="I20" t="str">
        <f>IF(tblLeave[[#This Row],[휴직구분]]="휴직복직","",tblLeave[[#This Row],[종료일]]-tblLeave[[#This Row],[시작일]])</f>
        <v/>
      </c>
      <c r="J2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0" t="str">
        <f>IF(tblLeave[[#This Row],[휴직구분]]="휴직복직","",TEXT(tblLeave[[#This Row],[종료일]],"yyyy-mm"))</f>
        <v/>
      </c>
      <c r="L20" t="str">
        <f>IF(tblLeave[[#This Row],[휴직구분]]="휴직복직","",YEAR(tblLeave[[#This Row],[시작일]]))</f>
        <v/>
      </c>
      <c r="M2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0" t="str">
        <f>IF(tblLeave[[#This Row],[시작일]]&gt;tblLeave[[#This Row],[종료일]],"오류","")</f>
        <v/>
      </c>
    </row>
    <row r="21" spans="1:14" x14ac:dyDescent="0.3">
      <c r="A21">
        <v>900077</v>
      </c>
      <c r="B21" t="s">
        <v>26</v>
      </c>
      <c r="C21" t="s">
        <v>16</v>
      </c>
      <c r="D21">
        <v>2</v>
      </c>
      <c r="E21" t="s">
        <v>9</v>
      </c>
      <c r="F21" s="1">
        <v>45031</v>
      </c>
      <c r="G21" s="1">
        <v>2958465</v>
      </c>
      <c r="H21" t="str">
        <f>IF(tblLeave[[#This Row],[휴직구분]]="휴직복직","",tblLeave[[#This Row],[교직원번호]]&amp;"|"&amp;tblLeave[[#This Row],[시작일]])</f>
        <v/>
      </c>
      <c r="I21" t="str">
        <f>IF(tblLeave[[#This Row],[휴직구분]]="휴직복직","",tblLeave[[#This Row],[종료일]]-tblLeave[[#This Row],[시작일]])</f>
        <v/>
      </c>
      <c r="J2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1" t="str">
        <f>IF(tblLeave[[#This Row],[휴직구분]]="휴직복직","",TEXT(tblLeave[[#This Row],[종료일]],"yyyy-mm"))</f>
        <v/>
      </c>
      <c r="L21" t="str">
        <f>IF(tblLeave[[#This Row],[휴직구분]]="휴직복직","",YEAR(tblLeave[[#This Row],[시작일]]))</f>
        <v/>
      </c>
      <c r="M2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1" t="str">
        <f>IF(tblLeave[[#This Row],[시작일]]&gt;tblLeave[[#This Row],[종료일]],"오류","")</f>
        <v/>
      </c>
    </row>
    <row r="22" spans="1:14" x14ac:dyDescent="0.3">
      <c r="A22">
        <v>900077</v>
      </c>
      <c r="B22" t="s">
        <v>26</v>
      </c>
      <c r="C22" t="s">
        <v>16</v>
      </c>
      <c r="D22">
        <v>3</v>
      </c>
      <c r="E22" t="s">
        <v>17</v>
      </c>
      <c r="F22" s="1">
        <v>46020</v>
      </c>
      <c r="G22" s="1">
        <v>46567</v>
      </c>
      <c r="H22" t="str">
        <f>IF(tblLeave[[#This Row],[휴직구분]]="휴직복직","",tblLeave[[#This Row],[교직원번호]]&amp;"|"&amp;tblLeave[[#This Row],[시작일]])</f>
        <v>900077|46020</v>
      </c>
      <c r="I22">
        <f>IF(tblLeave[[#This Row],[휴직구분]]="휴직복직","",tblLeave[[#This Row],[종료일]]-tblLeave[[#This Row],[시작일]])</f>
        <v>547</v>
      </c>
      <c r="J2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22" t="str">
        <f>IF(tblLeave[[#This Row],[휴직구분]]="휴직복직","",TEXT(tblLeave[[#This Row],[종료일]],"yyyy-mm"))</f>
        <v>2027-06</v>
      </c>
      <c r="L22">
        <f>IF(tblLeave[[#This Row],[휴직구분]]="휴직복직","",YEAR(tblLeave[[#This Row],[시작일]]))</f>
        <v>2025</v>
      </c>
      <c r="M2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22" t="str">
        <f>IF(tblLeave[[#This Row],[시작일]]&gt;tblLeave[[#This Row],[종료일]],"오류","")</f>
        <v/>
      </c>
    </row>
    <row r="23" spans="1:14" x14ac:dyDescent="0.3">
      <c r="A23">
        <v>900079</v>
      </c>
      <c r="B23" t="s">
        <v>27</v>
      </c>
      <c r="C23" t="s">
        <v>8</v>
      </c>
      <c r="D23">
        <v>1</v>
      </c>
      <c r="E23" t="s">
        <v>9</v>
      </c>
      <c r="F23" s="1">
        <v>44891</v>
      </c>
      <c r="G23" s="1">
        <v>2958465</v>
      </c>
      <c r="H23" t="str">
        <f>IF(tblLeave[[#This Row],[휴직구분]]="휴직복직","",tblLeave[[#This Row],[교직원번호]]&amp;"|"&amp;tblLeave[[#This Row],[시작일]])</f>
        <v/>
      </c>
      <c r="I23" t="str">
        <f>IF(tblLeave[[#This Row],[휴직구분]]="휴직복직","",tblLeave[[#This Row],[종료일]]-tblLeave[[#This Row],[시작일]])</f>
        <v/>
      </c>
      <c r="J2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3" t="str">
        <f>IF(tblLeave[[#This Row],[휴직구분]]="휴직복직","",TEXT(tblLeave[[#This Row],[종료일]],"yyyy-mm"))</f>
        <v/>
      </c>
      <c r="L23" t="str">
        <f>IF(tblLeave[[#This Row],[휴직구분]]="휴직복직","",YEAR(tblLeave[[#This Row],[시작일]]))</f>
        <v/>
      </c>
      <c r="M2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3" t="str">
        <f>IF(tblLeave[[#This Row],[시작일]]&gt;tblLeave[[#This Row],[종료일]],"오류","")</f>
        <v/>
      </c>
    </row>
    <row r="24" spans="1:14" x14ac:dyDescent="0.3">
      <c r="A24">
        <v>900089</v>
      </c>
      <c r="B24" t="s">
        <v>28</v>
      </c>
      <c r="C24" t="s">
        <v>8</v>
      </c>
      <c r="D24">
        <v>1</v>
      </c>
      <c r="E24" t="s">
        <v>9</v>
      </c>
      <c r="F24" s="1">
        <v>44917</v>
      </c>
      <c r="G24" s="1">
        <v>2958465</v>
      </c>
      <c r="H24" t="str">
        <f>IF(tblLeave[[#This Row],[휴직구분]]="휴직복직","",tblLeave[[#This Row],[교직원번호]]&amp;"|"&amp;tblLeave[[#This Row],[시작일]])</f>
        <v/>
      </c>
      <c r="I24" t="str">
        <f>IF(tblLeave[[#This Row],[휴직구분]]="휴직복직","",tblLeave[[#This Row],[종료일]]-tblLeave[[#This Row],[시작일]])</f>
        <v/>
      </c>
      <c r="J2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4" t="str">
        <f>IF(tblLeave[[#This Row],[휴직구분]]="휴직복직","",TEXT(tblLeave[[#This Row],[종료일]],"yyyy-mm"))</f>
        <v/>
      </c>
      <c r="L24" t="str">
        <f>IF(tblLeave[[#This Row],[휴직구분]]="휴직복직","",YEAR(tblLeave[[#This Row],[시작일]]))</f>
        <v/>
      </c>
      <c r="M2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4" t="str">
        <f>IF(tblLeave[[#This Row],[시작일]]&gt;tblLeave[[#This Row],[종료일]],"오류","")</f>
        <v/>
      </c>
    </row>
    <row r="25" spans="1:14" x14ac:dyDescent="0.3">
      <c r="A25">
        <v>900111</v>
      </c>
      <c r="B25" t="s">
        <v>29</v>
      </c>
      <c r="C25" t="s">
        <v>8</v>
      </c>
      <c r="D25">
        <v>1</v>
      </c>
      <c r="E25" t="s">
        <v>9</v>
      </c>
      <c r="F25" s="1">
        <v>45841</v>
      </c>
      <c r="G25" s="1">
        <v>2958465</v>
      </c>
      <c r="H25" t="str">
        <f>IF(tblLeave[[#This Row],[휴직구분]]="휴직복직","",tblLeave[[#This Row],[교직원번호]]&amp;"|"&amp;tblLeave[[#This Row],[시작일]])</f>
        <v/>
      </c>
      <c r="I25" t="str">
        <f>IF(tblLeave[[#This Row],[휴직구분]]="휴직복직","",tblLeave[[#This Row],[종료일]]-tblLeave[[#This Row],[시작일]])</f>
        <v/>
      </c>
      <c r="J2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5" t="str">
        <f>IF(tblLeave[[#This Row],[휴직구분]]="휴직복직","",TEXT(tblLeave[[#This Row],[종료일]],"yyyy-mm"))</f>
        <v/>
      </c>
      <c r="L25" t="str">
        <f>IF(tblLeave[[#This Row],[휴직구분]]="휴직복직","",YEAR(tblLeave[[#This Row],[시작일]]))</f>
        <v/>
      </c>
      <c r="M2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5" t="str">
        <f>IF(tblLeave[[#This Row],[시작일]]&gt;tblLeave[[#This Row],[종료일]],"오류","")</f>
        <v/>
      </c>
    </row>
    <row r="26" spans="1:14" x14ac:dyDescent="0.3">
      <c r="A26">
        <v>900121</v>
      </c>
      <c r="B26" t="s">
        <v>30</v>
      </c>
      <c r="C26" t="s">
        <v>16</v>
      </c>
      <c r="D26">
        <v>1</v>
      </c>
      <c r="E26" t="s">
        <v>9</v>
      </c>
      <c r="F26" s="1">
        <v>45287</v>
      </c>
      <c r="G26" s="1">
        <v>2958465</v>
      </c>
      <c r="H26" t="str">
        <f>IF(tblLeave[[#This Row],[휴직구분]]="휴직복직","",tblLeave[[#This Row],[교직원번호]]&amp;"|"&amp;tblLeave[[#This Row],[시작일]])</f>
        <v/>
      </c>
      <c r="I26" t="str">
        <f>IF(tblLeave[[#This Row],[휴직구분]]="휴직복직","",tblLeave[[#This Row],[종료일]]-tblLeave[[#This Row],[시작일]])</f>
        <v/>
      </c>
      <c r="J2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6" t="str">
        <f>IF(tblLeave[[#This Row],[휴직구분]]="휴직복직","",TEXT(tblLeave[[#This Row],[종료일]],"yyyy-mm"))</f>
        <v/>
      </c>
      <c r="L26" t="str">
        <f>IF(tblLeave[[#This Row],[휴직구분]]="휴직복직","",YEAR(tblLeave[[#This Row],[시작일]]))</f>
        <v/>
      </c>
      <c r="M2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6" t="str">
        <f>IF(tblLeave[[#This Row],[시작일]]&gt;tblLeave[[#This Row],[종료일]],"오류","")</f>
        <v/>
      </c>
    </row>
    <row r="27" spans="1:14" x14ac:dyDescent="0.3">
      <c r="A27">
        <v>900121</v>
      </c>
      <c r="B27" t="s">
        <v>30</v>
      </c>
      <c r="C27" t="s">
        <v>16</v>
      </c>
      <c r="D27">
        <v>2</v>
      </c>
      <c r="E27" t="s">
        <v>9</v>
      </c>
      <c r="F27" s="1">
        <v>45124</v>
      </c>
      <c r="G27" s="1">
        <v>2958465</v>
      </c>
      <c r="H27" t="str">
        <f>IF(tblLeave[[#This Row],[휴직구분]]="휴직복직","",tblLeave[[#This Row],[교직원번호]]&amp;"|"&amp;tblLeave[[#This Row],[시작일]])</f>
        <v/>
      </c>
      <c r="I27" t="str">
        <f>IF(tblLeave[[#This Row],[휴직구분]]="휴직복직","",tblLeave[[#This Row],[종료일]]-tblLeave[[#This Row],[시작일]])</f>
        <v/>
      </c>
      <c r="J2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7" t="str">
        <f>IF(tblLeave[[#This Row],[휴직구분]]="휴직복직","",TEXT(tblLeave[[#This Row],[종료일]],"yyyy-mm"))</f>
        <v/>
      </c>
      <c r="L27" t="str">
        <f>IF(tblLeave[[#This Row],[휴직구분]]="휴직복직","",YEAR(tblLeave[[#This Row],[시작일]]))</f>
        <v/>
      </c>
      <c r="M2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7" t="str">
        <f>IF(tblLeave[[#This Row],[시작일]]&gt;tblLeave[[#This Row],[종료일]],"오류","")</f>
        <v/>
      </c>
    </row>
    <row r="28" spans="1:14" x14ac:dyDescent="0.3">
      <c r="A28">
        <v>900121</v>
      </c>
      <c r="B28" t="s">
        <v>30</v>
      </c>
      <c r="C28" t="s">
        <v>16</v>
      </c>
      <c r="D28">
        <v>3</v>
      </c>
      <c r="E28" t="s">
        <v>9</v>
      </c>
      <c r="F28" s="1">
        <v>44923</v>
      </c>
      <c r="G28" s="1">
        <v>2958465</v>
      </c>
      <c r="H28" t="str">
        <f>IF(tblLeave[[#This Row],[휴직구분]]="휴직복직","",tblLeave[[#This Row],[교직원번호]]&amp;"|"&amp;tblLeave[[#This Row],[시작일]])</f>
        <v/>
      </c>
      <c r="I28" t="str">
        <f>IF(tblLeave[[#This Row],[휴직구분]]="휴직복직","",tblLeave[[#This Row],[종료일]]-tblLeave[[#This Row],[시작일]])</f>
        <v/>
      </c>
      <c r="J2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28" t="str">
        <f>IF(tblLeave[[#This Row],[휴직구분]]="휴직복직","",TEXT(tblLeave[[#This Row],[종료일]],"yyyy-mm"))</f>
        <v/>
      </c>
      <c r="L28" t="str">
        <f>IF(tblLeave[[#This Row],[휴직구분]]="휴직복직","",YEAR(tblLeave[[#This Row],[시작일]]))</f>
        <v/>
      </c>
      <c r="M2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28" t="str">
        <f>IF(tblLeave[[#This Row],[시작일]]&gt;tblLeave[[#This Row],[종료일]],"오류","")</f>
        <v/>
      </c>
    </row>
    <row r="29" spans="1:14" x14ac:dyDescent="0.3">
      <c r="A29">
        <v>900121</v>
      </c>
      <c r="B29" t="s">
        <v>30</v>
      </c>
      <c r="C29" t="s">
        <v>16</v>
      </c>
      <c r="D29">
        <v>4</v>
      </c>
      <c r="E29" t="s">
        <v>17</v>
      </c>
      <c r="F29" s="1">
        <v>46028</v>
      </c>
      <c r="G29" s="1">
        <v>46393</v>
      </c>
      <c r="H29" t="str">
        <f>IF(tblLeave[[#This Row],[휴직구분]]="휴직복직","",tblLeave[[#This Row],[교직원번호]]&amp;"|"&amp;tblLeave[[#This Row],[시작일]])</f>
        <v>900121|46028</v>
      </c>
      <c r="I29">
        <f>IF(tblLeave[[#This Row],[휴직구분]]="휴직복직","",tblLeave[[#This Row],[종료일]]-tblLeave[[#This Row],[시작일]])</f>
        <v>365</v>
      </c>
      <c r="J2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29" t="str">
        <f>IF(tblLeave[[#This Row],[휴직구분]]="휴직복직","",TEXT(tblLeave[[#This Row],[종료일]],"yyyy-mm"))</f>
        <v>2027-01</v>
      </c>
      <c r="L29">
        <f>IF(tblLeave[[#This Row],[휴직구분]]="휴직복직","",YEAR(tblLeave[[#This Row],[시작일]]))</f>
        <v>2026</v>
      </c>
      <c r="M2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29" t="str">
        <f>IF(tblLeave[[#This Row],[시작일]]&gt;tblLeave[[#This Row],[종료일]],"오류","")</f>
        <v/>
      </c>
    </row>
    <row r="30" spans="1:14" x14ac:dyDescent="0.3">
      <c r="A30">
        <v>900132</v>
      </c>
      <c r="B30" t="s">
        <v>31</v>
      </c>
      <c r="C30" t="s">
        <v>16</v>
      </c>
      <c r="D30">
        <v>1</v>
      </c>
      <c r="E30" t="s">
        <v>9</v>
      </c>
      <c r="F30" s="1">
        <v>45169</v>
      </c>
      <c r="G30" s="1">
        <v>2958465</v>
      </c>
      <c r="H30" t="str">
        <f>IF(tblLeave[[#This Row],[휴직구분]]="휴직복직","",tblLeave[[#This Row],[교직원번호]]&amp;"|"&amp;tblLeave[[#This Row],[시작일]])</f>
        <v/>
      </c>
      <c r="I30" t="str">
        <f>IF(tblLeave[[#This Row],[휴직구분]]="휴직복직","",tblLeave[[#This Row],[종료일]]-tblLeave[[#This Row],[시작일]])</f>
        <v/>
      </c>
      <c r="J3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0" t="str">
        <f>IF(tblLeave[[#This Row],[휴직구분]]="휴직복직","",TEXT(tblLeave[[#This Row],[종료일]],"yyyy-mm"))</f>
        <v/>
      </c>
      <c r="L30" t="str">
        <f>IF(tblLeave[[#This Row],[휴직구분]]="휴직복직","",YEAR(tblLeave[[#This Row],[시작일]]))</f>
        <v/>
      </c>
      <c r="M3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0" t="str">
        <f>IF(tblLeave[[#This Row],[시작일]]&gt;tblLeave[[#This Row],[종료일]],"오류","")</f>
        <v/>
      </c>
    </row>
    <row r="31" spans="1:14" x14ac:dyDescent="0.3">
      <c r="A31">
        <v>900132</v>
      </c>
      <c r="B31" t="s">
        <v>31</v>
      </c>
      <c r="C31" t="s">
        <v>16</v>
      </c>
      <c r="D31">
        <v>2</v>
      </c>
      <c r="E31" t="s">
        <v>9</v>
      </c>
      <c r="F31" s="1">
        <v>45154</v>
      </c>
      <c r="G31" s="1">
        <v>2958465</v>
      </c>
      <c r="H31" t="str">
        <f>IF(tblLeave[[#This Row],[휴직구분]]="휴직복직","",tblLeave[[#This Row],[교직원번호]]&amp;"|"&amp;tblLeave[[#This Row],[시작일]])</f>
        <v/>
      </c>
      <c r="I31" t="str">
        <f>IF(tblLeave[[#This Row],[휴직구분]]="휴직복직","",tblLeave[[#This Row],[종료일]]-tblLeave[[#This Row],[시작일]])</f>
        <v/>
      </c>
      <c r="J3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1" t="str">
        <f>IF(tblLeave[[#This Row],[휴직구분]]="휴직복직","",TEXT(tblLeave[[#This Row],[종료일]],"yyyy-mm"))</f>
        <v/>
      </c>
      <c r="L31" t="str">
        <f>IF(tblLeave[[#This Row],[휴직구분]]="휴직복직","",YEAR(tblLeave[[#This Row],[시작일]]))</f>
        <v/>
      </c>
      <c r="M3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1" t="str">
        <f>IF(tblLeave[[#This Row],[시작일]]&gt;tblLeave[[#This Row],[종료일]],"오류","")</f>
        <v/>
      </c>
    </row>
    <row r="32" spans="1:14" x14ac:dyDescent="0.3">
      <c r="A32">
        <v>900132</v>
      </c>
      <c r="B32" t="s">
        <v>31</v>
      </c>
      <c r="C32" t="s">
        <v>16</v>
      </c>
      <c r="D32">
        <v>3</v>
      </c>
      <c r="E32" t="s">
        <v>17</v>
      </c>
      <c r="F32" s="1">
        <v>45954</v>
      </c>
      <c r="G32" s="1">
        <v>46319</v>
      </c>
      <c r="H32" t="str">
        <f>IF(tblLeave[[#This Row],[휴직구분]]="휴직복직","",tblLeave[[#This Row],[교직원번호]]&amp;"|"&amp;tblLeave[[#This Row],[시작일]])</f>
        <v>900132|45954</v>
      </c>
      <c r="I32">
        <f>IF(tblLeave[[#This Row],[휴직구분]]="휴직복직","",tblLeave[[#This Row],[종료일]]-tblLeave[[#This Row],[시작일]])</f>
        <v>365</v>
      </c>
      <c r="J3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32" t="str">
        <f>IF(tblLeave[[#This Row],[휴직구분]]="휴직복직","",TEXT(tblLeave[[#This Row],[종료일]],"yyyy-mm"))</f>
        <v>2026-10</v>
      </c>
      <c r="L32">
        <f>IF(tblLeave[[#This Row],[휴직구분]]="휴직복직","",YEAR(tblLeave[[#This Row],[시작일]]))</f>
        <v>2025</v>
      </c>
      <c r="M3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32" t="str">
        <f>IF(tblLeave[[#This Row],[시작일]]&gt;tblLeave[[#This Row],[종료일]],"오류","")</f>
        <v/>
      </c>
    </row>
    <row r="33" spans="1:14" x14ac:dyDescent="0.3">
      <c r="A33">
        <v>900133</v>
      </c>
      <c r="B33" t="s">
        <v>32</v>
      </c>
      <c r="C33" t="s">
        <v>16</v>
      </c>
      <c r="D33">
        <v>1</v>
      </c>
      <c r="E33" t="s">
        <v>9</v>
      </c>
      <c r="F33" s="1">
        <v>45409</v>
      </c>
      <c r="G33" s="1">
        <v>2958465</v>
      </c>
      <c r="H33" t="str">
        <f>IF(tblLeave[[#This Row],[휴직구분]]="휴직복직","",tblLeave[[#This Row],[교직원번호]]&amp;"|"&amp;tblLeave[[#This Row],[시작일]])</f>
        <v/>
      </c>
      <c r="I33" t="str">
        <f>IF(tblLeave[[#This Row],[휴직구분]]="휴직복직","",tblLeave[[#This Row],[종료일]]-tblLeave[[#This Row],[시작일]])</f>
        <v/>
      </c>
      <c r="J3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3" t="str">
        <f>IF(tblLeave[[#This Row],[휴직구분]]="휴직복직","",TEXT(tblLeave[[#This Row],[종료일]],"yyyy-mm"))</f>
        <v/>
      </c>
      <c r="L33" t="str">
        <f>IF(tblLeave[[#This Row],[휴직구분]]="휴직복직","",YEAR(tblLeave[[#This Row],[시작일]]))</f>
        <v/>
      </c>
      <c r="M3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3" t="str">
        <f>IF(tblLeave[[#This Row],[시작일]]&gt;tblLeave[[#This Row],[종료일]],"오류","")</f>
        <v/>
      </c>
    </row>
    <row r="34" spans="1:14" x14ac:dyDescent="0.3">
      <c r="A34">
        <v>900133</v>
      </c>
      <c r="B34" t="s">
        <v>32</v>
      </c>
      <c r="C34" t="s">
        <v>16</v>
      </c>
      <c r="D34">
        <v>2</v>
      </c>
      <c r="E34" t="s">
        <v>17</v>
      </c>
      <c r="F34" s="1">
        <v>46028</v>
      </c>
      <c r="G34" s="1">
        <v>46393</v>
      </c>
      <c r="H34" t="str">
        <f>IF(tblLeave[[#This Row],[휴직구분]]="휴직복직","",tblLeave[[#This Row],[교직원번호]]&amp;"|"&amp;tblLeave[[#This Row],[시작일]])</f>
        <v>900133|46028</v>
      </c>
      <c r="I34">
        <f>IF(tblLeave[[#This Row],[휴직구분]]="휴직복직","",tblLeave[[#This Row],[종료일]]-tblLeave[[#This Row],[시작일]])</f>
        <v>365</v>
      </c>
      <c r="J3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34" t="str">
        <f>IF(tblLeave[[#This Row],[휴직구분]]="휴직복직","",TEXT(tblLeave[[#This Row],[종료일]],"yyyy-mm"))</f>
        <v>2027-01</v>
      </c>
      <c r="L34">
        <f>IF(tblLeave[[#This Row],[휴직구분]]="휴직복직","",YEAR(tblLeave[[#This Row],[시작일]]))</f>
        <v>2026</v>
      </c>
      <c r="M3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34" t="str">
        <f>IF(tblLeave[[#This Row],[시작일]]&gt;tblLeave[[#This Row],[종료일]],"오류","")</f>
        <v/>
      </c>
    </row>
    <row r="35" spans="1:14" x14ac:dyDescent="0.3">
      <c r="A35">
        <v>900137</v>
      </c>
      <c r="B35" t="s">
        <v>33</v>
      </c>
      <c r="C35" t="s">
        <v>16</v>
      </c>
      <c r="D35">
        <v>1</v>
      </c>
      <c r="E35" t="s">
        <v>17</v>
      </c>
      <c r="F35" s="1">
        <v>45955</v>
      </c>
      <c r="G35" s="1">
        <v>46752</v>
      </c>
      <c r="H35" t="str">
        <f>IF(tblLeave[[#This Row],[휴직구분]]="휴직복직","",tblLeave[[#This Row],[교직원번호]]&amp;"|"&amp;tblLeave[[#This Row],[시작일]])</f>
        <v>900137|45955</v>
      </c>
      <c r="I35">
        <f>IF(tblLeave[[#This Row],[휴직구분]]="휴직복직","",tblLeave[[#This Row],[종료일]]-tblLeave[[#This Row],[시작일]])</f>
        <v>797</v>
      </c>
      <c r="J3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35" t="str">
        <f>IF(tblLeave[[#This Row],[휴직구분]]="휴직복직","",TEXT(tblLeave[[#This Row],[종료일]],"yyyy-mm"))</f>
        <v>2027-12</v>
      </c>
      <c r="L35">
        <f>IF(tblLeave[[#This Row],[휴직구분]]="휴직복직","",YEAR(tblLeave[[#This Row],[시작일]]))</f>
        <v>2025</v>
      </c>
      <c r="M3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초과</v>
      </c>
      <c r="N35" t="str">
        <f>IF(tblLeave[[#This Row],[시작일]]&gt;tblLeave[[#This Row],[종료일]],"오류","")</f>
        <v/>
      </c>
    </row>
    <row r="36" spans="1:14" x14ac:dyDescent="0.3">
      <c r="A36">
        <v>900139</v>
      </c>
      <c r="B36" t="s">
        <v>34</v>
      </c>
      <c r="C36" t="s">
        <v>8</v>
      </c>
      <c r="D36">
        <v>1</v>
      </c>
      <c r="E36" t="s">
        <v>9</v>
      </c>
      <c r="F36" s="1">
        <v>44993</v>
      </c>
      <c r="G36" s="1">
        <v>2958465</v>
      </c>
      <c r="H36" t="str">
        <f>IF(tblLeave[[#This Row],[휴직구분]]="휴직복직","",tblLeave[[#This Row],[교직원번호]]&amp;"|"&amp;tblLeave[[#This Row],[시작일]])</f>
        <v/>
      </c>
      <c r="I36" t="str">
        <f>IF(tblLeave[[#This Row],[휴직구분]]="휴직복직","",tblLeave[[#This Row],[종료일]]-tblLeave[[#This Row],[시작일]])</f>
        <v/>
      </c>
      <c r="J3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6" t="str">
        <f>IF(tblLeave[[#This Row],[휴직구분]]="휴직복직","",TEXT(tblLeave[[#This Row],[종료일]],"yyyy-mm"))</f>
        <v/>
      </c>
      <c r="L36" t="str">
        <f>IF(tblLeave[[#This Row],[휴직구분]]="휴직복직","",YEAR(tblLeave[[#This Row],[시작일]]))</f>
        <v/>
      </c>
      <c r="M3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6" t="str">
        <f>IF(tblLeave[[#This Row],[시작일]]&gt;tblLeave[[#This Row],[종료일]],"오류","")</f>
        <v/>
      </c>
    </row>
    <row r="37" spans="1:14" x14ac:dyDescent="0.3">
      <c r="A37">
        <v>900144</v>
      </c>
      <c r="B37" t="s">
        <v>35</v>
      </c>
      <c r="C37" t="s">
        <v>16</v>
      </c>
      <c r="D37">
        <v>1</v>
      </c>
      <c r="E37" t="s">
        <v>17</v>
      </c>
      <c r="F37" s="1">
        <v>46127</v>
      </c>
      <c r="G37" s="1">
        <v>46492</v>
      </c>
      <c r="H37" t="str">
        <f>IF(tblLeave[[#This Row],[휴직구분]]="휴직복직","",tblLeave[[#This Row],[교직원번호]]&amp;"|"&amp;tblLeave[[#This Row],[시작일]])</f>
        <v>900144|46127</v>
      </c>
      <c r="I37">
        <f>IF(tblLeave[[#This Row],[휴직구분]]="휴직복직","",tblLeave[[#This Row],[종료일]]-tblLeave[[#This Row],[시작일]])</f>
        <v>365</v>
      </c>
      <c r="J3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37" t="str">
        <f>IF(tblLeave[[#This Row],[휴직구분]]="휴직복직","",TEXT(tblLeave[[#This Row],[종료일]],"yyyy-mm"))</f>
        <v>2027-04</v>
      </c>
      <c r="L37">
        <f>IF(tblLeave[[#This Row],[휴직구분]]="휴직복직","",YEAR(tblLeave[[#This Row],[시작일]]))</f>
        <v>2026</v>
      </c>
      <c r="M3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37" t="str">
        <f>IF(tblLeave[[#This Row],[시작일]]&gt;tblLeave[[#This Row],[종료일]],"오류","")</f>
        <v/>
      </c>
    </row>
    <row r="38" spans="1:14" x14ac:dyDescent="0.3">
      <c r="A38">
        <v>900145</v>
      </c>
      <c r="B38" t="s">
        <v>36</v>
      </c>
      <c r="C38" t="s">
        <v>16</v>
      </c>
      <c r="D38">
        <v>1</v>
      </c>
      <c r="E38" t="s">
        <v>9</v>
      </c>
      <c r="F38" s="1">
        <v>45938</v>
      </c>
      <c r="G38" s="1">
        <v>2958465</v>
      </c>
      <c r="H38" t="str">
        <f>IF(tblLeave[[#This Row],[휴직구분]]="휴직복직","",tblLeave[[#This Row],[교직원번호]]&amp;"|"&amp;tblLeave[[#This Row],[시작일]])</f>
        <v/>
      </c>
      <c r="I38" t="str">
        <f>IF(tblLeave[[#This Row],[휴직구분]]="휴직복직","",tblLeave[[#This Row],[종료일]]-tblLeave[[#This Row],[시작일]])</f>
        <v/>
      </c>
      <c r="J3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8" t="str">
        <f>IF(tblLeave[[#This Row],[휴직구분]]="휴직복직","",TEXT(tblLeave[[#This Row],[종료일]],"yyyy-mm"))</f>
        <v/>
      </c>
      <c r="L38" t="str">
        <f>IF(tblLeave[[#This Row],[휴직구분]]="휴직복직","",YEAR(tblLeave[[#This Row],[시작일]]))</f>
        <v/>
      </c>
      <c r="M3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8" t="str">
        <f>IF(tblLeave[[#This Row],[시작일]]&gt;tblLeave[[#This Row],[종료일]],"오류","")</f>
        <v/>
      </c>
    </row>
    <row r="39" spans="1:14" x14ac:dyDescent="0.3">
      <c r="A39">
        <v>900145</v>
      </c>
      <c r="B39" t="s">
        <v>36</v>
      </c>
      <c r="C39" t="s">
        <v>16</v>
      </c>
      <c r="D39">
        <v>2</v>
      </c>
      <c r="E39" t="s">
        <v>9</v>
      </c>
      <c r="F39" s="1">
        <v>44993</v>
      </c>
      <c r="G39" s="1">
        <v>2958465</v>
      </c>
      <c r="H39" t="str">
        <f>IF(tblLeave[[#This Row],[휴직구분]]="휴직복직","",tblLeave[[#This Row],[교직원번호]]&amp;"|"&amp;tblLeave[[#This Row],[시작일]])</f>
        <v/>
      </c>
      <c r="I39" t="str">
        <f>IF(tblLeave[[#This Row],[휴직구분]]="휴직복직","",tblLeave[[#This Row],[종료일]]-tblLeave[[#This Row],[시작일]])</f>
        <v/>
      </c>
      <c r="J3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39" t="str">
        <f>IF(tblLeave[[#This Row],[휴직구분]]="휴직복직","",TEXT(tblLeave[[#This Row],[종료일]],"yyyy-mm"))</f>
        <v/>
      </c>
      <c r="L39" t="str">
        <f>IF(tblLeave[[#This Row],[휴직구분]]="휴직복직","",YEAR(tblLeave[[#This Row],[시작일]]))</f>
        <v/>
      </c>
      <c r="M3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39" t="str">
        <f>IF(tblLeave[[#This Row],[시작일]]&gt;tblLeave[[#This Row],[종료일]],"오류","")</f>
        <v/>
      </c>
    </row>
    <row r="40" spans="1:14" x14ac:dyDescent="0.3">
      <c r="A40">
        <v>900145</v>
      </c>
      <c r="B40" t="s">
        <v>36</v>
      </c>
      <c r="C40" t="s">
        <v>16</v>
      </c>
      <c r="D40">
        <v>3</v>
      </c>
      <c r="E40" t="s">
        <v>37</v>
      </c>
      <c r="F40" s="1">
        <v>46255</v>
      </c>
      <c r="G40" s="1">
        <v>46439</v>
      </c>
      <c r="H40" t="str">
        <f>IF(tblLeave[[#This Row],[휴직구분]]="휴직복직","",tblLeave[[#This Row],[교직원번호]]&amp;"|"&amp;tblLeave[[#This Row],[시작일]])</f>
        <v>900145|46255</v>
      </c>
      <c r="I40">
        <f>IF(tblLeave[[#This Row],[휴직구분]]="휴직복직","",tblLeave[[#This Row],[종료일]]-tblLeave[[#This Row],[시작일]])</f>
        <v>184</v>
      </c>
      <c r="J4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40" t="str">
        <f>IF(tblLeave[[#This Row],[휴직구분]]="휴직복직","",TEXT(tblLeave[[#This Row],[종료일]],"yyyy-mm"))</f>
        <v>2027-02</v>
      </c>
      <c r="L40">
        <f>IF(tblLeave[[#This Row],[휴직구분]]="휴직복직","",YEAR(tblLeave[[#This Row],[시작일]]))</f>
        <v>2026</v>
      </c>
      <c r="M4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40" t="str">
        <f>IF(tblLeave[[#This Row],[시작일]]&gt;tblLeave[[#This Row],[종료일]],"오류","")</f>
        <v/>
      </c>
    </row>
    <row r="41" spans="1:14" x14ac:dyDescent="0.3">
      <c r="A41">
        <v>900147</v>
      </c>
      <c r="B41" t="s">
        <v>38</v>
      </c>
      <c r="C41" t="s">
        <v>8</v>
      </c>
      <c r="D41">
        <v>1</v>
      </c>
      <c r="E41" t="s">
        <v>9</v>
      </c>
      <c r="F41" s="1">
        <v>45851</v>
      </c>
      <c r="G41" s="1">
        <v>2958465</v>
      </c>
      <c r="H41" t="str">
        <f>IF(tblLeave[[#This Row],[휴직구분]]="휴직복직","",tblLeave[[#This Row],[교직원번호]]&amp;"|"&amp;tblLeave[[#This Row],[시작일]])</f>
        <v/>
      </c>
      <c r="I41" t="str">
        <f>IF(tblLeave[[#This Row],[휴직구분]]="휴직복직","",tblLeave[[#This Row],[종료일]]-tblLeave[[#This Row],[시작일]])</f>
        <v/>
      </c>
      <c r="J4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1" t="str">
        <f>IF(tblLeave[[#This Row],[휴직구분]]="휴직복직","",TEXT(tblLeave[[#This Row],[종료일]],"yyyy-mm"))</f>
        <v/>
      </c>
      <c r="L41" t="str">
        <f>IF(tblLeave[[#This Row],[휴직구분]]="휴직복직","",YEAR(tblLeave[[#This Row],[시작일]]))</f>
        <v/>
      </c>
      <c r="M4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1" t="str">
        <f>IF(tblLeave[[#This Row],[시작일]]&gt;tblLeave[[#This Row],[종료일]],"오류","")</f>
        <v/>
      </c>
    </row>
    <row r="42" spans="1:14" x14ac:dyDescent="0.3">
      <c r="A42">
        <v>900154</v>
      </c>
      <c r="B42" t="s">
        <v>39</v>
      </c>
      <c r="C42" t="s">
        <v>16</v>
      </c>
      <c r="D42">
        <v>1</v>
      </c>
      <c r="E42" t="s">
        <v>9</v>
      </c>
      <c r="F42" s="1">
        <v>45103</v>
      </c>
      <c r="G42" s="1">
        <v>2958465</v>
      </c>
      <c r="H42" t="str">
        <f>IF(tblLeave[[#This Row],[휴직구분]]="휴직복직","",tblLeave[[#This Row],[교직원번호]]&amp;"|"&amp;tblLeave[[#This Row],[시작일]])</f>
        <v/>
      </c>
      <c r="I42" t="str">
        <f>IF(tblLeave[[#This Row],[휴직구분]]="휴직복직","",tblLeave[[#This Row],[종료일]]-tblLeave[[#This Row],[시작일]])</f>
        <v/>
      </c>
      <c r="J4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2" t="str">
        <f>IF(tblLeave[[#This Row],[휴직구분]]="휴직복직","",TEXT(tblLeave[[#This Row],[종료일]],"yyyy-mm"))</f>
        <v/>
      </c>
      <c r="L42" t="str">
        <f>IF(tblLeave[[#This Row],[휴직구분]]="휴직복직","",YEAR(tblLeave[[#This Row],[시작일]]))</f>
        <v/>
      </c>
      <c r="M4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2" t="str">
        <f>IF(tblLeave[[#This Row],[시작일]]&gt;tblLeave[[#This Row],[종료일]],"오류","")</f>
        <v/>
      </c>
    </row>
    <row r="43" spans="1:14" x14ac:dyDescent="0.3">
      <c r="A43">
        <v>900154</v>
      </c>
      <c r="B43" t="s">
        <v>39</v>
      </c>
      <c r="C43" t="s">
        <v>16</v>
      </c>
      <c r="D43">
        <v>2</v>
      </c>
      <c r="E43" t="s">
        <v>9</v>
      </c>
      <c r="F43" s="1">
        <v>45713</v>
      </c>
      <c r="G43" s="1">
        <v>2958465</v>
      </c>
      <c r="H43" t="str">
        <f>IF(tblLeave[[#This Row],[휴직구분]]="휴직복직","",tblLeave[[#This Row],[교직원번호]]&amp;"|"&amp;tblLeave[[#This Row],[시작일]])</f>
        <v/>
      </c>
      <c r="I43" t="str">
        <f>IF(tblLeave[[#This Row],[휴직구분]]="휴직복직","",tblLeave[[#This Row],[종료일]]-tblLeave[[#This Row],[시작일]])</f>
        <v/>
      </c>
      <c r="J4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3" t="str">
        <f>IF(tblLeave[[#This Row],[휴직구분]]="휴직복직","",TEXT(tblLeave[[#This Row],[종료일]],"yyyy-mm"))</f>
        <v/>
      </c>
      <c r="L43" t="str">
        <f>IF(tblLeave[[#This Row],[휴직구분]]="휴직복직","",YEAR(tblLeave[[#This Row],[시작일]]))</f>
        <v/>
      </c>
      <c r="M4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3" t="str">
        <f>IF(tblLeave[[#This Row],[시작일]]&gt;tblLeave[[#This Row],[종료일]],"오류","")</f>
        <v/>
      </c>
    </row>
    <row r="44" spans="1:14" x14ac:dyDescent="0.3">
      <c r="A44">
        <v>900154</v>
      </c>
      <c r="B44" t="s">
        <v>39</v>
      </c>
      <c r="C44" t="s">
        <v>16</v>
      </c>
      <c r="D44">
        <v>3</v>
      </c>
      <c r="E44" t="s">
        <v>9</v>
      </c>
      <c r="F44" s="1">
        <v>45742</v>
      </c>
      <c r="G44" s="1">
        <v>2958465</v>
      </c>
      <c r="H44" t="str">
        <f>IF(tblLeave[[#This Row],[휴직구분]]="휴직복직","",tblLeave[[#This Row],[교직원번호]]&amp;"|"&amp;tblLeave[[#This Row],[시작일]])</f>
        <v/>
      </c>
      <c r="I44" t="str">
        <f>IF(tblLeave[[#This Row],[휴직구분]]="휴직복직","",tblLeave[[#This Row],[종료일]]-tblLeave[[#This Row],[시작일]])</f>
        <v/>
      </c>
      <c r="J4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4" t="str">
        <f>IF(tblLeave[[#This Row],[휴직구분]]="휴직복직","",TEXT(tblLeave[[#This Row],[종료일]],"yyyy-mm"))</f>
        <v/>
      </c>
      <c r="L44" t="str">
        <f>IF(tblLeave[[#This Row],[휴직구분]]="휴직복직","",YEAR(tblLeave[[#This Row],[시작일]]))</f>
        <v/>
      </c>
      <c r="M4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4" t="str">
        <f>IF(tblLeave[[#This Row],[시작일]]&gt;tblLeave[[#This Row],[종료일]],"오류","")</f>
        <v/>
      </c>
    </row>
    <row r="45" spans="1:14" x14ac:dyDescent="0.3">
      <c r="A45">
        <v>900154</v>
      </c>
      <c r="B45" t="s">
        <v>39</v>
      </c>
      <c r="C45" t="s">
        <v>16</v>
      </c>
      <c r="D45">
        <v>4</v>
      </c>
      <c r="E45" t="s">
        <v>17</v>
      </c>
      <c r="F45" s="1">
        <v>46164</v>
      </c>
      <c r="G45" s="1">
        <v>46713</v>
      </c>
      <c r="H45" t="str">
        <f>IF(tblLeave[[#This Row],[휴직구분]]="휴직복직","",tblLeave[[#This Row],[교직원번호]]&amp;"|"&amp;tblLeave[[#This Row],[시작일]])</f>
        <v>900154|46164</v>
      </c>
      <c r="I45">
        <f>IF(tblLeave[[#This Row],[휴직구분]]="휴직복직","",tblLeave[[#This Row],[종료일]]-tblLeave[[#This Row],[시작일]])</f>
        <v>549</v>
      </c>
      <c r="J4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45" t="str">
        <f>IF(tblLeave[[#This Row],[휴직구분]]="휴직복직","",TEXT(tblLeave[[#This Row],[종료일]],"yyyy-mm"))</f>
        <v>2027-11</v>
      </c>
      <c r="L45">
        <f>IF(tblLeave[[#This Row],[휴직구분]]="휴직복직","",YEAR(tblLeave[[#This Row],[시작일]]))</f>
        <v>2026</v>
      </c>
      <c r="M4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45" t="str">
        <f>IF(tblLeave[[#This Row],[시작일]]&gt;tblLeave[[#This Row],[종료일]],"오류","")</f>
        <v/>
      </c>
    </row>
    <row r="46" spans="1:14" x14ac:dyDescent="0.3">
      <c r="A46">
        <v>900161</v>
      </c>
      <c r="B46" t="s">
        <v>40</v>
      </c>
      <c r="C46" t="s">
        <v>8</v>
      </c>
      <c r="D46">
        <v>1</v>
      </c>
      <c r="E46" t="s">
        <v>9</v>
      </c>
      <c r="F46" s="1">
        <v>45780</v>
      </c>
      <c r="G46" s="1">
        <v>2958465</v>
      </c>
      <c r="H46" t="str">
        <f>IF(tblLeave[[#This Row],[휴직구분]]="휴직복직","",tblLeave[[#This Row],[교직원번호]]&amp;"|"&amp;tblLeave[[#This Row],[시작일]])</f>
        <v/>
      </c>
      <c r="I46" t="str">
        <f>IF(tblLeave[[#This Row],[휴직구분]]="휴직복직","",tblLeave[[#This Row],[종료일]]-tblLeave[[#This Row],[시작일]])</f>
        <v/>
      </c>
      <c r="J4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6" t="str">
        <f>IF(tblLeave[[#This Row],[휴직구분]]="휴직복직","",TEXT(tblLeave[[#This Row],[종료일]],"yyyy-mm"))</f>
        <v/>
      </c>
      <c r="L46" t="str">
        <f>IF(tblLeave[[#This Row],[휴직구분]]="휴직복직","",YEAR(tblLeave[[#This Row],[시작일]]))</f>
        <v/>
      </c>
      <c r="M4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6" t="str">
        <f>IF(tblLeave[[#This Row],[시작일]]&gt;tblLeave[[#This Row],[종료일]],"오류","")</f>
        <v/>
      </c>
    </row>
    <row r="47" spans="1:14" x14ac:dyDescent="0.3">
      <c r="A47">
        <v>900163</v>
      </c>
      <c r="B47" t="s">
        <v>41</v>
      </c>
      <c r="C47" t="s">
        <v>8</v>
      </c>
      <c r="D47">
        <v>1</v>
      </c>
      <c r="E47" t="s">
        <v>9</v>
      </c>
      <c r="F47" s="1">
        <v>45398</v>
      </c>
      <c r="G47" s="1">
        <v>2958465</v>
      </c>
      <c r="H47" t="str">
        <f>IF(tblLeave[[#This Row],[휴직구분]]="휴직복직","",tblLeave[[#This Row],[교직원번호]]&amp;"|"&amp;tblLeave[[#This Row],[시작일]])</f>
        <v/>
      </c>
      <c r="I47" t="str">
        <f>IF(tblLeave[[#This Row],[휴직구분]]="휴직복직","",tblLeave[[#This Row],[종료일]]-tblLeave[[#This Row],[시작일]])</f>
        <v/>
      </c>
      <c r="J4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7" t="str">
        <f>IF(tblLeave[[#This Row],[휴직구분]]="휴직복직","",TEXT(tblLeave[[#This Row],[종료일]],"yyyy-mm"))</f>
        <v/>
      </c>
      <c r="L47" t="str">
        <f>IF(tblLeave[[#This Row],[휴직구분]]="휴직복직","",YEAR(tblLeave[[#This Row],[시작일]]))</f>
        <v/>
      </c>
      <c r="M4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7" t="str">
        <f>IF(tblLeave[[#This Row],[시작일]]&gt;tblLeave[[#This Row],[종료일]],"오류","")</f>
        <v/>
      </c>
    </row>
    <row r="48" spans="1:14" x14ac:dyDescent="0.3">
      <c r="A48">
        <v>900164</v>
      </c>
      <c r="B48" t="s">
        <v>42</v>
      </c>
      <c r="C48" t="s">
        <v>8</v>
      </c>
      <c r="D48">
        <v>1</v>
      </c>
      <c r="E48" t="s">
        <v>9</v>
      </c>
      <c r="F48" s="1">
        <v>44973</v>
      </c>
      <c r="G48" s="1">
        <v>2958465</v>
      </c>
      <c r="H48" t="str">
        <f>IF(tblLeave[[#This Row],[휴직구분]]="휴직복직","",tblLeave[[#This Row],[교직원번호]]&amp;"|"&amp;tblLeave[[#This Row],[시작일]])</f>
        <v/>
      </c>
      <c r="I48" t="str">
        <f>IF(tblLeave[[#This Row],[휴직구분]]="휴직복직","",tblLeave[[#This Row],[종료일]]-tblLeave[[#This Row],[시작일]])</f>
        <v/>
      </c>
      <c r="J4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8" t="str">
        <f>IF(tblLeave[[#This Row],[휴직구분]]="휴직복직","",TEXT(tblLeave[[#This Row],[종료일]],"yyyy-mm"))</f>
        <v/>
      </c>
      <c r="L48" t="str">
        <f>IF(tblLeave[[#This Row],[휴직구분]]="휴직복직","",YEAR(tblLeave[[#This Row],[시작일]]))</f>
        <v/>
      </c>
      <c r="M4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8" t="str">
        <f>IF(tblLeave[[#This Row],[시작일]]&gt;tblLeave[[#This Row],[종료일]],"오류","")</f>
        <v/>
      </c>
    </row>
    <row r="49" spans="1:14" x14ac:dyDescent="0.3">
      <c r="A49">
        <v>900167</v>
      </c>
      <c r="B49" t="s">
        <v>43</v>
      </c>
      <c r="C49" t="s">
        <v>16</v>
      </c>
      <c r="D49">
        <v>1</v>
      </c>
      <c r="E49" t="s">
        <v>9</v>
      </c>
      <c r="F49" s="1">
        <v>45640</v>
      </c>
      <c r="G49" s="1">
        <v>2958465</v>
      </c>
      <c r="H49" t="str">
        <f>IF(tblLeave[[#This Row],[휴직구분]]="휴직복직","",tblLeave[[#This Row],[교직원번호]]&amp;"|"&amp;tblLeave[[#This Row],[시작일]])</f>
        <v/>
      </c>
      <c r="I49" t="str">
        <f>IF(tblLeave[[#This Row],[휴직구분]]="휴직복직","",tblLeave[[#This Row],[종료일]]-tblLeave[[#This Row],[시작일]])</f>
        <v/>
      </c>
      <c r="J4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49" t="str">
        <f>IF(tblLeave[[#This Row],[휴직구분]]="휴직복직","",TEXT(tblLeave[[#This Row],[종료일]],"yyyy-mm"))</f>
        <v/>
      </c>
      <c r="L49" t="str">
        <f>IF(tblLeave[[#This Row],[휴직구분]]="휴직복직","",YEAR(tblLeave[[#This Row],[시작일]]))</f>
        <v/>
      </c>
      <c r="M4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49" t="str">
        <f>IF(tblLeave[[#This Row],[시작일]]&gt;tblLeave[[#This Row],[종료일]],"오류","")</f>
        <v/>
      </c>
    </row>
    <row r="50" spans="1:14" x14ac:dyDescent="0.3">
      <c r="A50">
        <v>900167</v>
      </c>
      <c r="B50" t="s">
        <v>43</v>
      </c>
      <c r="C50" t="s">
        <v>16</v>
      </c>
      <c r="D50">
        <v>2</v>
      </c>
      <c r="E50" t="s">
        <v>9</v>
      </c>
      <c r="F50" s="1">
        <v>45754</v>
      </c>
      <c r="G50" s="1">
        <v>2958465</v>
      </c>
      <c r="H50" t="str">
        <f>IF(tblLeave[[#This Row],[휴직구분]]="휴직복직","",tblLeave[[#This Row],[교직원번호]]&amp;"|"&amp;tblLeave[[#This Row],[시작일]])</f>
        <v/>
      </c>
      <c r="I50" t="str">
        <f>IF(tblLeave[[#This Row],[휴직구분]]="휴직복직","",tblLeave[[#This Row],[종료일]]-tblLeave[[#This Row],[시작일]])</f>
        <v/>
      </c>
      <c r="J5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0" t="str">
        <f>IF(tblLeave[[#This Row],[휴직구분]]="휴직복직","",TEXT(tblLeave[[#This Row],[종료일]],"yyyy-mm"))</f>
        <v/>
      </c>
      <c r="L50" t="str">
        <f>IF(tblLeave[[#This Row],[휴직구분]]="휴직복직","",YEAR(tblLeave[[#This Row],[시작일]]))</f>
        <v/>
      </c>
      <c r="M5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0" t="str">
        <f>IF(tblLeave[[#This Row],[시작일]]&gt;tblLeave[[#This Row],[종료일]],"오류","")</f>
        <v/>
      </c>
    </row>
    <row r="51" spans="1:14" x14ac:dyDescent="0.3">
      <c r="A51">
        <v>900167</v>
      </c>
      <c r="B51" t="s">
        <v>43</v>
      </c>
      <c r="C51" t="s">
        <v>16</v>
      </c>
      <c r="D51">
        <v>3</v>
      </c>
      <c r="E51" t="s">
        <v>44</v>
      </c>
      <c r="F51" s="1">
        <v>46060</v>
      </c>
      <c r="G51" s="1">
        <v>46677</v>
      </c>
      <c r="H51" t="str">
        <f>IF(tblLeave[[#This Row],[휴직구분]]="휴직복직","",tblLeave[[#This Row],[교직원번호]]&amp;"|"&amp;tblLeave[[#This Row],[시작일]])</f>
        <v>900167|46060</v>
      </c>
      <c r="I51">
        <f>IF(tblLeave[[#This Row],[휴직구분]]="휴직복직","",tblLeave[[#This Row],[종료일]]-tblLeave[[#This Row],[시작일]])</f>
        <v>617</v>
      </c>
      <c r="J5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51" t="str">
        <f>IF(tblLeave[[#This Row],[휴직구분]]="휴직복직","",TEXT(tblLeave[[#This Row],[종료일]],"yyyy-mm"))</f>
        <v>2027-10</v>
      </c>
      <c r="L51">
        <f>IF(tblLeave[[#This Row],[휴직구분]]="휴직복직","",YEAR(tblLeave[[#This Row],[시작일]]))</f>
        <v>2026</v>
      </c>
      <c r="M5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51" t="str">
        <f>IF(tblLeave[[#This Row],[시작일]]&gt;tblLeave[[#This Row],[종료일]],"오류","")</f>
        <v/>
      </c>
    </row>
    <row r="52" spans="1:14" x14ac:dyDescent="0.3">
      <c r="A52">
        <v>900173</v>
      </c>
      <c r="B52" t="s">
        <v>45</v>
      </c>
      <c r="C52" t="s">
        <v>8</v>
      </c>
      <c r="D52">
        <v>1</v>
      </c>
      <c r="E52" t="s">
        <v>9</v>
      </c>
      <c r="F52" s="1">
        <v>45550</v>
      </c>
      <c r="G52" s="1">
        <v>2958465</v>
      </c>
      <c r="H52" t="str">
        <f>IF(tblLeave[[#This Row],[휴직구분]]="휴직복직","",tblLeave[[#This Row],[교직원번호]]&amp;"|"&amp;tblLeave[[#This Row],[시작일]])</f>
        <v/>
      </c>
      <c r="I52" t="str">
        <f>IF(tblLeave[[#This Row],[휴직구분]]="휴직복직","",tblLeave[[#This Row],[종료일]]-tblLeave[[#This Row],[시작일]])</f>
        <v/>
      </c>
      <c r="J5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2" t="str">
        <f>IF(tblLeave[[#This Row],[휴직구분]]="휴직복직","",TEXT(tblLeave[[#This Row],[종료일]],"yyyy-mm"))</f>
        <v/>
      </c>
      <c r="L52" t="str">
        <f>IF(tblLeave[[#This Row],[휴직구분]]="휴직복직","",YEAR(tblLeave[[#This Row],[시작일]]))</f>
        <v/>
      </c>
      <c r="M5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2" t="str">
        <f>IF(tblLeave[[#This Row],[시작일]]&gt;tblLeave[[#This Row],[종료일]],"오류","")</f>
        <v/>
      </c>
    </row>
    <row r="53" spans="1:14" x14ac:dyDescent="0.3">
      <c r="A53">
        <v>900181</v>
      </c>
      <c r="B53" t="s">
        <v>46</v>
      </c>
      <c r="C53" t="s">
        <v>8</v>
      </c>
      <c r="D53">
        <v>1</v>
      </c>
      <c r="E53" t="s">
        <v>9</v>
      </c>
      <c r="F53" s="1">
        <v>44805</v>
      </c>
      <c r="G53" s="1">
        <v>2958465</v>
      </c>
      <c r="H53" t="str">
        <f>IF(tblLeave[[#This Row],[휴직구분]]="휴직복직","",tblLeave[[#This Row],[교직원번호]]&amp;"|"&amp;tblLeave[[#This Row],[시작일]])</f>
        <v/>
      </c>
      <c r="I53" t="str">
        <f>IF(tblLeave[[#This Row],[휴직구분]]="휴직복직","",tblLeave[[#This Row],[종료일]]-tblLeave[[#This Row],[시작일]])</f>
        <v/>
      </c>
      <c r="J5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3" t="str">
        <f>IF(tblLeave[[#This Row],[휴직구분]]="휴직복직","",TEXT(tblLeave[[#This Row],[종료일]],"yyyy-mm"))</f>
        <v/>
      </c>
      <c r="L53" t="str">
        <f>IF(tblLeave[[#This Row],[휴직구분]]="휴직복직","",YEAR(tblLeave[[#This Row],[시작일]]))</f>
        <v/>
      </c>
      <c r="M5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3" t="str">
        <f>IF(tblLeave[[#This Row],[시작일]]&gt;tblLeave[[#This Row],[종료일]],"오류","")</f>
        <v/>
      </c>
    </row>
    <row r="54" spans="1:14" x14ac:dyDescent="0.3">
      <c r="A54">
        <v>900195</v>
      </c>
      <c r="B54" t="s">
        <v>47</v>
      </c>
      <c r="C54" t="s">
        <v>16</v>
      </c>
      <c r="D54">
        <v>1</v>
      </c>
      <c r="E54" t="s">
        <v>9</v>
      </c>
      <c r="F54" s="1">
        <v>44955</v>
      </c>
      <c r="G54" s="1">
        <v>2958465</v>
      </c>
      <c r="H54" t="str">
        <f>IF(tblLeave[[#This Row],[휴직구분]]="휴직복직","",tblLeave[[#This Row],[교직원번호]]&amp;"|"&amp;tblLeave[[#This Row],[시작일]])</f>
        <v/>
      </c>
      <c r="I54" t="str">
        <f>IF(tblLeave[[#This Row],[휴직구분]]="휴직복직","",tblLeave[[#This Row],[종료일]]-tblLeave[[#This Row],[시작일]])</f>
        <v/>
      </c>
      <c r="J5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4" t="str">
        <f>IF(tblLeave[[#This Row],[휴직구분]]="휴직복직","",TEXT(tblLeave[[#This Row],[종료일]],"yyyy-mm"))</f>
        <v/>
      </c>
      <c r="L54" t="str">
        <f>IF(tblLeave[[#This Row],[휴직구분]]="휴직복직","",YEAR(tblLeave[[#This Row],[시작일]]))</f>
        <v/>
      </c>
      <c r="M5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4" t="str">
        <f>IF(tblLeave[[#This Row],[시작일]]&gt;tblLeave[[#This Row],[종료일]],"오류","")</f>
        <v/>
      </c>
    </row>
    <row r="55" spans="1:14" x14ac:dyDescent="0.3">
      <c r="A55">
        <v>900195</v>
      </c>
      <c r="B55" t="s">
        <v>47</v>
      </c>
      <c r="C55" t="s">
        <v>16</v>
      </c>
      <c r="D55">
        <v>2</v>
      </c>
      <c r="E55" t="s">
        <v>9</v>
      </c>
      <c r="F55" s="1">
        <v>45686</v>
      </c>
      <c r="G55" s="1">
        <v>2958465</v>
      </c>
      <c r="H55" t="str">
        <f>IF(tblLeave[[#This Row],[휴직구분]]="휴직복직","",tblLeave[[#This Row],[교직원번호]]&amp;"|"&amp;tblLeave[[#This Row],[시작일]])</f>
        <v/>
      </c>
      <c r="I55" t="str">
        <f>IF(tblLeave[[#This Row],[휴직구분]]="휴직복직","",tblLeave[[#This Row],[종료일]]-tblLeave[[#This Row],[시작일]])</f>
        <v/>
      </c>
      <c r="J5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5" t="str">
        <f>IF(tblLeave[[#This Row],[휴직구분]]="휴직복직","",TEXT(tblLeave[[#This Row],[종료일]],"yyyy-mm"))</f>
        <v/>
      </c>
      <c r="L55" t="str">
        <f>IF(tblLeave[[#This Row],[휴직구분]]="휴직복직","",YEAR(tblLeave[[#This Row],[시작일]]))</f>
        <v/>
      </c>
      <c r="M5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5" t="str">
        <f>IF(tblLeave[[#This Row],[시작일]]&gt;tblLeave[[#This Row],[종료일]],"오류","")</f>
        <v/>
      </c>
    </row>
    <row r="56" spans="1:14" x14ac:dyDescent="0.3">
      <c r="A56">
        <v>900195</v>
      </c>
      <c r="B56" t="s">
        <v>47</v>
      </c>
      <c r="C56" t="s">
        <v>16</v>
      </c>
      <c r="D56">
        <v>3</v>
      </c>
      <c r="E56" t="s">
        <v>17</v>
      </c>
      <c r="F56" s="1">
        <v>46178</v>
      </c>
      <c r="G56" s="1">
        <v>46543</v>
      </c>
      <c r="H56" t="str">
        <f>IF(tblLeave[[#This Row],[휴직구분]]="휴직복직","",tblLeave[[#This Row],[교직원번호]]&amp;"|"&amp;tblLeave[[#This Row],[시작일]])</f>
        <v>900195|46178</v>
      </c>
      <c r="I56">
        <f>IF(tblLeave[[#This Row],[휴직구분]]="휴직복직","",tblLeave[[#This Row],[종료일]]-tblLeave[[#This Row],[시작일]])</f>
        <v>365</v>
      </c>
      <c r="J5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56" t="str">
        <f>IF(tblLeave[[#This Row],[휴직구분]]="휴직복직","",TEXT(tblLeave[[#This Row],[종료일]],"yyyy-mm"))</f>
        <v>2027-06</v>
      </c>
      <c r="L56">
        <f>IF(tblLeave[[#This Row],[휴직구분]]="휴직복직","",YEAR(tblLeave[[#This Row],[시작일]]))</f>
        <v>2026</v>
      </c>
      <c r="M5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56" t="str">
        <f>IF(tblLeave[[#This Row],[시작일]]&gt;tblLeave[[#This Row],[종료일]],"오류","")</f>
        <v/>
      </c>
    </row>
    <row r="57" spans="1:14" x14ac:dyDescent="0.3">
      <c r="A57">
        <v>900200</v>
      </c>
      <c r="B57" t="s">
        <v>48</v>
      </c>
      <c r="C57" t="s">
        <v>8</v>
      </c>
      <c r="D57">
        <v>1</v>
      </c>
      <c r="E57" t="s">
        <v>9</v>
      </c>
      <c r="F57" s="1">
        <v>45349</v>
      </c>
      <c r="G57" s="1">
        <v>2958465</v>
      </c>
      <c r="H57" t="str">
        <f>IF(tblLeave[[#This Row],[휴직구분]]="휴직복직","",tblLeave[[#This Row],[교직원번호]]&amp;"|"&amp;tblLeave[[#This Row],[시작일]])</f>
        <v/>
      </c>
      <c r="I57" t="str">
        <f>IF(tblLeave[[#This Row],[휴직구분]]="휴직복직","",tblLeave[[#This Row],[종료일]]-tblLeave[[#This Row],[시작일]])</f>
        <v/>
      </c>
      <c r="J5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7" t="str">
        <f>IF(tblLeave[[#This Row],[휴직구분]]="휴직복직","",TEXT(tblLeave[[#This Row],[종료일]],"yyyy-mm"))</f>
        <v/>
      </c>
      <c r="L57" t="str">
        <f>IF(tblLeave[[#This Row],[휴직구분]]="휴직복직","",YEAR(tblLeave[[#This Row],[시작일]]))</f>
        <v/>
      </c>
      <c r="M5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7" t="str">
        <f>IF(tblLeave[[#This Row],[시작일]]&gt;tblLeave[[#This Row],[종료일]],"오류","")</f>
        <v/>
      </c>
    </row>
    <row r="58" spans="1:14" x14ac:dyDescent="0.3">
      <c r="A58">
        <v>900206</v>
      </c>
      <c r="B58" t="s">
        <v>49</v>
      </c>
      <c r="C58" t="s">
        <v>8</v>
      </c>
      <c r="D58">
        <v>1</v>
      </c>
      <c r="E58" t="s">
        <v>9</v>
      </c>
      <c r="F58" s="1">
        <v>45796</v>
      </c>
      <c r="G58" s="1">
        <v>2958465</v>
      </c>
      <c r="H58" t="str">
        <f>IF(tblLeave[[#This Row],[휴직구분]]="휴직복직","",tblLeave[[#This Row],[교직원번호]]&amp;"|"&amp;tblLeave[[#This Row],[시작일]])</f>
        <v/>
      </c>
      <c r="I58" t="str">
        <f>IF(tblLeave[[#This Row],[휴직구분]]="휴직복직","",tblLeave[[#This Row],[종료일]]-tblLeave[[#This Row],[시작일]])</f>
        <v/>
      </c>
      <c r="J5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8" t="str">
        <f>IF(tblLeave[[#This Row],[휴직구분]]="휴직복직","",TEXT(tblLeave[[#This Row],[종료일]],"yyyy-mm"))</f>
        <v/>
      </c>
      <c r="L58" t="str">
        <f>IF(tblLeave[[#This Row],[휴직구분]]="휴직복직","",YEAR(tblLeave[[#This Row],[시작일]]))</f>
        <v/>
      </c>
      <c r="M5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8" t="str">
        <f>IF(tblLeave[[#This Row],[시작일]]&gt;tblLeave[[#This Row],[종료일]],"오류","")</f>
        <v/>
      </c>
    </row>
    <row r="59" spans="1:14" x14ac:dyDescent="0.3">
      <c r="A59">
        <v>900208</v>
      </c>
      <c r="B59" t="s">
        <v>50</v>
      </c>
      <c r="C59" t="s">
        <v>16</v>
      </c>
      <c r="D59">
        <v>1</v>
      </c>
      <c r="E59" t="s">
        <v>9</v>
      </c>
      <c r="F59" s="1">
        <v>46013</v>
      </c>
      <c r="G59" s="1">
        <v>2958465</v>
      </c>
      <c r="H59" t="str">
        <f>IF(tblLeave[[#This Row],[휴직구분]]="휴직복직","",tblLeave[[#This Row],[교직원번호]]&amp;"|"&amp;tblLeave[[#This Row],[시작일]])</f>
        <v/>
      </c>
      <c r="I59" t="str">
        <f>IF(tblLeave[[#This Row],[휴직구분]]="휴직복직","",tblLeave[[#This Row],[종료일]]-tblLeave[[#This Row],[시작일]])</f>
        <v/>
      </c>
      <c r="J5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59" t="str">
        <f>IF(tblLeave[[#This Row],[휴직구분]]="휴직복직","",TEXT(tblLeave[[#This Row],[종료일]],"yyyy-mm"))</f>
        <v/>
      </c>
      <c r="L59" t="str">
        <f>IF(tblLeave[[#This Row],[휴직구분]]="휴직복직","",YEAR(tblLeave[[#This Row],[시작일]]))</f>
        <v/>
      </c>
      <c r="M5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59" t="str">
        <f>IF(tblLeave[[#This Row],[시작일]]&gt;tblLeave[[#This Row],[종료일]],"오류","")</f>
        <v/>
      </c>
    </row>
    <row r="60" spans="1:14" x14ac:dyDescent="0.3">
      <c r="A60">
        <v>900208</v>
      </c>
      <c r="B60" t="s">
        <v>50</v>
      </c>
      <c r="C60" t="s">
        <v>16</v>
      </c>
      <c r="D60">
        <v>2</v>
      </c>
      <c r="E60" t="s">
        <v>51</v>
      </c>
      <c r="F60" s="1">
        <v>45945</v>
      </c>
      <c r="G60" s="1">
        <v>46492</v>
      </c>
      <c r="H60" t="str">
        <f>IF(tblLeave[[#This Row],[휴직구분]]="휴직복직","",tblLeave[[#This Row],[교직원번호]]&amp;"|"&amp;tblLeave[[#This Row],[시작일]])</f>
        <v>900208|45945</v>
      </c>
      <c r="I60">
        <f>IF(tblLeave[[#This Row],[휴직구분]]="휴직복직","",tblLeave[[#This Row],[종료일]]-tblLeave[[#This Row],[시작일]])</f>
        <v>547</v>
      </c>
      <c r="J6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60" t="str">
        <f>IF(tblLeave[[#This Row],[휴직구분]]="휴직복직","",TEXT(tblLeave[[#This Row],[종료일]],"yyyy-mm"))</f>
        <v>2027-04</v>
      </c>
      <c r="L60">
        <f>IF(tblLeave[[#This Row],[휴직구분]]="휴직복직","",YEAR(tblLeave[[#This Row],[시작일]]))</f>
        <v>2025</v>
      </c>
      <c r="M6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60" t="str">
        <f>IF(tblLeave[[#This Row],[시작일]]&gt;tblLeave[[#This Row],[종료일]],"오류","")</f>
        <v/>
      </c>
    </row>
    <row r="61" spans="1:14" x14ac:dyDescent="0.3">
      <c r="A61">
        <v>900209</v>
      </c>
      <c r="B61" t="s">
        <v>52</v>
      </c>
      <c r="C61" t="s">
        <v>8</v>
      </c>
      <c r="D61">
        <v>1</v>
      </c>
      <c r="E61" t="s">
        <v>9</v>
      </c>
      <c r="F61" s="1">
        <v>45433</v>
      </c>
      <c r="G61" s="1">
        <v>2958465</v>
      </c>
      <c r="H61" t="str">
        <f>IF(tblLeave[[#This Row],[휴직구분]]="휴직복직","",tblLeave[[#This Row],[교직원번호]]&amp;"|"&amp;tblLeave[[#This Row],[시작일]])</f>
        <v/>
      </c>
      <c r="I61" t="str">
        <f>IF(tblLeave[[#This Row],[휴직구분]]="휴직복직","",tblLeave[[#This Row],[종료일]]-tblLeave[[#This Row],[시작일]])</f>
        <v/>
      </c>
      <c r="J6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1" t="str">
        <f>IF(tblLeave[[#This Row],[휴직구분]]="휴직복직","",TEXT(tblLeave[[#This Row],[종료일]],"yyyy-mm"))</f>
        <v/>
      </c>
      <c r="L61" t="str">
        <f>IF(tblLeave[[#This Row],[휴직구분]]="휴직복직","",YEAR(tblLeave[[#This Row],[시작일]]))</f>
        <v/>
      </c>
      <c r="M6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1" t="str">
        <f>IF(tblLeave[[#This Row],[시작일]]&gt;tblLeave[[#This Row],[종료일]],"오류","")</f>
        <v/>
      </c>
    </row>
    <row r="62" spans="1:14" x14ac:dyDescent="0.3">
      <c r="A62">
        <v>900213</v>
      </c>
      <c r="B62" t="s">
        <v>53</v>
      </c>
      <c r="C62" t="s">
        <v>8</v>
      </c>
      <c r="D62">
        <v>1</v>
      </c>
      <c r="E62" t="s">
        <v>9</v>
      </c>
      <c r="F62" s="1">
        <v>45063</v>
      </c>
      <c r="G62" s="1">
        <v>2958465</v>
      </c>
      <c r="H62" t="str">
        <f>IF(tblLeave[[#This Row],[휴직구분]]="휴직복직","",tblLeave[[#This Row],[교직원번호]]&amp;"|"&amp;tblLeave[[#This Row],[시작일]])</f>
        <v/>
      </c>
      <c r="I62" t="str">
        <f>IF(tblLeave[[#This Row],[휴직구분]]="휴직복직","",tblLeave[[#This Row],[종료일]]-tblLeave[[#This Row],[시작일]])</f>
        <v/>
      </c>
      <c r="J6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2" t="str">
        <f>IF(tblLeave[[#This Row],[휴직구분]]="휴직복직","",TEXT(tblLeave[[#This Row],[종료일]],"yyyy-mm"))</f>
        <v/>
      </c>
      <c r="L62" t="str">
        <f>IF(tblLeave[[#This Row],[휴직구분]]="휴직복직","",YEAR(tblLeave[[#This Row],[시작일]]))</f>
        <v/>
      </c>
      <c r="M6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2" t="str">
        <f>IF(tblLeave[[#This Row],[시작일]]&gt;tblLeave[[#This Row],[종료일]],"오류","")</f>
        <v/>
      </c>
    </row>
    <row r="63" spans="1:14" x14ac:dyDescent="0.3">
      <c r="A63">
        <v>900223</v>
      </c>
      <c r="B63" t="s">
        <v>54</v>
      </c>
      <c r="C63" t="s">
        <v>8</v>
      </c>
      <c r="D63">
        <v>1</v>
      </c>
      <c r="E63" t="s">
        <v>9</v>
      </c>
      <c r="F63" s="1">
        <v>45704</v>
      </c>
      <c r="G63" s="1">
        <v>2958465</v>
      </c>
      <c r="H63" t="str">
        <f>IF(tblLeave[[#This Row],[휴직구분]]="휴직복직","",tblLeave[[#This Row],[교직원번호]]&amp;"|"&amp;tblLeave[[#This Row],[시작일]])</f>
        <v/>
      </c>
      <c r="I63" t="str">
        <f>IF(tblLeave[[#This Row],[휴직구분]]="휴직복직","",tblLeave[[#This Row],[종료일]]-tblLeave[[#This Row],[시작일]])</f>
        <v/>
      </c>
      <c r="J6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3" t="str">
        <f>IF(tblLeave[[#This Row],[휴직구분]]="휴직복직","",TEXT(tblLeave[[#This Row],[종료일]],"yyyy-mm"))</f>
        <v/>
      </c>
      <c r="L63" t="str">
        <f>IF(tblLeave[[#This Row],[휴직구분]]="휴직복직","",YEAR(tblLeave[[#This Row],[시작일]]))</f>
        <v/>
      </c>
      <c r="M6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3" t="str">
        <f>IF(tblLeave[[#This Row],[시작일]]&gt;tblLeave[[#This Row],[종료일]],"오류","")</f>
        <v/>
      </c>
    </row>
    <row r="64" spans="1:14" x14ac:dyDescent="0.3">
      <c r="A64">
        <v>900227</v>
      </c>
      <c r="B64" t="s">
        <v>55</v>
      </c>
      <c r="C64" t="s">
        <v>16</v>
      </c>
      <c r="D64">
        <v>1</v>
      </c>
      <c r="E64" t="s">
        <v>9</v>
      </c>
      <c r="F64" s="1">
        <v>45645</v>
      </c>
      <c r="G64" s="1">
        <v>2958465</v>
      </c>
      <c r="H64" t="str">
        <f>IF(tblLeave[[#This Row],[휴직구분]]="휴직복직","",tblLeave[[#This Row],[교직원번호]]&amp;"|"&amp;tblLeave[[#This Row],[시작일]])</f>
        <v/>
      </c>
      <c r="I64" t="str">
        <f>IF(tblLeave[[#This Row],[휴직구분]]="휴직복직","",tblLeave[[#This Row],[종료일]]-tblLeave[[#This Row],[시작일]])</f>
        <v/>
      </c>
      <c r="J6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4" t="str">
        <f>IF(tblLeave[[#This Row],[휴직구분]]="휴직복직","",TEXT(tblLeave[[#This Row],[종료일]],"yyyy-mm"))</f>
        <v/>
      </c>
      <c r="L64" t="str">
        <f>IF(tblLeave[[#This Row],[휴직구분]]="휴직복직","",YEAR(tblLeave[[#This Row],[시작일]]))</f>
        <v/>
      </c>
      <c r="M6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4" t="str">
        <f>IF(tblLeave[[#This Row],[시작일]]&gt;tblLeave[[#This Row],[종료일]],"오류","")</f>
        <v/>
      </c>
    </row>
    <row r="65" spans="1:14" x14ac:dyDescent="0.3">
      <c r="A65">
        <v>900227</v>
      </c>
      <c r="B65" t="s">
        <v>55</v>
      </c>
      <c r="C65" t="s">
        <v>16</v>
      </c>
      <c r="D65">
        <v>2</v>
      </c>
      <c r="E65" t="s">
        <v>17</v>
      </c>
      <c r="F65" s="1">
        <v>46243</v>
      </c>
      <c r="G65" s="1">
        <v>46792</v>
      </c>
      <c r="H65" t="str">
        <f>IF(tblLeave[[#This Row],[휴직구분]]="휴직복직","",tblLeave[[#This Row],[교직원번호]]&amp;"|"&amp;tblLeave[[#This Row],[시작일]])</f>
        <v>900227|46243</v>
      </c>
      <c r="I65">
        <f>IF(tblLeave[[#This Row],[휴직구분]]="휴직복직","",tblLeave[[#This Row],[종료일]]-tblLeave[[#This Row],[시작일]])</f>
        <v>549</v>
      </c>
      <c r="J6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65" t="str">
        <f>IF(tblLeave[[#This Row],[휴직구분]]="휴직복직","",TEXT(tblLeave[[#This Row],[종료일]],"yyyy-mm"))</f>
        <v>2028-02</v>
      </c>
      <c r="L65">
        <f>IF(tblLeave[[#This Row],[휴직구분]]="휴직복직","",YEAR(tblLeave[[#This Row],[시작일]]))</f>
        <v>2026</v>
      </c>
      <c r="M6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65" t="str">
        <f>IF(tblLeave[[#This Row],[시작일]]&gt;tblLeave[[#This Row],[종료일]],"오류","")</f>
        <v/>
      </c>
    </row>
    <row r="66" spans="1:14" x14ac:dyDescent="0.3">
      <c r="A66">
        <v>900230</v>
      </c>
      <c r="B66" t="s">
        <v>56</v>
      </c>
      <c r="C66" t="s">
        <v>8</v>
      </c>
      <c r="D66">
        <v>1</v>
      </c>
      <c r="E66" t="s">
        <v>9</v>
      </c>
      <c r="F66" s="1">
        <v>45685</v>
      </c>
      <c r="G66" s="1">
        <v>2958465</v>
      </c>
      <c r="H66" t="str">
        <f>IF(tblLeave[[#This Row],[휴직구분]]="휴직복직","",tblLeave[[#This Row],[교직원번호]]&amp;"|"&amp;tblLeave[[#This Row],[시작일]])</f>
        <v/>
      </c>
      <c r="I66" t="str">
        <f>IF(tblLeave[[#This Row],[휴직구분]]="휴직복직","",tblLeave[[#This Row],[종료일]]-tblLeave[[#This Row],[시작일]])</f>
        <v/>
      </c>
      <c r="J6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6" t="str">
        <f>IF(tblLeave[[#This Row],[휴직구분]]="휴직복직","",TEXT(tblLeave[[#This Row],[종료일]],"yyyy-mm"))</f>
        <v/>
      </c>
      <c r="L66" t="str">
        <f>IF(tblLeave[[#This Row],[휴직구분]]="휴직복직","",YEAR(tblLeave[[#This Row],[시작일]]))</f>
        <v/>
      </c>
      <c r="M6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6" t="str">
        <f>IF(tblLeave[[#This Row],[시작일]]&gt;tblLeave[[#This Row],[종료일]],"오류","")</f>
        <v/>
      </c>
    </row>
    <row r="67" spans="1:14" x14ac:dyDescent="0.3">
      <c r="A67">
        <v>900235</v>
      </c>
      <c r="B67" t="s">
        <v>57</v>
      </c>
      <c r="C67" t="s">
        <v>8</v>
      </c>
      <c r="D67">
        <v>1</v>
      </c>
      <c r="E67" t="s">
        <v>9</v>
      </c>
      <c r="F67" s="1">
        <v>45949</v>
      </c>
      <c r="G67" s="1">
        <v>2958465</v>
      </c>
      <c r="H67" t="str">
        <f>IF(tblLeave[[#This Row],[휴직구분]]="휴직복직","",tblLeave[[#This Row],[교직원번호]]&amp;"|"&amp;tblLeave[[#This Row],[시작일]])</f>
        <v/>
      </c>
      <c r="I67" t="str">
        <f>IF(tblLeave[[#This Row],[휴직구분]]="휴직복직","",tblLeave[[#This Row],[종료일]]-tblLeave[[#This Row],[시작일]])</f>
        <v/>
      </c>
      <c r="J6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67" t="str">
        <f>IF(tblLeave[[#This Row],[휴직구분]]="휴직복직","",TEXT(tblLeave[[#This Row],[종료일]],"yyyy-mm"))</f>
        <v/>
      </c>
      <c r="L67" t="str">
        <f>IF(tblLeave[[#This Row],[휴직구분]]="휴직복직","",YEAR(tblLeave[[#This Row],[시작일]]))</f>
        <v/>
      </c>
      <c r="M6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67" t="str">
        <f>IF(tblLeave[[#This Row],[시작일]]&gt;tblLeave[[#This Row],[종료일]],"오류","")</f>
        <v/>
      </c>
    </row>
    <row r="68" spans="1:14" x14ac:dyDescent="0.3">
      <c r="A68">
        <v>900244</v>
      </c>
      <c r="B68" t="s">
        <v>58</v>
      </c>
      <c r="C68" t="s">
        <v>16</v>
      </c>
      <c r="D68">
        <v>1</v>
      </c>
      <c r="E68" t="s">
        <v>37</v>
      </c>
      <c r="F68" s="1">
        <v>45963</v>
      </c>
      <c r="G68" s="1">
        <v>46328</v>
      </c>
      <c r="H68" t="str">
        <f>IF(tblLeave[[#This Row],[휴직구분]]="휴직복직","",tblLeave[[#This Row],[교직원번호]]&amp;"|"&amp;tblLeave[[#This Row],[시작일]])</f>
        <v>900244|45963</v>
      </c>
      <c r="I68">
        <f>IF(tblLeave[[#This Row],[휴직구분]]="휴직복직","",tblLeave[[#This Row],[종료일]]-tblLeave[[#This Row],[시작일]])</f>
        <v>365</v>
      </c>
      <c r="J6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68" t="str">
        <f>IF(tblLeave[[#This Row],[휴직구분]]="휴직복직","",TEXT(tblLeave[[#This Row],[종료일]],"yyyy-mm"))</f>
        <v>2026-11</v>
      </c>
      <c r="L68">
        <f>IF(tblLeave[[#This Row],[휴직구분]]="휴직복직","",YEAR(tblLeave[[#This Row],[시작일]]))</f>
        <v>2025</v>
      </c>
      <c r="M6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68" t="str">
        <f>IF(tblLeave[[#This Row],[시작일]]&gt;tblLeave[[#This Row],[종료일]],"오류","")</f>
        <v/>
      </c>
    </row>
    <row r="69" spans="1:14" x14ac:dyDescent="0.3">
      <c r="A69">
        <v>900259</v>
      </c>
      <c r="B69" t="s">
        <v>59</v>
      </c>
      <c r="C69" t="s">
        <v>16</v>
      </c>
      <c r="D69">
        <v>1</v>
      </c>
      <c r="E69" t="s">
        <v>17</v>
      </c>
      <c r="F69" s="1">
        <v>46160</v>
      </c>
      <c r="G69" s="1">
        <v>46891</v>
      </c>
      <c r="H69" t="str">
        <f>IF(tblLeave[[#This Row],[휴직구분]]="휴직복직","",tblLeave[[#This Row],[교직원번호]]&amp;"|"&amp;tblLeave[[#This Row],[시작일]])</f>
        <v>900259|46160</v>
      </c>
      <c r="I69">
        <f>IF(tblLeave[[#This Row],[휴직구분]]="휴직복직","",tblLeave[[#This Row],[종료일]]-tblLeave[[#This Row],[시작일]])</f>
        <v>731</v>
      </c>
      <c r="J6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69" t="str">
        <f>IF(tblLeave[[#This Row],[휴직구분]]="휴직복직","",TEXT(tblLeave[[#This Row],[종료일]],"yyyy-mm"))</f>
        <v>2028-05</v>
      </c>
      <c r="L69">
        <f>IF(tblLeave[[#This Row],[휴직구분]]="휴직복직","",YEAR(tblLeave[[#This Row],[시작일]]))</f>
        <v>2026</v>
      </c>
      <c r="M6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69" t="str">
        <f>IF(tblLeave[[#This Row],[시작일]]&gt;tblLeave[[#This Row],[종료일]],"오류","")</f>
        <v/>
      </c>
    </row>
    <row r="70" spans="1:14" x14ac:dyDescent="0.3">
      <c r="A70">
        <v>900260</v>
      </c>
      <c r="B70" t="s">
        <v>60</v>
      </c>
      <c r="C70" t="s">
        <v>8</v>
      </c>
      <c r="D70">
        <v>1</v>
      </c>
      <c r="E70" t="s">
        <v>9</v>
      </c>
      <c r="F70" s="1">
        <v>45910</v>
      </c>
      <c r="G70" s="1">
        <v>2958465</v>
      </c>
      <c r="H70" t="str">
        <f>IF(tblLeave[[#This Row],[휴직구분]]="휴직복직","",tblLeave[[#This Row],[교직원번호]]&amp;"|"&amp;tblLeave[[#This Row],[시작일]])</f>
        <v/>
      </c>
      <c r="I70" t="str">
        <f>IF(tblLeave[[#This Row],[휴직구분]]="휴직복직","",tblLeave[[#This Row],[종료일]]-tblLeave[[#This Row],[시작일]])</f>
        <v/>
      </c>
      <c r="J7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0" t="str">
        <f>IF(tblLeave[[#This Row],[휴직구분]]="휴직복직","",TEXT(tblLeave[[#This Row],[종료일]],"yyyy-mm"))</f>
        <v/>
      </c>
      <c r="L70" t="str">
        <f>IF(tblLeave[[#This Row],[휴직구분]]="휴직복직","",YEAR(tblLeave[[#This Row],[시작일]]))</f>
        <v/>
      </c>
      <c r="M7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0" t="str">
        <f>IF(tblLeave[[#This Row],[시작일]]&gt;tblLeave[[#This Row],[종료일]],"오류","")</f>
        <v/>
      </c>
    </row>
    <row r="71" spans="1:14" x14ac:dyDescent="0.3">
      <c r="A71">
        <v>900262</v>
      </c>
      <c r="B71" t="s">
        <v>61</v>
      </c>
      <c r="C71" t="s">
        <v>16</v>
      </c>
      <c r="D71">
        <v>1</v>
      </c>
      <c r="E71" t="s">
        <v>9</v>
      </c>
      <c r="F71" s="1">
        <v>45905</v>
      </c>
      <c r="G71" s="1">
        <v>2958465</v>
      </c>
      <c r="H71" t="str">
        <f>IF(tblLeave[[#This Row],[휴직구분]]="휴직복직","",tblLeave[[#This Row],[교직원번호]]&amp;"|"&amp;tblLeave[[#This Row],[시작일]])</f>
        <v/>
      </c>
      <c r="I71" t="str">
        <f>IF(tblLeave[[#This Row],[휴직구분]]="휴직복직","",tblLeave[[#This Row],[종료일]]-tblLeave[[#This Row],[시작일]])</f>
        <v/>
      </c>
      <c r="J7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1" t="str">
        <f>IF(tblLeave[[#This Row],[휴직구분]]="휴직복직","",TEXT(tblLeave[[#This Row],[종료일]],"yyyy-mm"))</f>
        <v/>
      </c>
      <c r="L71" t="str">
        <f>IF(tblLeave[[#This Row],[휴직구분]]="휴직복직","",YEAR(tblLeave[[#This Row],[시작일]]))</f>
        <v/>
      </c>
      <c r="M7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1" t="str">
        <f>IF(tblLeave[[#This Row],[시작일]]&gt;tblLeave[[#This Row],[종료일]],"오류","")</f>
        <v/>
      </c>
    </row>
    <row r="72" spans="1:14" x14ac:dyDescent="0.3">
      <c r="A72">
        <v>900262</v>
      </c>
      <c r="B72" t="s">
        <v>61</v>
      </c>
      <c r="C72" t="s">
        <v>16</v>
      </c>
      <c r="D72">
        <v>2</v>
      </c>
      <c r="E72" t="s">
        <v>9</v>
      </c>
      <c r="F72" s="1">
        <v>45195</v>
      </c>
      <c r="G72" s="1">
        <v>2958465</v>
      </c>
      <c r="H72" t="str">
        <f>IF(tblLeave[[#This Row],[휴직구분]]="휴직복직","",tblLeave[[#This Row],[교직원번호]]&amp;"|"&amp;tblLeave[[#This Row],[시작일]])</f>
        <v/>
      </c>
      <c r="I72" t="str">
        <f>IF(tblLeave[[#This Row],[휴직구분]]="휴직복직","",tblLeave[[#This Row],[종료일]]-tblLeave[[#This Row],[시작일]])</f>
        <v/>
      </c>
      <c r="J7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2" t="str">
        <f>IF(tblLeave[[#This Row],[휴직구분]]="휴직복직","",TEXT(tblLeave[[#This Row],[종료일]],"yyyy-mm"))</f>
        <v/>
      </c>
      <c r="L72" t="str">
        <f>IF(tblLeave[[#This Row],[휴직구분]]="휴직복직","",YEAR(tblLeave[[#This Row],[시작일]]))</f>
        <v/>
      </c>
      <c r="M7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2" t="str">
        <f>IF(tblLeave[[#This Row],[시작일]]&gt;tblLeave[[#This Row],[종료일]],"오류","")</f>
        <v/>
      </c>
    </row>
    <row r="73" spans="1:14" x14ac:dyDescent="0.3">
      <c r="A73">
        <v>900262</v>
      </c>
      <c r="B73" t="s">
        <v>61</v>
      </c>
      <c r="C73" t="s">
        <v>16</v>
      </c>
      <c r="D73">
        <v>3</v>
      </c>
      <c r="E73" t="s">
        <v>9</v>
      </c>
      <c r="F73" s="1">
        <v>45519</v>
      </c>
      <c r="G73" s="1">
        <v>2958465</v>
      </c>
      <c r="H73" t="str">
        <f>IF(tblLeave[[#This Row],[휴직구분]]="휴직복직","",tblLeave[[#This Row],[교직원번호]]&amp;"|"&amp;tblLeave[[#This Row],[시작일]])</f>
        <v/>
      </c>
      <c r="I73" t="str">
        <f>IF(tblLeave[[#This Row],[휴직구분]]="휴직복직","",tblLeave[[#This Row],[종료일]]-tblLeave[[#This Row],[시작일]])</f>
        <v/>
      </c>
      <c r="J7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3" t="str">
        <f>IF(tblLeave[[#This Row],[휴직구분]]="휴직복직","",TEXT(tblLeave[[#This Row],[종료일]],"yyyy-mm"))</f>
        <v/>
      </c>
      <c r="L73" t="str">
        <f>IF(tblLeave[[#This Row],[휴직구분]]="휴직복직","",YEAR(tblLeave[[#This Row],[시작일]]))</f>
        <v/>
      </c>
      <c r="M7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3" t="str">
        <f>IF(tblLeave[[#This Row],[시작일]]&gt;tblLeave[[#This Row],[종료일]],"오류","")</f>
        <v/>
      </c>
    </row>
    <row r="74" spans="1:14" x14ac:dyDescent="0.3">
      <c r="A74">
        <v>900262</v>
      </c>
      <c r="B74" t="s">
        <v>61</v>
      </c>
      <c r="C74" t="s">
        <v>16</v>
      </c>
      <c r="D74">
        <v>4</v>
      </c>
      <c r="E74" t="s">
        <v>17</v>
      </c>
      <c r="F74" s="1">
        <v>46077</v>
      </c>
      <c r="G74" s="1">
        <v>46623</v>
      </c>
      <c r="H74" t="str">
        <f>IF(tblLeave[[#This Row],[휴직구분]]="휴직복직","",tblLeave[[#This Row],[교직원번호]]&amp;"|"&amp;tblLeave[[#This Row],[시작일]])</f>
        <v>900262|46077</v>
      </c>
      <c r="I74">
        <f>IF(tblLeave[[#This Row],[휴직구분]]="휴직복직","",tblLeave[[#This Row],[종료일]]-tblLeave[[#This Row],[시작일]])</f>
        <v>546</v>
      </c>
      <c r="J7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74" t="str">
        <f>IF(tblLeave[[#This Row],[휴직구분]]="휴직복직","",TEXT(tblLeave[[#This Row],[종료일]],"yyyy-mm"))</f>
        <v>2027-08</v>
      </c>
      <c r="L74">
        <f>IF(tblLeave[[#This Row],[휴직구분]]="휴직복직","",YEAR(tblLeave[[#This Row],[시작일]]))</f>
        <v>2026</v>
      </c>
      <c r="M7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74" t="str">
        <f>IF(tblLeave[[#This Row],[시작일]]&gt;tblLeave[[#This Row],[종료일]],"오류","")</f>
        <v/>
      </c>
    </row>
    <row r="75" spans="1:14" x14ac:dyDescent="0.3">
      <c r="A75">
        <v>900267</v>
      </c>
      <c r="B75" t="s">
        <v>62</v>
      </c>
      <c r="C75" t="s">
        <v>8</v>
      </c>
      <c r="D75">
        <v>1</v>
      </c>
      <c r="E75" t="s">
        <v>9</v>
      </c>
      <c r="F75" s="1">
        <v>45873</v>
      </c>
      <c r="G75" s="1">
        <v>2958465</v>
      </c>
      <c r="H75" t="str">
        <f>IF(tblLeave[[#This Row],[휴직구분]]="휴직복직","",tblLeave[[#This Row],[교직원번호]]&amp;"|"&amp;tblLeave[[#This Row],[시작일]])</f>
        <v/>
      </c>
      <c r="I75" t="str">
        <f>IF(tblLeave[[#This Row],[휴직구분]]="휴직복직","",tblLeave[[#This Row],[종료일]]-tblLeave[[#This Row],[시작일]])</f>
        <v/>
      </c>
      <c r="J7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5" t="str">
        <f>IF(tblLeave[[#This Row],[휴직구분]]="휴직복직","",TEXT(tblLeave[[#This Row],[종료일]],"yyyy-mm"))</f>
        <v/>
      </c>
      <c r="L75" t="str">
        <f>IF(tblLeave[[#This Row],[휴직구분]]="휴직복직","",YEAR(tblLeave[[#This Row],[시작일]]))</f>
        <v/>
      </c>
      <c r="M7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5" t="str">
        <f>IF(tblLeave[[#This Row],[시작일]]&gt;tblLeave[[#This Row],[종료일]],"오류","")</f>
        <v/>
      </c>
    </row>
    <row r="76" spans="1:14" x14ac:dyDescent="0.3">
      <c r="A76">
        <v>900278</v>
      </c>
      <c r="B76" t="s">
        <v>63</v>
      </c>
      <c r="C76" t="s">
        <v>8</v>
      </c>
      <c r="D76">
        <v>1</v>
      </c>
      <c r="E76" t="s">
        <v>9</v>
      </c>
      <c r="F76" s="1">
        <v>45862</v>
      </c>
      <c r="G76" s="1">
        <v>2958465</v>
      </c>
      <c r="H76" t="str">
        <f>IF(tblLeave[[#This Row],[휴직구분]]="휴직복직","",tblLeave[[#This Row],[교직원번호]]&amp;"|"&amp;tblLeave[[#This Row],[시작일]])</f>
        <v/>
      </c>
      <c r="I76" t="str">
        <f>IF(tblLeave[[#This Row],[휴직구분]]="휴직복직","",tblLeave[[#This Row],[종료일]]-tblLeave[[#This Row],[시작일]])</f>
        <v/>
      </c>
      <c r="J7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6" t="str">
        <f>IF(tblLeave[[#This Row],[휴직구분]]="휴직복직","",TEXT(tblLeave[[#This Row],[종료일]],"yyyy-mm"))</f>
        <v/>
      </c>
      <c r="L76" t="str">
        <f>IF(tblLeave[[#This Row],[휴직구분]]="휴직복직","",YEAR(tblLeave[[#This Row],[시작일]]))</f>
        <v/>
      </c>
      <c r="M7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6" t="str">
        <f>IF(tblLeave[[#This Row],[시작일]]&gt;tblLeave[[#This Row],[종료일]],"오류","")</f>
        <v/>
      </c>
    </row>
    <row r="77" spans="1:14" x14ac:dyDescent="0.3">
      <c r="A77">
        <v>900279</v>
      </c>
      <c r="B77" t="s">
        <v>64</v>
      </c>
      <c r="C77" t="s">
        <v>16</v>
      </c>
      <c r="D77">
        <v>1</v>
      </c>
      <c r="E77" t="s">
        <v>17</v>
      </c>
      <c r="F77" s="1">
        <v>46181</v>
      </c>
      <c r="G77" s="1">
        <v>46912</v>
      </c>
      <c r="H77" t="str">
        <f>IF(tblLeave[[#This Row],[휴직구분]]="휴직복직","",tblLeave[[#This Row],[교직원번호]]&amp;"|"&amp;tblLeave[[#This Row],[시작일]])</f>
        <v>900279|46181</v>
      </c>
      <c r="I77">
        <f>IF(tblLeave[[#This Row],[휴직구분]]="휴직복직","",tblLeave[[#This Row],[종료일]]-tblLeave[[#This Row],[시작일]])</f>
        <v>731</v>
      </c>
      <c r="J7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7" t="str">
        <f>IF(tblLeave[[#This Row],[휴직구분]]="휴직복직","",TEXT(tblLeave[[#This Row],[종료일]],"yyyy-mm"))</f>
        <v>2028-06</v>
      </c>
      <c r="L77">
        <f>IF(tblLeave[[#This Row],[휴직구분]]="휴직복직","",YEAR(tblLeave[[#This Row],[시작일]]))</f>
        <v>2026</v>
      </c>
      <c r="M7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77" t="str">
        <f>IF(tblLeave[[#This Row],[시작일]]&gt;tblLeave[[#This Row],[종료일]],"오류","")</f>
        <v/>
      </c>
    </row>
    <row r="78" spans="1:14" x14ac:dyDescent="0.3">
      <c r="A78">
        <v>900279</v>
      </c>
      <c r="B78" t="s">
        <v>64</v>
      </c>
      <c r="C78" t="s">
        <v>16</v>
      </c>
      <c r="D78">
        <v>2</v>
      </c>
      <c r="E78" t="s">
        <v>9</v>
      </c>
      <c r="F78" s="1">
        <v>46225</v>
      </c>
      <c r="G78" s="1">
        <v>2958465</v>
      </c>
      <c r="H78" t="str">
        <f>IF(tblLeave[[#This Row],[휴직구분]]="휴직복직","",tblLeave[[#This Row],[교직원번호]]&amp;"|"&amp;tblLeave[[#This Row],[시작일]])</f>
        <v/>
      </c>
      <c r="I78" t="str">
        <f>IF(tblLeave[[#This Row],[휴직구분]]="휴직복직","",tblLeave[[#This Row],[종료일]]-tblLeave[[#This Row],[시작일]])</f>
        <v/>
      </c>
      <c r="J7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78" t="str">
        <f>IF(tblLeave[[#This Row],[휴직구분]]="휴직복직","",TEXT(tblLeave[[#This Row],[종료일]],"yyyy-mm"))</f>
        <v/>
      </c>
      <c r="L78" t="str">
        <f>IF(tblLeave[[#This Row],[휴직구분]]="휴직복직","",YEAR(tblLeave[[#This Row],[시작일]]))</f>
        <v/>
      </c>
      <c r="M7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78" t="str">
        <f>IF(tblLeave[[#This Row],[시작일]]&gt;tblLeave[[#This Row],[종료일]],"오류","")</f>
        <v/>
      </c>
    </row>
    <row r="79" spans="1:14" x14ac:dyDescent="0.3">
      <c r="A79">
        <v>900279</v>
      </c>
      <c r="B79" t="s">
        <v>64</v>
      </c>
      <c r="C79" t="s">
        <v>16</v>
      </c>
      <c r="D79">
        <v>3</v>
      </c>
      <c r="E79" t="s">
        <v>44</v>
      </c>
      <c r="F79" s="1">
        <v>46225</v>
      </c>
      <c r="G79" s="1">
        <v>46409</v>
      </c>
      <c r="H79" t="str">
        <f>IF(tblLeave[[#This Row],[휴직구분]]="휴직복직","",tblLeave[[#This Row],[교직원번호]]&amp;"|"&amp;tblLeave[[#This Row],[시작일]])</f>
        <v>900279|46225</v>
      </c>
      <c r="I79">
        <f>IF(tblLeave[[#This Row],[휴직구분]]="휴직복직","",tblLeave[[#This Row],[종료일]]-tblLeave[[#This Row],[시작일]])</f>
        <v>184</v>
      </c>
      <c r="J7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79" t="str">
        <f>IF(tblLeave[[#This Row],[휴직구분]]="휴직복직","",TEXT(tblLeave[[#This Row],[종료일]],"yyyy-mm"))</f>
        <v>2027-01</v>
      </c>
      <c r="L79">
        <f>IF(tblLeave[[#This Row],[휴직구분]]="휴직복직","",YEAR(tblLeave[[#This Row],[시작일]]))</f>
        <v>2026</v>
      </c>
      <c r="M7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79" t="str">
        <f>IF(tblLeave[[#This Row],[시작일]]&gt;tblLeave[[#This Row],[종료일]],"오류","")</f>
        <v/>
      </c>
    </row>
    <row r="80" spans="1:14" x14ac:dyDescent="0.3">
      <c r="A80">
        <v>900286</v>
      </c>
      <c r="B80" t="s">
        <v>65</v>
      </c>
      <c r="C80" t="s">
        <v>8</v>
      </c>
      <c r="D80">
        <v>1</v>
      </c>
      <c r="E80" t="s">
        <v>9</v>
      </c>
      <c r="F80" s="1">
        <v>44783</v>
      </c>
      <c r="G80" s="1">
        <v>2958465</v>
      </c>
      <c r="H80" t="str">
        <f>IF(tblLeave[[#This Row],[휴직구분]]="휴직복직","",tblLeave[[#This Row],[교직원번호]]&amp;"|"&amp;tblLeave[[#This Row],[시작일]])</f>
        <v/>
      </c>
      <c r="I80" t="str">
        <f>IF(tblLeave[[#This Row],[휴직구분]]="휴직복직","",tblLeave[[#This Row],[종료일]]-tblLeave[[#This Row],[시작일]])</f>
        <v/>
      </c>
      <c r="J8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0" t="str">
        <f>IF(tblLeave[[#This Row],[휴직구분]]="휴직복직","",TEXT(tblLeave[[#This Row],[종료일]],"yyyy-mm"))</f>
        <v/>
      </c>
      <c r="L80" t="str">
        <f>IF(tblLeave[[#This Row],[휴직구분]]="휴직복직","",YEAR(tblLeave[[#This Row],[시작일]]))</f>
        <v/>
      </c>
      <c r="M8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0" t="str">
        <f>IF(tblLeave[[#This Row],[시작일]]&gt;tblLeave[[#This Row],[종료일]],"오류","")</f>
        <v/>
      </c>
    </row>
    <row r="81" spans="1:14" x14ac:dyDescent="0.3">
      <c r="A81">
        <v>900291</v>
      </c>
      <c r="B81" t="s">
        <v>66</v>
      </c>
      <c r="C81" t="s">
        <v>8</v>
      </c>
      <c r="D81">
        <v>1</v>
      </c>
      <c r="E81" t="s">
        <v>9</v>
      </c>
      <c r="F81" s="1">
        <v>45456</v>
      </c>
      <c r="G81" s="1">
        <v>2958465</v>
      </c>
      <c r="H81" t="str">
        <f>IF(tblLeave[[#This Row],[휴직구분]]="휴직복직","",tblLeave[[#This Row],[교직원번호]]&amp;"|"&amp;tblLeave[[#This Row],[시작일]])</f>
        <v/>
      </c>
      <c r="I81" t="str">
        <f>IF(tblLeave[[#This Row],[휴직구분]]="휴직복직","",tblLeave[[#This Row],[종료일]]-tblLeave[[#This Row],[시작일]])</f>
        <v/>
      </c>
      <c r="J8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1" t="str">
        <f>IF(tblLeave[[#This Row],[휴직구분]]="휴직복직","",TEXT(tblLeave[[#This Row],[종료일]],"yyyy-mm"))</f>
        <v/>
      </c>
      <c r="L81" t="str">
        <f>IF(tblLeave[[#This Row],[휴직구분]]="휴직복직","",YEAR(tblLeave[[#This Row],[시작일]]))</f>
        <v/>
      </c>
      <c r="M8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1" t="str">
        <f>IF(tblLeave[[#This Row],[시작일]]&gt;tblLeave[[#This Row],[종료일]],"오류","")</f>
        <v/>
      </c>
    </row>
    <row r="82" spans="1:14" x14ac:dyDescent="0.3">
      <c r="A82">
        <v>900304</v>
      </c>
      <c r="B82" t="s">
        <v>67</v>
      </c>
      <c r="C82" t="s">
        <v>8</v>
      </c>
      <c r="D82">
        <v>1</v>
      </c>
      <c r="E82" t="s">
        <v>9</v>
      </c>
      <c r="F82" s="1">
        <v>44809</v>
      </c>
      <c r="G82" s="1">
        <v>2958465</v>
      </c>
      <c r="H82" t="str">
        <f>IF(tblLeave[[#This Row],[휴직구분]]="휴직복직","",tblLeave[[#This Row],[교직원번호]]&amp;"|"&amp;tblLeave[[#This Row],[시작일]])</f>
        <v/>
      </c>
      <c r="I82" t="str">
        <f>IF(tblLeave[[#This Row],[휴직구분]]="휴직복직","",tblLeave[[#This Row],[종료일]]-tblLeave[[#This Row],[시작일]])</f>
        <v/>
      </c>
      <c r="J8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2" t="str">
        <f>IF(tblLeave[[#This Row],[휴직구분]]="휴직복직","",TEXT(tblLeave[[#This Row],[종료일]],"yyyy-mm"))</f>
        <v/>
      </c>
      <c r="L82" t="str">
        <f>IF(tblLeave[[#This Row],[휴직구분]]="휴직복직","",YEAR(tblLeave[[#This Row],[시작일]]))</f>
        <v/>
      </c>
      <c r="M8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2" t="str">
        <f>IF(tblLeave[[#This Row],[시작일]]&gt;tblLeave[[#This Row],[종료일]],"오류","")</f>
        <v/>
      </c>
    </row>
    <row r="83" spans="1:14" x14ac:dyDescent="0.3">
      <c r="A83">
        <v>900317</v>
      </c>
      <c r="B83" t="s">
        <v>68</v>
      </c>
      <c r="C83" t="s">
        <v>16</v>
      </c>
      <c r="D83">
        <v>1</v>
      </c>
      <c r="E83" t="s">
        <v>17</v>
      </c>
      <c r="F83" s="1">
        <v>45942</v>
      </c>
      <c r="G83" s="1">
        <v>46489</v>
      </c>
      <c r="H83" t="str">
        <f>IF(tblLeave[[#This Row],[휴직구분]]="휴직복직","",tblLeave[[#This Row],[교직원번호]]&amp;"|"&amp;tblLeave[[#This Row],[시작일]])</f>
        <v>900317|45942</v>
      </c>
      <c r="I83">
        <f>IF(tblLeave[[#This Row],[휴직구분]]="휴직복직","",tblLeave[[#This Row],[종료일]]-tblLeave[[#This Row],[시작일]])</f>
        <v>547</v>
      </c>
      <c r="J8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83" t="str">
        <f>IF(tblLeave[[#This Row],[휴직구분]]="휴직복직","",TEXT(tblLeave[[#This Row],[종료일]],"yyyy-mm"))</f>
        <v>2027-04</v>
      </c>
      <c r="L83">
        <f>IF(tblLeave[[#This Row],[휴직구분]]="휴직복직","",YEAR(tblLeave[[#This Row],[시작일]]))</f>
        <v>2025</v>
      </c>
      <c r="M8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83" t="str">
        <f>IF(tblLeave[[#This Row],[시작일]]&gt;tblLeave[[#This Row],[종료일]],"오류","")</f>
        <v/>
      </c>
    </row>
    <row r="84" spans="1:14" x14ac:dyDescent="0.3">
      <c r="A84">
        <v>900322</v>
      </c>
      <c r="B84" t="s">
        <v>69</v>
      </c>
      <c r="C84" t="s">
        <v>16</v>
      </c>
      <c r="D84">
        <v>1</v>
      </c>
      <c r="E84" t="s">
        <v>9</v>
      </c>
      <c r="F84" s="1">
        <v>46008</v>
      </c>
      <c r="G84" s="1">
        <v>2958465</v>
      </c>
      <c r="H84" t="str">
        <f>IF(tblLeave[[#This Row],[휴직구분]]="휴직복직","",tblLeave[[#This Row],[교직원번호]]&amp;"|"&amp;tblLeave[[#This Row],[시작일]])</f>
        <v/>
      </c>
      <c r="I84" t="str">
        <f>IF(tblLeave[[#This Row],[휴직구분]]="휴직복직","",tblLeave[[#This Row],[종료일]]-tblLeave[[#This Row],[시작일]])</f>
        <v/>
      </c>
      <c r="J8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4" t="str">
        <f>IF(tblLeave[[#This Row],[휴직구분]]="휴직복직","",TEXT(tblLeave[[#This Row],[종료일]],"yyyy-mm"))</f>
        <v/>
      </c>
      <c r="L84" t="str">
        <f>IF(tblLeave[[#This Row],[휴직구분]]="휴직복직","",YEAR(tblLeave[[#This Row],[시작일]]))</f>
        <v/>
      </c>
      <c r="M8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4" t="str">
        <f>IF(tblLeave[[#This Row],[시작일]]&gt;tblLeave[[#This Row],[종료일]],"오류","")</f>
        <v/>
      </c>
    </row>
    <row r="85" spans="1:14" x14ac:dyDescent="0.3">
      <c r="A85">
        <v>900322</v>
      </c>
      <c r="B85" t="s">
        <v>69</v>
      </c>
      <c r="C85" t="s">
        <v>16</v>
      </c>
      <c r="D85">
        <v>2</v>
      </c>
      <c r="E85" t="s">
        <v>9</v>
      </c>
      <c r="F85" s="1">
        <v>46031</v>
      </c>
      <c r="G85" s="1">
        <v>2958465</v>
      </c>
      <c r="H85" t="str">
        <f>IF(tblLeave[[#This Row],[휴직구분]]="휴직복직","",tblLeave[[#This Row],[교직원번호]]&amp;"|"&amp;tblLeave[[#This Row],[시작일]])</f>
        <v/>
      </c>
      <c r="I85" t="str">
        <f>IF(tblLeave[[#This Row],[휴직구분]]="휴직복직","",tblLeave[[#This Row],[종료일]]-tblLeave[[#This Row],[시작일]])</f>
        <v/>
      </c>
      <c r="J8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5" t="str">
        <f>IF(tblLeave[[#This Row],[휴직구분]]="휴직복직","",TEXT(tblLeave[[#This Row],[종료일]],"yyyy-mm"))</f>
        <v/>
      </c>
      <c r="L85" t="str">
        <f>IF(tblLeave[[#This Row],[휴직구분]]="휴직복직","",YEAR(tblLeave[[#This Row],[시작일]]))</f>
        <v/>
      </c>
      <c r="M8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5" t="str">
        <f>IF(tblLeave[[#This Row],[시작일]]&gt;tblLeave[[#This Row],[종료일]],"오류","")</f>
        <v/>
      </c>
    </row>
    <row r="86" spans="1:14" x14ac:dyDescent="0.3">
      <c r="A86">
        <v>900322</v>
      </c>
      <c r="B86" t="s">
        <v>69</v>
      </c>
      <c r="C86" t="s">
        <v>16</v>
      </c>
      <c r="D86">
        <v>3</v>
      </c>
      <c r="E86" t="s">
        <v>44</v>
      </c>
      <c r="F86" s="1">
        <v>46226</v>
      </c>
      <c r="G86" s="1">
        <v>46591</v>
      </c>
      <c r="H86" t="str">
        <f>IF(tblLeave[[#This Row],[휴직구분]]="휴직복직","",tblLeave[[#This Row],[교직원번호]]&amp;"|"&amp;tblLeave[[#This Row],[시작일]])</f>
        <v>900322|46226</v>
      </c>
      <c r="I86">
        <f>IF(tblLeave[[#This Row],[휴직구분]]="휴직복직","",tblLeave[[#This Row],[종료일]]-tblLeave[[#This Row],[시작일]])</f>
        <v>365</v>
      </c>
      <c r="J8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86" t="str">
        <f>IF(tblLeave[[#This Row],[휴직구분]]="휴직복직","",TEXT(tblLeave[[#This Row],[종료일]],"yyyy-mm"))</f>
        <v>2027-07</v>
      </c>
      <c r="L86">
        <f>IF(tblLeave[[#This Row],[휴직구분]]="휴직복직","",YEAR(tblLeave[[#This Row],[시작일]]))</f>
        <v>2026</v>
      </c>
      <c r="M8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86" t="str">
        <f>IF(tblLeave[[#This Row],[시작일]]&gt;tblLeave[[#This Row],[종료일]],"오류","")</f>
        <v/>
      </c>
    </row>
    <row r="87" spans="1:14" x14ac:dyDescent="0.3">
      <c r="A87">
        <v>900325</v>
      </c>
      <c r="B87" t="s">
        <v>70</v>
      </c>
      <c r="C87" t="s">
        <v>8</v>
      </c>
      <c r="D87">
        <v>1</v>
      </c>
      <c r="E87" t="s">
        <v>9</v>
      </c>
      <c r="F87" s="1">
        <v>45860</v>
      </c>
      <c r="G87" s="1">
        <v>2958465</v>
      </c>
      <c r="H87" t="str">
        <f>IF(tblLeave[[#This Row],[휴직구분]]="휴직복직","",tblLeave[[#This Row],[교직원번호]]&amp;"|"&amp;tblLeave[[#This Row],[시작일]])</f>
        <v/>
      </c>
      <c r="I87" t="str">
        <f>IF(tblLeave[[#This Row],[휴직구분]]="휴직복직","",tblLeave[[#This Row],[종료일]]-tblLeave[[#This Row],[시작일]])</f>
        <v/>
      </c>
      <c r="J8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7" t="str">
        <f>IF(tblLeave[[#This Row],[휴직구분]]="휴직복직","",TEXT(tblLeave[[#This Row],[종료일]],"yyyy-mm"))</f>
        <v/>
      </c>
      <c r="L87" t="str">
        <f>IF(tblLeave[[#This Row],[휴직구분]]="휴직복직","",YEAR(tblLeave[[#This Row],[시작일]]))</f>
        <v/>
      </c>
      <c r="M8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7" t="str">
        <f>IF(tblLeave[[#This Row],[시작일]]&gt;tblLeave[[#This Row],[종료일]],"오류","")</f>
        <v/>
      </c>
    </row>
    <row r="88" spans="1:14" x14ac:dyDescent="0.3">
      <c r="A88">
        <v>900338</v>
      </c>
      <c r="B88" t="s">
        <v>71</v>
      </c>
      <c r="C88" t="s">
        <v>16</v>
      </c>
      <c r="D88">
        <v>1</v>
      </c>
      <c r="E88" t="s">
        <v>9</v>
      </c>
      <c r="F88" s="1">
        <v>45427</v>
      </c>
      <c r="G88" s="1">
        <v>2958465</v>
      </c>
      <c r="H88" t="str">
        <f>IF(tblLeave[[#This Row],[휴직구분]]="휴직복직","",tblLeave[[#This Row],[교직원번호]]&amp;"|"&amp;tblLeave[[#This Row],[시작일]])</f>
        <v/>
      </c>
      <c r="I88" t="str">
        <f>IF(tblLeave[[#This Row],[휴직구분]]="휴직복직","",tblLeave[[#This Row],[종료일]]-tblLeave[[#This Row],[시작일]])</f>
        <v/>
      </c>
      <c r="J8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8" t="str">
        <f>IF(tblLeave[[#This Row],[휴직구분]]="휴직복직","",TEXT(tblLeave[[#This Row],[종료일]],"yyyy-mm"))</f>
        <v/>
      </c>
      <c r="L88" t="str">
        <f>IF(tblLeave[[#This Row],[휴직구분]]="휴직복직","",YEAR(tblLeave[[#This Row],[시작일]]))</f>
        <v/>
      </c>
      <c r="M8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8" t="str">
        <f>IF(tblLeave[[#This Row],[시작일]]&gt;tblLeave[[#This Row],[종료일]],"오류","")</f>
        <v/>
      </c>
    </row>
    <row r="89" spans="1:14" x14ac:dyDescent="0.3">
      <c r="A89">
        <v>900338</v>
      </c>
      <c r="B89" t="s">
        <v>71</v>
      </c>
      <c r="C89" t="s">
        <v>16</v>
      </c>
      <c r="D89">
        <v>2</v>
      </c>
      <c r="E89" t="s">
        <v>9</v>
      </c>
      <c r="F89" s="1">
        <v>45217</v>
      </c>
      <c r="G89" s="1">
        <v>2958465</v>
      </c>
      <c r="H89" t="str">
        <f>IF(tblLeave[[#This Row],[휴직구분]]="휴직복직","",tblLeave[[#This Row],[교직원번호]]&amp;"|"&amp;tblLeave[[#This Row],[시작일]])</f>
        <v/>
      </c>
      <c r="I89" t="str">
        <f>IF(tblLeave[[#This Row],[휴직구분]]="휴직복직","",tblLeave[[#This Row],[종료일]]-tblLeave[[#This Row],[시작일]])</f>
        <v/>
      </c>
      <c r="J8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89" t="str">
        <f>IF(tblLeave[[#This Row],[휴직구분]]="휴직복직","",TEXT(tblLeave[[#This Row],[종료일]],"yyyy-mm"))</f>
        <v/>
      </c>
      <c r="L89" t="str">
        <f>IF(tblLeave[[#This Row],[휴직구분]]="휴직복직","",YEAR(tblLeave[[#This Row],[시작일]]))</f>
        <v/>
      </c>
      <c r="M8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89" t="str">
        <f>IF(tblLeave[[#This Row],[시작일]]&gt;tblLeave[[#This Row],[종료일]],"오류","")</f>
        <v/>
      </c>
    </row>
    <row r="90" spans="1:14" x14ac:dyDescent="0.3">
      <c r="A90">
        <v>900338</v>
      </c>
      <c r="B90" t="s">
        <v>71</v>
      </c>
      <c r="C90" t="s">
        <v>16</v>
      </c>
      <c r="D90">
        <v>3</v>
      </c>
      <c r="E90" t="s">
        <v>9</v>
      </c>
      <c r="F90" s="1">
        <v>45567</v>
      </c>
      <c r="G90" s="1">
        <v>2958465</v>
      </c>
      <c r="H90" t="str">
        <f>IF(tblLeave[[#This Row],[휴직구분]]="휴직복직","",tblLeave[[#This Row],[교직원번호]]&amp;"|"&amp;tblLeave[[#This Row],[시작일]])</f>
        <v/>
      </c>
      <c r="I90" t="str">
        <f>IF(tblLeave[[#This Row],[휴직구분]]="휴직복직","",tblLeave[[#This Row],[종료일]]-tblLeave[[#This Row],[시작일]])</f>
        <v/>
      </c>
      <c r="J9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0" t="str">
        <f>IF(tblLeave[[#This Row],[휴직구분]]="휴직복직","",TEXT(tblLeave[[#This Row],[종료일]],"yyyy-mm"))</f>
        <v/>
      </c>
      <c r="L90" t="str">
        <f>IF(tblLeave[[#This Row],[휴직구분]]="휴직복직","",YEAR(tblLeave[[#This Row],[시작일]]))</f>
        <v/>
      </c>
      <c r="M9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0" t="str">
        <f>IF(tblLeave[[#This Row],[시작일]]&gt;tblLeave[[#This Row],[종료일]],"오류","")</f>
        <v/>
      </c>
    </row>
    <row r="91" spans="1:14" x14ac:dyDescent="0.3">
      <c r="A91">
        <v>900338</v>
      </c>
      <c r="B91" t="s">
        <v>71</v>
      </c>
      <c r="C91" t="s">
        <v>16</v>
      </c>
      <c r="D91">
        <v>4</v>
      </c>
      <c r="E91" t="s">
        <v>17</v>
      </c>
      <c r="F91" s="1">
        <v>45965</v>
      </c>
      <c r="G91" s="1">
        <v>46695</v>
      </c>
      <c r="H91" t="str">
        <f>IF(tblLeave[[#This Row],[휴직구분]]="휴직복직","",tblLeave[[#This Row],[교직원번호]]&amp;"|"&amp;tblLeave[[#This Row],[시작일]])</f>
        <v>900338|45965</v>
      </c>
      <c r="I91">
        <f>IF(tblLeave[[#This Row],[휴직구분]]="휴직복직","",tblLeave[[#This Row],[종료일]]-tblLeave[[#This Row],[시작일]])</f>
        <v>730</v>
      </c>
      <c r="J9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91" t="str">
        <f>IF(tblLeave[[#This Row],[휴직구분]]="휴직복직","",TEXT(tblLeave[[#This Row],[종료일]],"yyyy-mm"))</f>
        <v>2027-11</v>
      </c>
      <c r="L91">
        <f>IF(tblLeave[[#This Row],[휴직구분]]="휴직복직","",YEAR(tblLeave[[#This Row],[시작일]]))</f>
        <v>2025</v>
      </c>
      <c r="M9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91" t="str">
        <f>IF(tblLeave[[#This Row],[시작일]]&gt;tblLeave[[#This Row],[종료일]],"오류","")</f>
        <v/>
      </c>
    </row>
    <row r="92" spans="1:14" x14ac:dyDescent="0.3">
      <c r="A92">
        <v>900345</v>
      </c>
      <c r="B92" t="s">
        <v>72</v>
      </c>
      <c r="C92" t="s">
        <v>8</v>
      </c>
      <c r="D92">
        <v>1</v>
      </c>
      <c r="E92" t="s">
        <v>9</v>
      </c>
      <c r="F92" s="1">
        <v>44886</v>
      </c>
      <c r="G92" s="1">
        <v>2958465</v>
      </c>
      <c r="H92" t="str">
        <f>IF(tblLeave[[#This Row],[휴직구분]]="휴직복직","",tblLeave[[#This Row],[교직원번호]]&amp;"|"&amp;tblLeave[[#This Row],[시작일]])</f>
        <v/>
      </c>
      <c r="I92" t="str">
        <f>IF(tblLeave[[#This Row],[휴직구분]]="휴직복직","",tblLeave[[#This Row],[종료일]]-tblLeave[[#This Row],[시작일]])</f>
        <v/>
      </c>
      <c r="J9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2" t="str">
        <f>IF(tblLeave[[#This Row],[휴직구분]]="휴직복직","",TEXT(tblLeave[[#This Row],[종료일]],"yyyy-mm"))</f>
        <v/>
      </c>
      <c r="L92" t="str">
        <f>IF(tblLeave[[#This Row],[휴직구분]]="휴직복직","",YEAR(tblLeave[[#This Row],[시작일]]))</f>
        <v/>
      </c>
      <c r="M9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2" t="str">
        <f>IF(tblLeave[[#This Row],[시작일]]&gt;tblLeave[[#This Row],[종료일]],"오류","")</f>
        <v/>
      </c>
    </row>
    <row r="93" spans="1:14" x14ac:dyDescent="0.3">
      <c r="A93">
        <v>900348</v>
      </c>
      <c r="B93" t="s">
        <v>73</v>
      </c>
      <c r="C93" t="s">
        <v>8</v>
      </c>
      <c r="D93">
        <v>1</v>
      </c>
      <c r="E93" t="s">
        <v>9</v>
      </c>
      <c r="F93" s="1">
        <v>45131</v>
      </c>
      <c r="G93" s="1">
        <v>2958465</v>
      </c>
      <c r="H93" t="str">
        <f>IF(tblLeave[[#This Row],[휴직구분]]="휴직복직","",tblLeave[[#This Row],[교직원번호]]&amp;"|"&amp;tblLeave[[#This Row],[시작일]])</f>
        <v/>
      </c>
      <c r="I93" t="str">
        <f>IF(tblLeave[[#This Row],[휴직구분]]="휴직복직","",tblLeave[[#This Row],[종료일]]-tblLeave[[#This Row],[시작일]])</f>
        <v/>
      </c>
      <c r="J9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3" t="str">
        <f>IF(tblLeave[[#This Row],[휴직구분]]="휴직복직","",TEXT(tblLeave[[#This Row],[종료일]],"yyyy-mm"))</f>
        <v/>
      </c>
      <c r="L93" t="str">
        <f>IF(tblLeave[[#This Row],[휴직구분]]="휴직복직","",YEAR(tblLeave[[#This Row],[시작일]]))</f>
        <v/>
      </c>
      <c r="M9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3" t="str">
        <f>IF(tblLeave[[#This Row],[시작일]]&gt;tblLeave[[#This Row],[종료일]],"오류","")</f>
        <v/>
      </c>
    </row>
    <row r="94" spans="1:14" x14ac:dyDescent="0.3">
      <c r="A94">
        <v>900351</v>
      </c>
      <c r="B94" t="s">
        <v>74</v>
      </c>
      <c r="C94" t="s">
        <v>8</v>
      </c>
      <c r="D94">
        <v>1</v>
      </c>
      <c r="E94" t="s">
        <v>9</v>
      </c>
      <c r="F94" s="1">
        <v>45691</v>
      </c>
      <c r="G94" s="1">
        <v>2958465</v>
      </c>
      <c r="H94" t="str">
        <f>IF(tblLeave[[#This Row],[휴직구분]]="휴직복직","",tblLeave[[#This Row],[교직원번호]]&amp;"|"&amp;tblLeave[[#This Row],[시작일]])</f>
        <v/>
      </c>
      <c r="I94" t="str">
        <f>IF(tblLeave[[#This Row],[휴직구분]]="휴직복직","",tblLeave[[#This Row],[종료일]]-tblLeave[[#This Row],[시작일]])</f>
        <v/>
      </c>
      <c r="J9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4" t="str">
        <f>IF(tblLeave[[#This Row],[휴직구분]]="휴직복직","",TEXT(tblLeave[[#This Row],[종료일]],"yyyy-mm"))</f>
        <v/>
      </c>
      <c r="L94" t="str">
        <f>IF(tblLeave[[#This Row],[휴직구분]]="휴직복직","",YEAR(tblLeave[[#This Row],[시작일]]))</f>
        <v/>
      </c>
      <c r="M9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4" t="str">
        <f>IF(tblLeave[[#This Row],[시작일]]&gt;tblLeave[[#This Row],[종료일]],"오류","")</f>
        <v/>
      </c>
    </row>
    <row r="95" spans="1:14" x14ac:dyDescent="0.3">
      <c r="A95">
        <v>900355</v>
      </c>
      <c r="B95" t="s">
        <v>75</v>
      </c>
      <c r="C95" t="s">
        <v>8</v>
      </c>
      <c r="D95">
        <v>1</v>
      </c>
      <c r="E95" t="s">
        <v>9</v>
      </c>
      <c r="F95" s="1">
        <v>44961</v>
      </c>
      <c r="G95" s="1">
        <v>2958465</v>
      </c>
      <c r="H95" t="str">
        <f>IF(tblLeave[[#This Row],[휴직구분]]="휴직복직","",tblLeave[[#This Row],[교직원번호]]&amp;"|"&amp;tblLeave[[#This Row],[시작일]])</f>
        <v/>
      </c>
      <c r="I95" t="str">
        <f>IF(tblLeave[[#This Row],[휴직구분]]="휴직복직","",tblLeave[[#This Row],[종료일]]-tblLeave[[#This Row],[시작일]])</f>
        <v/>
      </c>
      <c r="J9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5" t="str">
        <f>IF(tblLeave[[#This Row],[휴직구분]]="휴직복직","",TEXT(tblLeave[[#This Row],[종료일]],"yyyy-mm"))</f>
        <v/>
      </c>
      <c r="L95" t="str">
        <f>IF(tblLeave[[#This Row],[휴직구분]]="휴직복직","",YEAR(tblLeave[[#This Row],[시작일]]))</f>
        <v/>
      </c>
      <c r="M9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5" t="str">
        <f>IF(tblLeave[[#This Row],[시작일]]&gt;tblLeave[[#This Row],[종료일]],"오류","")</f>
        <v/>
      </c>
    </row>
    <row r="96" spans="1:14" x14ac:dyDescent="0.3">
      <c r="A96">
        <v>900358</v>
      </c>
      <c r="B96" t="s">
        <v>76</v>
      </c>
      <c r="C96" t="s">
        <v>8</v>
      </c>
      <c r="D96">
        <v>1</v>
      </c>
      <c r="E96" t="s">
        <v>9</v>
      </c>
      <c r="F96" s="1">
        <v>45264</v>
      </c>
      <c r="G96" s="1">
        <v>2958465</v>
      </c>
      <c r="H96" t="str">
        <f>IF(tblLeave[[#This Row],[휴직구분]]="휴직복직","",tblLeave[[#This Row],[교직원번호]]&amp;"|"&amp;tblLeave[[#This Row],[시작일]])</f>
        <v/>
      </c>
      <c r="I96" t="str">
        <f>IF(tblLeave[[#This Row],[휴직구분]]="휴직복직","",tblLeave[[#This Row],[종료일]]-tblLeave[[#This Row],[시작일]])</f>
        <v/>
      </c>
      <c r="J9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6" t="str">
        <f>IF(tblLeave[[#This Row],[휴직구분]]="휴직복직","",TEXT(tblLeave[[#This Row],[종료일]],"yyyy-mm"))</f>
        <v/>
      </c>
      <c r="L96" t="str">
        <f>IF(tblLeave[[#This Row],[휴직구분]]="휴직복직","",YEAR(tblLeave[[#This Row],[시작일]]))</f>
        <v/>
      </c>
      <c r="M9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6" t="str">
        <f>IF(tblLeave[[#This Row],[시작일]]&gt;tblLeave[[#This Row],[종료일]],"오류","")</f>
        <v/>
      </c>
    </row>
    <row r="97" spans="1:14" x14ac:dyDescent="0.3">
      <c r="A97">
        <v>900359</v>
      </c>
      <c r="B97" t="s">
        <v>77</v>
      </c>
      <c r="C97" t="s">
        <v>16</v>
      </c>
      <c r="D97">
        <v>1</v>
      </c>
      <c r="E97" t="s">
        <v>17</v>
      </c>
      <c r="F97" s="1">
        <v>46177</v>
      </c>
      <c r="G97" s="1">
        <v>46360</v>
      </c>
      <c r="H97" t="str">
        <f>IF(tblLeave[[#This Row],[휴직구분]]="휴직복직","",tblLeave[[#This Row],[교직원번호]]&amp;"|"&amp;tblLeave[[#This Row],[시작일]])</f>
        <v>900359|46177</v>
      </c>
      <c r="I97">
        <f>IF(tblLeave[[#This Row],[휴직구분]]="휴직복직","",tblLeave[[#This Row],[종료일]]-tblLeave[[#This Row],[시작일]])</f>
        <v>183</v>
      </c>
      <c r="J9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97" t="str">
        <f>IF(tblLeave[[#This Row],[휴직구분]]="휴직복직","",TEXT(tblLeave[[#This Row],[종료일]],"yyyy-mm"))</f>
        <v>2026-12</v>
      </c>
      <c r="L97">
        <f>IF(tblLeave[[#This Row],[휴직구분]]="휴직복직","",YEAR(tblLeave[[#This Row],[시작일]]))</f>
        <v>2026</v>
      </c>
      <c r="M9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6개월 이하</v>
      </c>
      <c r="N97" t="str">
        <f>IF(tblLeave[[#This Row],[시작일]]&gt;tblLeave[[#This Row],[종료일]],"오류","")</f>
        <v/>
      </c>
    </row>
    <row r="98" spans="1:14" x14ac:dyDescent="0.3">
      <c r="A98">
        <v>900359</v>
      </c>
      <c r="B98" t="s">
        <v>77</v>
      </c>
      <c r="C98" t="s">
        <v>16</v>
      </c>
      <c r="D98">
        <v>2</v>
      </c>
      <c r="E98" t="s">
        <v>17</v>
      </c>
      <c r="F98" s="1">
        <v>46472</v>
      </c>
      <c r="G98" s="1">
        <v>46332</v>
      </c>
      <c r="H98" t="str">
        <f>IF(tblLeave[[#This Row],[휴직구분]]="휴직복직","",tblLeave[[#This Row],[교직원번호]]&amp;"|"&amp;tblLeave[[#This Row],[시작일]])</f>
        <v>900359|46472</v>
      </c>
      <c r="I98">
        <f>IF(tblLeave[[#This Row],[휴직구분]]="휴직복직","",tblLeave[[#This Row],[종료일]]-tblLeave[[#This Row],[시작일]])</f>
        <v>-140</v>
      </c>
      <c r="J9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8" t="str">
        <f>IF(tblLeave[[#This Row],[휴직구분]]="휴직복직","",TEXT(tblLeave[[#This Row],[종료일]],"yyyy-mm"))</f>
        <v>2026-11</v>
      </c>
      <c r="L98">
        <f>IF(tblLeave[[#This Row],[휴직구분]]="휴직복직","",YEAR(tblLeave[[#This Row],[시작일]]))</f>
        <v>2027</v>
      </c>
      <c r="M9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검토필요</v>
      </c>
      <c r="N98" t="str">
        <f>IF(tblLeave[[#This Row],[시작일]]&gt;tblLeave[[#This Row],[종료일]],"오류","")</f>
        <v>오류</v>
      </c>
    </row>
    <row r="99" spans="1:14" x14ac:dyDescent="0.3">
      <c r="A99">
        <v>900362</v>
      </c>
      <c r="B99" t="s">
        <v>78</v>
      </c>
      <c r="C99" t="s">
        <v>8</v>
      </c>
      <c r="D99">
        <v>1</v>
      </c>
      <c r="E99" t="s">
        <v>9</v>
      </c>
      <c r="F99" s="1">
        <v>45464</v>
      </c>
      <c r="G99" s="1">
        <v>2958465</v>
      </c>
      <c r="H99" t="str">
        <f>IF(tblLeave[[#This Row],[휴직구분]]="휴직복직","",tblLeave[[#This Row],[교직원번호]]&amp;"|"&amp;tblLeave[[#This Row],[시작일]])</f>
        <v/>
      </c>
      <c r="I99" t="str">
        <f>IF(tblLeave[[#This Row],[휴직구분]]="휴직복직","",tblLeave[[#This Row],[종료일]]-tblLeave[[#This Row],[시작일]])</f>
        <v/>
      </c>
      <c r="J9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99" t="str">
        <f>IF(tblLeave[[#This Row],[휴직구분]]="휴직복직","",TEXT(tblLeave[[#This Row],[종료일]],"yyyy-mm"))</f>
        <v/>
      </c>
      <c r="L99" t="str">
        <f>IF(tblLeave[[#This Row],[휴직구분]]="휴직복직","",YEAR(tblLeave[[#This Row],[시작일]]))</f>
        <v/>
      </c>
      <c r="M9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99" t="str">
        <f>IF(tblLeave[[#This Row],[시작일]]&gt;tblLeave[[#This Row],[종료일]],"오류","")</f>
        <v/>
      </c>
    </row>
    <row r="100" spans="1:14" x14ac:dyDescent="0.3">
      <c r="A100">
        <v>900363</v>
      </c>
      <c r="B100" t="s">
        <v>79</v>
      </c>
      <c r="C100" t="s">
        <v>16</v>
      </c>
      <c r="D100">
        <v>1</v>
      </c>
      <c r="E100" t="s">
        <v>9</v>
      </c>
      <c r="F100" s="1">
        <v>45234</v>
      </c>
      <c r="G100" s="1">
        <v>2958465</v>
      </c>
      <c r="H100" t="str">
        <f>IF(tblLeave[[#This Row],[휴직구분]]="휴직복직","",tblLeave[[#This Row],[교직원번호]]&amp;"|"&amp;tblLeave[[#This Row],[시작일]])</f>
        <v/>
      </c>
      <c r="I100" t="str">
        <f>IF(tblLeave[[#This Row],[휴직구분]]="휴직복직","",tblLeave[[#This Row],[종료일]]-tblLeave[[#This Row],[시작일]])</f>
        <v/>
      </c>
      <c r="J10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0" t="str">
        <f>IF(tblLeave[[#This Row],[휴직구분]]="휴직복직","",TEXT(tblLeave[[#This Row],[종료일]],"yyyy-mm"))</f>
        <v/>
      </c>
      <c r="L100" t="str">
        <f>IF(tblLeave[[#This Row],[휴직구분]]="휴직복직","",YEAR(tblLeave[[#This Row],[시작일]]))</f>
        <v/>
      </c>
      <c r="M10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0" t="str">
        <f>IF(tblLeave[[#This Row],[시작일]]&gt;tblLeave[[#This Row],[종료일]],"오류","")</f>
        <v/>
      </c>
    </row>
    <row r="101" spans="1:14" x14ac:dyDescent="0.3">
      <c r="A101">
        <v>900363</v>
      </c>
      <c r="B101" t="s">
        <v>79</v>
      </c>
      <c r="C101" t="s">
        <v>16</v>
      </c>
      <c r="D101">
        <v>2</v>
      </c>
      <c r="E101" t="s">
        <v>9</v>
      </c>
      <c r="F101" s="1">
        <v>45179</v>
      </c>
      <c r="G101" s="1">
        <v>2958465</v>
      </c>
      <c r="H101" t="str">
        <f>IF(tblLeave[[#This Row],[휴직구분]]="휴직복직","",tblLeave[[#This Row],[교직원번호]]&amp;"|"&amp;tblLeave[[#This Row],[시작일]])</f>
        <v/>
      </c>
      <c r="I101" t="str">
        <f>IF(tblLeave[[#This Row],[휴직구분]]="휴직복직","",tblLeave[[#This Row],[종료일]]-tblLeave[[#This Row],[시작일]])</f>
        <v/>
      </c>
      <c r="J10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1" t="str">
        <f>IF(tblLeave[[#This Row],[휴직구분]]="휴직복직","",TEXT(tblLeave[[#This Row],[종료일]],"yyyy-mm"))</f>
        <v/>
      </c>
      <c r="L101" t="str">
        <f>IF(tblLeave[[#This Row],[휴직구분]]="휴직복직","",YEAR(tblLeave[[#This Row],[시작일]]))</f>
        <v/>
      </c>
      <c r="M10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1" t="str">
        <f>IF(tblLeave[[#This Row],[시작일]]&gt;tblLeave[[#This Row],[종료일]],"오류","")</f>
        <v/>
      </c>
    </row>
    <row r="102" spans="1:14" x14ac:dyDescent="0.3">
      <c r="A102">
        <v>900363</v>
      </c>
      <c r="B102" t="s">
        <v>79</v>
      </c>
      <c r="C102" t="s">
        <v>16</v>
      </c>
      <c r="D102">
        <v>3</v>
      </c>
      <c r="E102" t="s">
        <v>21</v>
      </c>
      <c r="F102" s="1">
        <v>46094</v>
      </c>
      <c r="G102" s="1">
        <v>46459</v>
      </c>
      <c r="H102" t="str">
        <f>IF(tblLeave[[#This Row],[휴직구분]]="휴직복직","",tblLeave[[#This Row],[교직원번호]]&amp;"|"&amp;tblLeave[[#This Row],[시작일]])</f>
        <v>900363|46094</v>
      </c>
      <c r="I102">
        <f>IF(tblLeave[[#This Row],[휴직구분]]="휴직복직","",tblLeave[[#This Row],[종료일]]-tblLeave[[#This Row],[시작일]])</f>
        <v>365</v>
      </c>
      <c r="J10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02" t="str">
        <f>IF(tblLeave[[#This Row],[휴직구분]]="휴직복직","",TEXT(tblLeave[[#This Row],[종료일]],"yyyy-mm"))</f>
        <v>2027-03</v>
      </c>
      <c r="L102">
        <f>IF(tblLeave[[#This Row],[휴직구분]]="휴직복직","",YEAR(tblLeave[[#This Row],[시작일]]))</f>
        <v>2026</v>
      </c>
      <c r="M10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02" t="str">
        <f>IF(tblLeave[[#This Row],[시작일]]&gt;tblLeave[[#This Row],[종료일]],"오류","")</f>
        <v/>
      </c>
    </row>
    <row r="103" spans="1:14" x14ac:dyDescent="0.3">
      <c r="A103">
        <v>900364</v>
      </c>
      <c r="B103" t="s">
        <v>80</v>
      </c>
      <c r="C103" t="s">
        <v>8</v>
      </c>
      <c r="D103">
        <v>1</v>
      </c>
      <c r="E103" t="s">
        <v>9</v>
      </c>
      <c r="F103" s="1">
        <v>45791</v>
      </c>
      <c r="G103" s="1">
        <v>2958465</v>
      </c>
      <c r="H103" t="str">
        <f>IF(tblLeave[[#This Row],[휴직구분]]="휴직복직","",tblLeave[[#This Row],[교직원번호]]&amp;"|"&amp;tblLeave[[#This Row],[시작일]])</f>
        <v/>
      </c>
      <c r="I103" t="str">
        <f>IF(tblLeave[[#This Row],[휴직구분]]="휴직복직","",tblLeave[[#This Row],[종료일]]-tblLeave[[#This Row],[시작일]])</f>
        <v/>
      </c>
      <c r="J10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3" t="str">
        <f>IF(tblLeave[[#This Row],[휴직구분]]="휴직복직","",TEXT(tblLeave[[#This Row],[종료일]],"yyyy-mm"))</f>
        <v/>
      </c>
      <c r="L103" t="str">
        <f>IF(tblLeave[[#This Row],[휴직구분]]="휴직복직","",YEAR(tblLeave[[#This Row],[시작일]]))</f>
        <v/>
      </c>
      <c r="M10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3" t="str">
        <f>IF(tblLeave[[#This Row],[시작일]]&gt;tblLeave[[#This Row],[종료일]],"오류","")</f>
        <v/>
      </c>
    </row>
    <row r="104" spans="1:14" x14ac:dyDescent="0.3">
      <c r="A104">
        <v>900367</v>
      </c>
      <c r="B104" t="s">
        <v>81</v>
      </c>
      <c r="C104" t="s">
        <v>8</v>
      </c>
      <c r="D104">
        <v>1</v>
      </c>
      <c r="E104" t="s">
        <v>9</v>
      </c>
      <c r="F104" s="1">
        <v>45729</v>
      </c>
      <c r="G104" s="1">
        <v>2958465</v>
      </c>
      <c r="H104" t="str">
        <f>IF(tblLeave[[#This Row],[휴직구분]]="휴직복직","",tblLeave[[#This Row],[교직원번호]]&amp;"|"&amp;tblLeave[[#This Row],[시작일]])</f>
        <v/>
      </c>
      <c r="I104" t="str">
        <f>IF(tblLeave[[#This Row],[휴직구분]]="휴직복직","",tblLeave[[#This Row],[종료일]]-tblLeave[[#This Row],[시작일]])</f>
        <v/>
      </c>
      <c r="J10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4" t="str">
        <f>IF(tblLeave[[#This Row],[휴직구분]]="휴직복직","",TEXT(tblLeave[[#This Row],[종료일]],"yyyy-mm"))</f>
        <v/>
      </c>
      <c r="L104" t="str">
        <f>IF(tblLeave[[#This Row],[휴직구분]]="휴직복직","",YEAR(tblLeave[[#This Row],[시작일]]))</f>
        <v/>
      </c>
      <c r="M10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4" t="str">
        <f>IF(tblLeave[[#This Row],[시작일]]&gt;tblLeave[[#This Row],[종료일]],"오류","")</f>
        <v/>
      </c>
    </row>
    <row r="105" spans="1:14" x14ac:dyDescent="0.3">
      <c r="A105">
        <v>900372</v>
      </c>
      <c r="B105" t="s">
        <v>82</v>
      </c>
      <c r="C105" t="s">
        <v>8</v>
      </c>
      <c r="D105">
        <v>1</v>
      </c>
      <c r="E105" t="s">
        <v>9</v>
      </c>
      <c r="F105" s="1">
        <v>44936</v>
      </c>
      <c r="G105" s="1">
        <v>2958465</v>
      </c>
      <c r="H105" t="str">
        <f>IF(tblLeave[[#This Row],[휴직구분]]="휴직복직","",tblLeave[[#This Row],[교직원번호]]&amp;"|"&amp;tblLeave[[#This Row],[시작일]])</f>
        <v/>
      </c>
      <c r="I105" t="str">
        <f>IF(tblLeave[[#This Row],[휴직구분]]="휴직복직","",tblLeave[[#This Row],[종료일]]-tblLeave[[#This Row],[시작일]])</f>
        <v/>
      </c>
      <c r="J10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5" t="str">
        <f>IF(tblLeave[[#This Row],[휴직구분]]="휴직복직","",TEXT(tblLeave[[#This Row],[종료일]],"yyyy-mm"))</f>
        <v/>
      </c>
      <c r="L105" t="str">
        <f>IF(tblLeave[[#This Row],[휴직구분]]="휴직복직","",YEAR(tblLeave[[#This Row],[시작일]]))</f>
        <v/>
      </c>
      <c r="M10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5" t="str">
        <f>IF(tblLeave[[#This Row],[시작일]]&gt;tblLeave[[#This Row],[종료일]],"오류","")</f>
        <v/>
      </c>
    </row>
    <row r="106" spans="1:14" x14ac:dyDescent="0.3">
      <c r="A106">
        <v>900373</v>
      </c>
      <c r="B106" t="s">
        <v>83</v>
      </c>
      <c r="C106" t="s">
        <v>16</v>
      </c>
      <c r="D106">
        <v>1</v>
      </c>
      <c r="E106" t="s">
        <v>9</v>
      </c>
      <c r="F106" s="1">
        <v>45072</v>
      </c>
      <c r="G106" s="1">
        <v>2958465</v>
      </c>
      <c r="H106" t="str">
        <f>IF(tblLeave[[#This Row],[휴직구분]]="휴직복직","",tblLeave[[#This Row],[교직원번호]]&amp;"|"&amp;tblLeave[[#This Row],[시작일]])</f>
        <v/>
      </c>
      <c r="I106" t="str">
        <f>IF(tblLeave[[#This Row],[휴직구분]]="휴직복직","",tblLeave[[#This Row],[종료일]]-tblLeave[[#This Row],[시작일]])</f>
        <v/>
      </c>
      <c r="J10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6" t="str">
        <f>IF(tblLeave[[#This Row],[휴직구분]]="휴직복직","",TEXT(tblLeave[[#This Row],[종료일]],"yyyy-mm"))</f>
        <v/>
      </c>
      <c r="L106" t="str">
        <f>IF(tblLeave[[#This Row],[휴직구분]]="휴직복직","",YEAR(tblLeave[[#This Row],[시작일]]))</f>
        <v/>
      </c>
      <c r="M10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6" t="str">
        <f>IF(tblLeave[[#This Row],[시작일]]&gt;tblLeave[[#This Row],[종료일]],"오류","")</f>
        <v/>
      </c>
    </row>
    <row r="107" spans="1:14" x14ac:dyDescent="0.3">
      <c r="A107">
        <v>900373</v>
      </c>
      <c r="B107" t="s">
        <v>83</v>
      </c>
      <c r="C107" t="s">
        <v>16</v>
      </c>
      <c r="D107">
        <v>2</v>
      </c>
      <c r="E107" t="s">
        <v>9</v>
      </c>
      <c r="F107" s="1">
        <v>45609</v>
      </c>
      <c r="G107" s="1">
        <v>2958465</v>
      </c>
      <c r="H107" t="str">
        <f>IF(tblLeave[[#This Row],[휴직구분]]="휴직복직","",tblLeave[[#This Row],[교직원번호]]&amp;"|"&amp;tblLeave[[#This Row],[시작일]])</f>
        <v/>
      </c>
      <c r="I107" t="str">
        <f>IF(tblLeave[[#This Row],[휴직구분]]="휴직복직","",tblLeave[[#This Row],[종료일]]-tblLeave[[#This Row],[시작일]])</f>
        <v/>
      </c>
      <c r="J10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07" t="str">
        <f>IF(tblLeave[[#This Row],[휴직구분]]="휴직복직","",TEXT(tblLeave[[#This Row],[종료일]],"yyyy-mm"))</f>
        <v/>
      </c>
      <c r="L107" t="str">
        <f>IF(tblLeave[[#This Row],[휴직구분]]="휴직복직","",YEAR(tblLeave[[#This Row],[시작일]]))</f>
        <v/>
      </c>
      <c r="M10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07" t="str">
        <f>IF(tblLeave[[#This Row],[시작일]]&gt;tblLeave[[#This Row],[종료일]],"오류","")</f>
        <v/>
      </c>
    </row>
    <row r="108" spans="1:14" x14ac:dyDescent="0.3">
      <c r="A108">
        <v>900373</v>
      </c>
      <c r="B108" t="s">
        <v>83</v>
      </c>
      <c r="C108" t="s">
        <v>16</v>
      </c>
      <c r="D108">
        <v>3</v>
      </c>
      <c r="E108" t="s">
        <v>17</v>
      </c>
      <c r="F108" s="1">
        <v>46047</v>
      </c>
      <c r="G108" s="1">
        <v>46369</v>
      </c>
      <c r="H108" t="str">
        <f>IF(tblLeave[[#This Row],[휴직구분]]="휴직복직","",tblLeave[[#This Row],[교직원번호]]&amp;"|"&amp;tblLeave[[#This Row],[시작일]])</f>
        <v>900373|46047</v>
      </c>
      <c r="I108">
        <f>IF(tblLeave[[#This Row],[휴직구분]]="휴직복직","",tblLeave[[#This Row],[종료일]]-tblLeave[[#This Row],[시작일]])</f>
        <v>322</v>
      </c>
      <c r="J10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08" t="str">
        <f>IF(tblLeave[[#This Row],[휴직구분]]="휴직복직","",TEXT(tblLeave[[#This Row],[종료일]],"yyyy-mm"))</f>
        <v>2026-12</v>
      </c>
      <c r="L108">
        <f>IF(tblLeave[[#This Row],[휴직구분]]="휴직복직","",YEAR(tblLeave[[#This Row],[시작일]]))</f>
        <v>2026</v>
      </c>
      <c r="M10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08" t="str">
        <f>IF(tblLeave[[#This Row],[시작일]]&gt;tblLeave[[#This Row],[종료일]],"오류","")</f>
        <v/>
      </c>
    </row>
    <row r="109" spans="1:14" x14ac:dyDescent="0.3">
      <c r="A109">
        <v>900374</v>
      </c>
      <c r="B109" t="s">
        <v>84</v>
      </c>
      <c r="C109" t="s">
        <v>16</v>
      </c>
      <c r="D109">
        <v>1</v>
      </c>
      <c r="E109" t="s">
        <v>44</v>
      </c>
      <c r="F109" s="1">
        <v>46145</v>
      </c>
      <c r="G109" s="1">
        <v>46510</v>
      </c>
      <c r="H109" t="str">
        <f>IF(tblLeave[[#This Row],[휴직구분]]="휴직복직","",tblLeave[[#This Row],[교직원번호]]&amp;"|"&amp;tblLeave[[#This Row],[시작일]])</f>
        <v>900374|46145</v>
      </c>
      <c r="I109">
        <f>IF(tblLeave[[#This Row],[휴직구분]]="휴직복직","",tblLeave[[#This Row],[종료일]]-tblLeave[[#This Row],[시작일]])</f>
        <v>365</v>
      </c>
      <c r="J10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09" t="str">
        <f>IF(tblLeave[[#This Row],[휴직구분]]="휴직복직","",TEXT(tblLeave[[#This Row],[종료일]],"yyyy-mm"))</f>
        <v>2027-05</v>
      </c>
      <c r="L109">
        <f>IF(tblLeave[[#This Row],[휴직구분]]="휴직복직","",YEAR(tblLeave[[#This Row],[시작일]]))</f>
        <v>2026</v>
      </c>
      <c r="M10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09" t="str">
        <f>IF(tblLeave[[#This Row],[시작일]]&gt;tblLeave[[#This Row],[종료일]],"오류","")</f>
        <v/>
      </c>
    </row>
    <row r="110" spans="1:14" x14ac:dyDescent="0.3">
      <c r="A110">
        <v>900377</v>
      </c>
      <c r="B110" t="s">
        <v>85</v>
      </c>
      <c r="C110" t="s">
        <v>8</v>
      </c>
      <c r="D110">
        <v>1</v>
      </c>
      <c r="E110" t="s">
        <v>9</v>
      </c>
      <c r="F110" s="1">
        <v>45691</v>
      </c>
      <c r="G110" s="1">
        <v>2958465</v>
      </c>
      <c r="H110" t="str">
        <f>IF(tblLeave[[#This Row],[휴직구분]]="휴직복직","",tblLeave[[#This Row],[교직원번호]]&amp;"|"&amp;tblLeave[[#This Row],[시작일]])</f>
        <v/>
      </c>
      <c r="I110" t="str">
        <f>IF(tblLeave[[#This Row],[휴직구분]]="휴직복직","",tblLeave[[#This Row],[종료일]]-tblLeave[[#This Row],[시작일]])</f>
        <v/>
      </c>
      <c r="J11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0" t="str">
        <f>IF(tblLeave[[#This Row],[휴직구분]]="휴직복직","",TEXT(tblLeave[[#This Row],[종료일]],"yyyy-mm"))</f>
        <v/>
      </c>
      <c r="L110" t="str">
        <f>IF(tblLeave[[#This Row],[휴직구분]]="휴직복직","",YEAR(tblLeave[[#This Row],[시작일]]))</f>
        <v/>
      </c>
      <c r="M11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0" t="str">
        <f>IF(tblLeave[[#This Row],[시작일]]&gt;tblLeave[[#This Row],[종료일]],"오류","")</f>
        <v/>
      </c>
    </row>
    <row r="111" spans="1:14" x14ac:dyDescent="0.3">
      <c r="A111">
        <v>900378</v>
      </c>
      <c r="B111" t="s">
        <v>86</v>
      </c>
      <c r="C111" t="s">
        <v>8</v>
      </c>
      <c r="D111">
        <v>1</v>
      </c>
      <c r="E111" t="s">
        <v>9</v>
      </c>
      <c r="F111" s="1">
        <v>45581</v>
      </c>
      <c r="G111" s="1">
        <v>2958465</v>
      </c>
      <c r="H111" t="str">
        <f>IF(tblLeave[[#This Row],[휴직구분]]="휴직복직","",tblLeave[[#This Row],[교직원번호]]&amp;"|"&amp;tblLeave[[#This Row],[시작일]])</f>
        <v/>
      </c>
      <c r="I111" t="str">
        <f>IF(tblLeave[[#This Row],[휴직구분]]="휴직복직","",tblLeave[[#This Row],[종료일]]-tblLeave[[#This Row],[시작일]])</f>
        <v/>
      </c>
      <c r="J11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1" t="str">
        <f>IF(tblLeave[[#This Row],[휴직구분]]="휴직복직","",TEXT(tblLeave[[#This Row],[종료일]],"yyyy-mm"))</f>
        <v/>
      </c>
      <c r="L111" t="str">
        <f>IF(tblLeave[[#This Row],[휴직구분]]="휴직복직","",YEAR(tblLeave[[#This Row],[시작일]]))</f>
        <v/>
      </c>
      <c r="M11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1" t="str">
        <f>IF(tblLeave[[#This Row],[시작일]]&gt;tblLeave[[#This Row],[종료일]],"오류","")</f>
        <v/>
      </c>
    </row>
    <row r="112" spans="1:14" x14ac:dyDescent="0.3">
      <c r="A112">
        <v>900394</v>
      </c>
      <c r="B112" t="s">
        <v>87</v>
      </c>
      <c r="C112" t="s">
        <v>16</v>
      </c>
      <c r="D112">
        <v>1</v>
      </c>
      <c r="E112" t="s">
        <v>9</v>
      </c>
      <c r="F112" s="1">
        <v>45164</v>
      </c>
      <c r="G112" s="1">
        <v>2958465</v>
      </c>
      <c r="H112" t="str">
        <f>IF(tblLeave[[#This Row],[휴직구분]]="휴직복직","",tblLeave[[#This Row],[교직원번호]]&amp;"|"&amp;tblLeave[[#This Row],[시작일]])</f>
        <v/>
      </c>
      <c r="I112" t="str">
        <f>IF(tblLeave[[#This Row],[휴직구분]]="휴직복직","",tblLeave[[#This Row],[종료일]]-tblLeave[[#This Row],[시작일]])</f>
        <v/>
      </c>
      <c r="J11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2" t="str">
        <f>IF(tblLeave[[#This Row],[휴직구분]]="휴직복직","",TEXT(tblLeave[[#This Row],[종료일]],"yyyy-mm"))</f>
        <v/>
      </c>
      <c r="L112" t="str">
        <f>IF(tblLeave[[#This Row],[휴직구분]]="휴직복직","",YEAR(tblLeave[[#This Row],[시작일]]))</f>
        <v/>
      </c>
      <c r="M11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2" t="str">
        <f>IF(tblLeave[[#This Row],[시작일]]&gt;tblLeave[[#This Row],[종료일]],"오류","")</f>
        <v/>
      </c>
    </row>
    <row r="113" spans="1:14" x14ac:dyDescent="0.3">
      <c r="A113">
        <v>900394</v>
      </c>
      <c r="B113" t="s">
        <v>87</v>
      </c>
      <c r="C113" t="s">
        <v>16</v>
      </c>
      <c r="D113">
        <v>2</v>
      </c>
      <c r="E113" t="s">
        <v>44</v>
      </c>
      <c r="F113" s="1">
        <v>46042</v>
      </c>
      <c r="G113" s="1">
        <v>46407</v>
      </c>
      <c r="H113" t="str">
        <f>IF(tblLeave[[#This Row],[휴직구분]]="휴직복직","",tblLeave[[#This Row],[교직원번호]]&amp;"|"&amp;tblLeave[[#This Row],[시작일]])</f>
        <v>900394|46042</v>
      </c>
      <c r="I113">
        <f>IF(tblLeave[[#This Row],[휴직구분]]="휴직복직","",tblLeave[[#This Row],[종료일]]-tblLeave[[#This Row],[시작일]])</f>
        <v>365</v>
      </c>
      <c r="J11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13" t="str">
        <f>IF(tblLeave[[#This Row],[휴직구분]]="휴직복직","",TEXT(tblLeave[[#This Row],[종료일]],"yyyy-mm"))</f>
        <v>2027-01</v>
      </c>
      <c r="L113">
        <f>IF(tblLeave[[#This Row],[휴직구분]]="휴직복직","",YEAR(tblLeave[[#This Row],[시작일]]))</f>
        <v>2026</v>
      </c>
      <c r="M11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13" t="str">
        <f>IF(tblLeave[[#This Row],[시작일]]&gt;tblLeave[[#This Row],[종료일]],"오류","")</f>
        <v/>
      </c>
    </row>
    <row r="114" spans="1:14" x14ac:dyDescent="0.3">
      <c r="A114">
        <v>900402</v>
      </c>
      <c r="B114" t="s">
        <v>88</v>
      </c>
      <c r="C114" t="s">
        <v>8</v>
      </c>
      <c r="D114">
        <v>1</v>
      </c>
      <c r="E114" t="s">
        <v>9</v>
      </c>
      <c r="F114" s="1">
        <v>44942</v>
      </c>
      <c r="G114" s="1">
        <v>2958465</v>
      </c>
      <c r="H114" t="str">
        <f>IF(tblLeave[[#This Row],[휴직구분]]="휴직복직","",tblLeave[[#This Row],[교직원번호]]&amp;"|"&amp;tblLeave[[#This Row],[시작일]])</f>
        <v/>
      </c>
      <c r="I114" t="str">
        <f>IF(tblLeave[[#This Row],[휴직구분]]="휴직복직","",tblLeave[[#This Row],[종료일]]-tblLeave[[#This Row],[시작일]])</f>
        <v/>
      </c>
      <c r="J11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4" t="str">
        <f>IF(tblLeave[[#This Row],[휴직구분]]="휴직복직","",TEXT(tblLeave[[#This Row],[종료일]],"yyyy-mm"))</f>
        <v/>
      </c>
      <c r="L114" t="str">
        <f>IF(tblLeave[[#This Row],[휴직구분]]="휴직복직","",YEAR(tblLeave[[#This Row],[시작일]]))</f>
        <v/>
      </c>
      <c r="M11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4" t="str">
        <f>IF(tblLeave[[#This Row],[시작일]]&gt;tblLeave[[#This Row],[종료일]],"오류","")</f>
        <v/>
      </c>
    </row>
    <row r="115" spans="1:14" x14ac:dyDescent="0.3">
      <c r="A115">
        <v>900403</v>
      </c>
      <c r="B115" t="s">
        <v>89</v>
      </c>
      <c r="C115" t="s">
        <v>8</v>
      </c>
      <c r="D115">
        <v>1</v>
      </c>
      <c r="E115" t="s">
        <v>9</v>
      </c>
      <c r="F115" s="1">
        <v>45400</v>
      </c>
      <c r="G115" s="1">
        <v>2958465</v>
      </c>
      <c r="H115" t="str">
        <f>IF(tblLeave[[#This Row],[휴직구분]]="휴직복직","",tblLeave[[#This Row],[교직원번호]]&amp;"|"&amp;tblLeave[[#This Row],[시작일]])</f>
        <v/>
      </c>
      <c r="I115" t="str">
        <f>IF(tblLeave[[#This Row],[휴직구분]]="휴직복직","",tblLeave[[#This Row],[종료일]]-tblLeave[[#This Row],[시작일]])</f>
        <v/>
      </c>
      <c r="J11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5" t="str">
        <f>IF(tblLeave[[#This Row],[휴직구분]]="휴직복직","",TEXT(tblLeave[[#This Row],[종료일]],"yyyy-mm"))</f>
        <v/>
      </c>
      <c r="L115" t="str">
        <f>IF(tblLeave[[#This Row],[휴직구분]]="휴직복직","",YEAR(tblLeave[[#This Row],[시작일]]))</f>
        <v/>
      </c>
      <c r="M11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5" t="str">
        <f>IF(tblLeave[[#This Row],[시작일]]&gt;tblLeave[[#This Row],[종료일]],"오류","")</f>
        <v/>
      </c>
    </row>
    <row r="116" spans="1:14" x14ac:dyDescent="0.3">
      <c r="A116">
        <v>900413</v>
      </c>
      <c r="B116" t="s">
        <v>90</v>
      </c>
      <c r="C116" t="s">
        <v>16</v>
      </c>
      <c r="D116">
        <v>1</v>
      </c>
      <c r="E116" t="s">
        <v>9</v>
      </c>
      <c r="F116" s="1">
        <v>45837</v>
      </c>
      <c r="G116" s="1">
        <v>2958465</v>
      </c>
      <c r="H116" t="str">
        <f>IF(tblLeave[[#This Row],[휴직구분]]="휴직복직","",tblLeave[[#This Row],[교직원번호]]&amp;"|"&amp;tblLeave[[#This Row],[시작일]])</f>
        <v/>
      </c>
      <c r="I116" t="str">
        <f>IF(tblLeave[[#This Row],[휴직구분]]="휴직복직","",tblLeave[[#This Row],[종료일]]-tblLeave[[#This Row],[시작일]])</f>
        <v/>
      </c>
      <c r="J11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6" t="str">
        <f>IF(tblLeave[[#This Row],[휴직구분]]="휴직복직","",TEXT(tblLeave[[#This Row],[종료일]],"yyyy-mm"))</f>
        <v/>
      </c>
      <c r="L116" t="str">
        <f>IF(tblLeave[[#This Row],[휴직구분]]="휴직복직","",YEAR(tblLeave[[#This Row],[시작일]]))</f>
        <v/>
      </c>
      <c r="M11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6" t="str">
        <f>IF(tblLeave[[#This Row],[시작일]]&gt;tblLeave[[#This Row],[종료일]],"오류","")</f>
        <v/>
      </c>
    </row>
    <row r="117" spans="1:14" x14ac:dyDescent="0.3">
      <c r="A117">
        <v>900413</v>
      </c>
      <c r="B117" t="s">
        <v>90</v>
      </c>
      <c r="C117" t="s">
        <v>16</v>
      </c>
      <c r="D117">
        <v>2</v>
      </c>
      <c r="E117" t="s">
        <v>17</v>
      </c>
      <c r="F117" s="1">
        <v>46116</v>
      </c>
      <c r="G117" s="1">
        <v>46299</v>
      </c>
      <c r="H117" t="str">
        <f>IF(tblLeave[[#This Row],[휴직구분]]="휴직복직","",tblLeave[[#This Row],[교직원번호]]&amp;"|"&amp;tblLeave[[#This Row],[시작일]])</f>
        <v>900413|46116</v>
      </c>
      <c r="I117">
        <f>IF(tblLeave[[#This Row],[휴직구분]]="휴직복직","",tblLeave[[#This Row],[종료일]]-tblLeave[[#This Row],[시작일]])</f>
        <v>183</v>
      </c>
      <c r="J11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17" t="str">
        <f>IF(tblLeave[[#This Row],[휴직구분]]="휴직복직","",TEXT(tblLeave[[#This Row],[종료일]],"yyyy-mm"))</f>
        <v>2026-10</v>
      </c>
      <c r="L117">
        <f>IF(tblLeave[[#This Row],[휴직구분]]="휴직복직","",YEAR(tblLeave[[#This Row],[시작일]]))</f>
        <v>2026</v>
      </c>
      <c r="M11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6개월 이하</v>
      </c>
      <c r="N117" t="str">
        <f>IF(tblLeave[[#This Row],[시작일]]&gt;tblLeave[[#This Row],[종료일]],"오류","")</f>
        <v/>
      </c>
    </row>
    <row r="118" spans="1:14" x14ac:dyDescent="0.3">
      <c r="A118">
        <v>900417</v>
      </c>
      <c r="B118" t="s">
        <v>91</v>
      </c>
      <c r="C118" t="s">
        <v>8</v>
      </c>
      <c r="D118">
        <v>1</v>
      </c>
      <c r="E118" t="s">
        <v>9</v>
      </c>
      <c r="F118" s="1">
        <v>45284</v>
      </c>
      <c r="G118" s="1">
        <v>2958465</v>
      </c>
      <c r="H118" t="str">
        <f>IF(tblLeave[[#This Row],[휴직구분]]="휴직복직","",tblLeave[[#This Row],[교직원번호]]&amp;"|"&amp;tblLeave[[#This Row],[시작일]])</f>
        <v/>
      </c>
      <c r="I118" t="str">
        <f>IF(tblLeave[[#This Row],[휴직구분]]="휴직복직","",tblLeave[[#This Row],[종료일]]-tblLeave[[#This Row],[시작일]])</f>
        <v/>
      </c>
      <c r="J11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8" t="str">
        <f>IF(tblLeave[[#This Row],[휴직구분]]="휴직복직","",TEXT(tblLeave[[#This Row],[종료일]],"yyyy-mm"))</f>
        <v/>
      </c>
      <c r="L118" t="str">
        <f>IF(tblLeave[[#This Row],[휴직구분]]="휴직복직","",YEAR(tblLeave[[#This Row],[시작일]]))</f>
        <v/>
      </c>
      <c r="M11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8" t="str">
        <f>IF(tblLeave[[#This Row],[시작일]]&gt;tblLeave[[#This Row],[종료일]],"오류","")</f>
        <v/>
      </c>
    </row>
    <row r="119" spans="1:14" x14ac:dyDescent="0.3">
      <c r="A119">
        <v>900426</v>
      </c>
      <c r="B119" t="s">
        <v>92</v>
      </c>
      <c r="C119" t="s">
        <v>16</v>
      </c>
      <c r="D119">
        <v>1</v>
      </c>
      <c r="E119" t="s">
        <v>9</v>
      </c>
      <c r="F119" s="1">
        <v>45113</v>
      </c>
      <c r="G119" s="1">
        <v>2958465</v>
      </c>
      <c r="H119" t="str">
        <f>IF(tblLeave[[#This Row],[휴직구분]]="휴직복직","",tblLeave[[#This Row],[교직원번호]]&amp;"|"&amp;tblLeave[[#This Row],[시작일]])</f>
        <v/>
      </c>
      <c r="I119" t="str">
        <f>IF(tblLeave[[#This Row],[휴직구분]]="휴직복직","",tblLeave[[#This Row],[종료일]]-tblLeave[[#This Row],[시작일]])</f>
        <v/>
      </c>
      <c r="J11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19" t="str">
        <f>IF(tblLeave[[#This Row],[휴직구분]]="휴직복직","",TEXT(tblLeave[[#This Row],[종료일]],"yyyy-mm"))</f>
        <v/>
      </c>
      <c r="L119" t="str">
        <f>IF(tblLeave[[#This Row],[휴직구분]]="휴직복직","",YEAR(tblLeave[[#This Row],[시작일]]))</f>
        <v/>
      </c>
      <c r="M11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19" t="str">
        <f>IF(tblLeave[[#This Row],[시작일]]&gt;tblLeave[[#This Row],[종료일]],"오류","")</f>
        <v/>
      </c>
    </row>
    <row r="120" spans="1:14" x14ac:dyDescent="0.3">
      <c r="A120">
        <v>900426</v>
      </c>
      <c r="B120" t="s">
        <v>92</v>
      </c>
      <c r="C120" t="s">
        <v>16</v>
      </c>
      <c r="D120">
        <v>2</v>
      </c>
      <c r="E120" t="s">
        <v>9</v>
      </c>
      <c r="F120" s="1">
        <v>45205</v>
      </c>
      <c r="G120" s="1">
        <v>2958465</v>
      </c>
      <c r="H120" t="str">
        <f>IF(tblLeave[[#This Row],[휴직구분]]="휴직복직","",tblLeave[[#This Row],[교직원번호]]&amp;"|"&amp;tblLeave[[#This Row],[시작일]])</f>
        <v/>
      </c>
      <c r="I120" t="str">
        <f>IF(tblLeave[[#This Row],[휴직구분]]="휴직복직","",tblLeave[[#This Row],[종료일]]-tblLeave[[#This Row],[시작일]])</f>
        <v/>
      </c>
      <c r="J12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0" t="str">
        <f>IF(tblLeave[[#This Row],[휴직구분]]="휴직복직","",TEXT(tblLeave[[#This Row],[종료일]],"yyyy-mm"))</f>
        <v/>
      </c>
      <c r="L120" t="str">
        <f>IF(tblLeave[[#This Row],[휴직구분]]="휴직복직","",YEAR(tblLeave[[#This Row],[시작일]]))</f>
        <v/>
      </c>
      <c r="M12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0" t="str">
        <f>IF(tblLeave[[#This Row],[시작일]]&gt;tblLeave[[#This Row],[종료일]],"오류","")</f>
        <v/>
      </c>
    </row>
    <row r="121" spans="1:14" x14ac:dyDescent="0.3">
      <c r="A121">
        <v>900426</v>
      </c>
      <c r="B121" t="s">
        <v>92</v>
      </c>
      <c r="C121" t="s">
        <v>16</v>
      </c>
      <c r="D121">
        <v>3</v>
      </c>
      <c r="E121" t="s">
        <v>93</v>
      </c>
      <c r="F121" s="1">
        <v>45950</v>
      </c>
      <c r="G121" s="1">
        <v>46315</v>
      </c>
      <c r="H121" t="str">
        <f>IF(tblLeave[[#This Row],[휴직구분]]="휴직복직","",tblLeave[[#This Row],[교직원번호]]&amp;"|"&amp;tblLeave[[#This Row],[시작일]])</f>
        <v>900426|45950</v>
      </c>
      <c r="I121">
        <f>IF(tblLeave[[#This Row],[휴직구분]]="휴직복직","",tblLeave[[#This Row],[종료일]]-tblLeave[[#This Row],[시작일]])</f>
        <v>365</v>
      </c>
      <c r="J12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21" t="str">
        <f>IF(tblLeave[[#This Row],[휴직구분]]="휴직복직","",TEXT(tblLeave[[#This Row],[종료일]],"yyyy-mm"))</f>
        <v>2026-10</v>
      </c>
      <c r="L121">
        <f>IF(tblLeave[[#This Row],[휴직구분]]="휴직복직","",YEAR(tblLeave[[#This Row],[시작일]]))</f>
        <v>2025</v>
      </c>
      <c r="M12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21" t="str">
        <f>IF(tblLeave[[#This Row],[시작일]]&gt;tblLeave[[#This Row],[종료일]],"오류","")</f>
        <v/>
      </c>
    </row>
    <row r="122" spans="1:14" x14ac:dyDescent="0.3">
      <c r="A122">
        <v>900430</v>
      </c>
      <c r="B122" t="s">
        <v>94</v>
      </c>
      <c r="C122" t="s">
        <v>8</v>
      </c>
      <c r="D122">
        <v>1</v>
      </c>
      <c r="E122" t="s">
        <v>9</v>
      </c>
      <c r="F122" s="1">
        <v>45386</v>
      </c>
      <c r="G122" s="1">
        <v>2958465</v>
      </c>
      <c r="H122" t="str">
        <f>IF(tblLeave[[#This Row],[휴직구분]]="휴직복직","",tblLeave[[#This Row],[교직원번호]]&amp;"|"&amp;tblLeave[[#This Row],[시작일]])</f>
        <v/>
      </c>
      <c r="I122" t="str">
        <f>IF(tblLeave[[#This Row],[휴직구분]]="휴직복직","",tblLeave[[#This Row],[종료일]]-tblLeave[[#This Row],[시작일]])</f>
        <v/>
      </c>
      <c r="J12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2" t="str">
        <f>IF(tblLeave[[#This Row],[휴직구분]]="휴직복직","",TEXT(tblLeave[[#This Row],[종료일]],"yyyy-mm"))</f>
        <v/>
      </c>
      <c r="L122" t="str">
        <f>IF(tblLeave[[#This Row],[휴직구분]]="휴직복직","",YEAR(tblLeave[[#This Row],[시작일]]))</f>
        <v/>
      </c>
      <c r="M12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2" t="str">
        <f>IF(tblLeave[[#This Row],[시작일]]&gt;tblLeave[[#This Row],[종료일]],"오류","")</f>
        <v/>
      </c>
    </row>
    <row r="123" spans="1:14" x14ac:dyDescent="0.3">
      <c r="A123">
        <v>900441</v>
      </c>
      <c r="B123" t="s">
        <v>95</v>
      </c>
      <c r="C123" t="s">
        <v>8</v>
      </c>
      <c r="D123">
        <v>1</v>
      </c>
      <c r="E123" t="s">
        <v>9</v>
      </c>
      <c r="F123" s="1">
        <v>45324</v>
      </c>
      <c r="G123" s="1">
        <v>2958465</v>
      </c>
      <c r="H123" t="str">
        <f>IF(tblLeave[[#This Row],[휴직구분]]="휴직복직","",tblLeave[[#This Row],[교직원번호]]&amp;"|"&amp;tblLeave[[#This Row],[시작일]])</f>
        <v/>
      </c>
      <c r="I123" t="str">
        <f>IF(tblLeave[[#This Row],[휴직구분]]="휴직복직","",tblLeave[[#This Row],[종료일]]-tblLeave[[#This Row],[시작일]])</f>
        <v/>
      </c>
      <c r="J12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3" t="str">
        <f>IF(tblLeave[[#This Row],[휴직구분]]="휴직복직","",TEXT(tblLeave[[#This Row],[종료일]],"yyyy-mm"))</f>
        <v/>
      </c>
      <c r="L123" t="str">
        <f>IF(tblLeave[[#This Row],[휴직구분]]="휴직복직","",YEAR(tblLeave[[#This Row],[시작일]]))</f>
        <v/>
      </c>
      <c r="M12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3" t="str">
        <f>IF(tblLeave[[#This Row],[시작일]]&gt;tblLeave[[#This Row],[종료일]],"오류","")</f>
        <v/>
      </c>
    </row>
    <row r="124" spans="1:14" x14ac:dyDescent="0.3">
      <c r="A124">
        <v>900448</v>
      </c>
      <c r="B124" t="s">
        <v>96</v>
      </c>
      <c r="C124" t="s">
        <v>8</v>
      </c>
      <c r="D124">
        <v>1</v>
      </c>
      <c r="E124" t="s">
        <v>9</v>
      </c>
      <c r="F124" s="1">
        <v>45250</v>
      </c>
      <c r="G124" s="1">
        <v>2958465</v>
      </c>
      <c r="H124" t="str">
        <f>IF(tblLeave[[#This Row],[휴직구분]]="휴직복직","",tblLeave[[#This Row],[교직원번호]]&amp;"|"&amp;tblLeave[[#This Row],[시작일]])</f>
        <v/>
      </c>
      <c r="I124" t="str">
        <f>IF(tblLeave[[#This Row],[휴직구분]]="휴직복직","",tblLeave[[#This Row],[종료일]]-tblLeave[[#This Row],[시작일]])</f>
        <v/>
      </c>
      <c r="J12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4" t="str">
        <f>IF(tblLeave[[#This Row],[휴직구분]]="휴직복직","",TEXT(tblLeave[[#This Row],[종료일]],"yyyy-mm"))</f>
        <v/>
      </c>
      <c r="L124" t="str">
        <f>IF(tblLeave[[#This Row],[휴직구분]]="휴직복직","",YEAR(tblLeave[[#This Row],[시작일]]))</f>
        <v/>
      </c>
      <c r="M12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4" t="str">
        <f>IF(tblLeave[[#This Row],[시작일]]&gt;tblLeave[[#This Row],[종료일]],"오류","")</f>
        <v/>
      </c>
    </row>
    <row r="125" spans="1:14" x14ac:dyDescent="0.3">
      <c r="A125">
        <v>900450</v>
      </c>
      <c r="B125" t="s">
        <v>97</v>
      </c>
      <c r="C125" t="s">
        <v>8</v>
      </c>
      <c r="D125">
        <v>1</v>
      </c>
      <c r="E125" t="s">
        <v>9</v>
      </c>
      <c r="F125" s="1">
        <v>45893</v>
      </c>
      <c r="G125" s="1">
        <v>2958465</v>
      </c>
      <c r="H125" t="str">
        <f>IF(tblLeave[[#This Row],[휴직구분]]="휴직복직","",tblLeave[[#This Row],[교직원번호]]&amp;"|"&amp;tblLeave[[#This Row],[시작일]])</f>
        <v/>
      </c>
      <c r="I125" t="str">
        <f>IF(tblLeave[[#This Row],[휴직구분]]="휴직복직","",tblLeave[[#This Row],[종료일]]-tblLeave[[#This Row],[시작일]])</f>
        <v/>
      </c>
      <c r="J12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5" t="str">
        <f>IF(tblLeave[[#This Row],[휴직구분]]="휴직복직","",TEXT(tblLeave[[#This Row],[종료일]],"yyyy-mm"))</f>
        <v/>
      </c>
      <c r="L125" t="str">
        <f>IF(tblLeave[[#This Row],[휴직구분]]="휴직복직","",YEAR(tblLeave[[#This Row],[시작일]]))</f>
        <v/>
      </c>
      <c r="M12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5" t="str">
        <f>IF(tblLeave[[#This Row],[시작일]]&gt;tblLeave[[#This Row],[종료일]],"오류","")</f>
        <v/>
      </c>
    </row>
    <row r="126" spans="1:14" x14ac:dyDescent="0.3">
      <c r="A126">
        <v>900451</v>
      </c>
      <c r="B126" t="s">
        <v>98</v>
      </c>
      <c r="C126" t="s">
        <v>8</v>
      </c>
      <c r="D126">
        <v>1</v>
      </c>
      <c r="E126" t="s">
        <v>9</v>
      </c>
      <c r="F126" s="1">
        <v>45874</v>
      </c>
      <c r="G126" s="1">
        <v>2958465</v>
      </c>
      <c r="H126" t="str">
        <f>IF(tblLeave[[#This Row],[휴직구분]]="휴직복직","",tblLeave[[#This Row],[교직원번호]]&amp;"|"&amp;tblLeave[[#This Row],[시작일]])</f>
        <v/>
      </c>
      <c r="I126" t="str">
        <f>IF(tblLeave[[#This Row],[휴직구분]]="휴직복직","",tblLeave[[#This Row],[종료일]]-tblLeave[[#This Row],[시작일]])</f>
        <v/>
      </c>
      <c r="J12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6" t="str">
        <f>IF(tblLeave[[#This Row],[휴직구분]]="휴직복직","",TEXT(tblLeave[[#This Row],[종료일]],"yyyy-mm"))</f>
        <v/>
      </c>
      <c r="L126" t="str">
        <f>IF(tblLeave[[#This Row],[휴직구분]]="휴직복직","",YEAR(tblLeave[[#This Row],[시작일]]))</f>
        <v/>
      </c>
      <c r="M12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6" t="str">
        <f>IF(tblLeave[[#This Row],[시작일]]&gt;tblLeave[[#This Row],[종료일]],"오류","")</f>
        <v/>
      </c>
    </row>
    <row r="127" spans="1:14" x14ac:dyDescent="0.3">
      <c r="A127">
        <v>900459</v>
      </c>
      <c r="B127" t="s">
        <v>99</v>
      </c>
      <c r="C127" t="s">
        <v>8</v>
      </c>
      <c r="D127">
        <v>1</v>
      </c>
      <c r="E127" t="s">
        <v>9</v>
      </c>
      <c r="F127" s="1">
        <v>45634</v>
      </c>
      <c r="G127" s="1">
        <v>2958465</v>
      </c>
      <c r="H127" t="str">
        <f>IF(tblLeave[[#This Row],[휴직구분]]="휴직복직","",tblLeave[[#This Row],[교직원번호]]&amp;"|"&amp;tblLeave[[#This Row],[시작일]])</f>
        <v/>
      </c>
      <c r="I127" t="str">
        <f>IF(tblLeave[[#This Row],[휴직구분]]="휴직복직","",tblLeave[[#This Row],[종료일]]-tblLeave[[#This Row],[시작일]])</f>
        <v/>
      </c>
      <c r="J127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7" t="str">
        <f>IF(tblLeave[[#This Row],[휴직구분]]="휴직복직","",TEXT(tblLeave[[#This Row],[종료일]],"yyyy-mm"))</f>
        <v/>
      </c>
      <c r="L127" t="str">
        <f>IF(tblLeave[[#This Row],[휴직구분]]="휴직복직","",YEAR(tblLeave[[#This Row],[시작일]]))</f>
        <v/>
      </c>
      <c r="M127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7" t="str">
        <f>IF(tblLeave[[#This Row],[시작일]]&gt;tblLeave[[#This Row],[종료일]],"오류","")</f>
        <v/>
      </c>
    </row>
    <row r="128" spans="1:14" x14ac:dyDescent="0.3">
      <c r="A128">
        <v>900462</v>
      </c>
      <c r="B128" t="s">
        <v>100</v>
      </c>
      <c r="C128" t="s">
        <v>8</v>
      </c>
      <c r="D128">
        <v>1</v>
      </c>
      <c r="E128" t="s">
        <v>9</v>
      </c>
      <c r="F128" s="1">
        <v>45391</v>
      </c>
      <c r="G128" s="1">
        <v>2958465</v>
      </c>
      <c r="H128" t="str">
        <f>IF(tblLeave[[#This Row],[휴직구분]]="휴직복직","",tblLeave[[#This Row],[교직원번호]]&amp;"|"&amp;tblLeave[[#This Row],[시작일]])</f>
        <v/>
      </c>
      <c r="I128" t="str">
        <f>IF(tblLeave[[#This Row],[휴직구분]]="휴직복직","",tblLeave[[#This Row],[종료일]]-tblLeave[[#This Row],[시작일]])</f>
        <v/>
      </c>
      <c r="J128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8" t="str">
        <f>IF(tblLeave[[#This Row],[휴직구분]]="휴직복직","",TEXT(tblLeave[[#This Row],[종료일]],"yyyy-mm"))</f>
        <v/>
      </c>
      <c r="L128" t="str">
        <f>IF(tblLeave[[#This Row],[휴직구분]]="휴직복직","",YEAR(tblLeave[[#This Row],[시작일]]))</f>
        <v/>
      </c>
      <c r="M128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8" t="str">
        <f>IF(tblLeave[[#This Row],[시작일]]&gt;tblLeave[[#This Row],[종료일]],"오류","")</f>
        <v/>
      </c>
    </row>
    <row r="129" spans="1:14" x14ac:dyDescent="0.3">
      <c r="A129">
        <v>900471</v>
      </c>
      <c r="B129" t="s">
        <v>101</v>
      </c>
      <c r="C129" t="s">
        <v>16</v>
      </c>
      <c r="D129">
        <v>1</v>
      </c>
      <c r="E129" t="s">
        <v>9</v>
      </c>
      <c r="F129" s="1">
        <v>45973</v>
      </c>
      <c r="G129" s="1">
        <v>2958465</v>
      </c>
      <c r="H129" t="str">
        <f>IF(tblLeave[[#This Row],[휴직구분]]="휴직복직","",tblLeave[[#This Row],[교직원번호]]&amp;"|"&amp;tblLeave[[#This Row],[시작일]])</f>
        <v/>
      </c>
      <c r="I129" t="str">
        <f>IF(tblLeave[[#This Row],[휴직구분]]="휴직복직","",tblLeave[[#This Row],[종료일]]-tblLeave[[#This Row],[시작일]])</f>
        <v/>
      </c>
      <c r="J129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29" t="str">
        <f>IF(tblLeave[[#This Row],[휴직구분]]="휴직복직","",TEXT(tblLeave[[#This Row],[종료일]],"yyyy-mm"))</f>
        <v/>
      </c>
      <c r="L129" t="str">
        <f>IF(tblLeave[[#This Row],[휴직구분]]="휴직복직","",YEAR(tblLeave[[#This Row],[시작일]]))</f>
        <v/>
      </c>
      <c r="M129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29" t="str">
        <f>IF(tblLeave[[#This Row],[시작일]]&gt;tblLeave[[#This Row],[종료일]],"오류","")</f>
        <v/>
      </c>
    </row>
    <row r="130" spans="1:14" x14ac:dyDescent="0.3">
      <c r="A130">
        <v>900471</v>
      </c>
      <c r="B130" t="s">
        <v>101</v>
      </c>
      <c r="C130" t="s">
        <v>16</v>
      </c>
      <c r="D130">
        <v>2</v>
      </c>
      <c r="E130" t="s">
        <v>9</v>
      </c>
      <c r="F130" s="1">
        <v>45246</v>
      </c>
      <c r="G130" s="1">
        <v>2958465</v>
      </c>
      <c r="H130" t="str">
        <f>IF(tblLeave[[#This Row],[휴직구분]]="휴직복직","",tblLeave[[#This Row],[교직원번호]]&amp;"|"&amp;tblLeave[[#This Row],[시작일]])</f>
        <v/>
      </c>
      <c r="I130" t="str">
        <f>IF(tblLeave[[#This Row],[휴직구분]]="휴직복직","",tblLeave[[#This Row],[종료일]]-tblLeave[[#This Row],[시작일]])</f>
        <v/>
      </c>
      <c r="J130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30" t="str">
        <f>IF(tblLeave[[#This Row],[휴직구분]]="휴직복직","",TEXT(tblLeave[[#This Row],[종료일]],"yyyy-mm"))</f>
        <v/>
      </c>
      <c r="L130" t="str">
        <f>IF(tblLeave[[#This Row],[휴직구분]]="휴직복직","",YEAR(tblLeave[[#This Row],[시작일]]))</f>
        <v/>
      </c>
      <c r="M130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30" t="str">
        <f>IF(tblLeave[[#This Row],[시작일]]&gt;tblLeave[[#This Row],[종료일]],"오류","")</f>
        <v/>
      </c>
    </row>
    <row r="131" spans="1:14" x14ac:dyDescent="0.3">
      <c r="A131">
        <v>900471</v>
      </c>
      <c r="B131" t="s">
        <v>101</v>
      </c>
      <c r="C131" t="s">
        <v>16</v>
      </c>
      <c r="D131">
        <v>3</v>
      </c>
      <c r="E131" t="s">
        <v>9</v>
      </c>
      <c r="F131" s="1">
        <v>45935</v>
      </c>
      <c r="G131" s="1">
        <v>2958465</v>
      </c>
      <c r="H131" t="str">
        <f>IF(tblLeave[[#This Row],[휴직구분]]="휴직복직","",tblLeave[[#This Row],[교직원번호]]&amp;"|"&amp;tblLeave[[#This Row],[시작일]])</f>
        <v/>
      </c>
      <c r="I131" t="str">
        <f>IF(tblLeave[[#This Row],[휴직구분]]="휴직복직","",tblLeave[[#This Row],[종료일]]-tblLeave[[#This Row],[시작일]])</f>
        <v/>
      </c>
      <c r="J131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31" t="str">
        <f>IF(tblLeave[[#This Row],[휴직구분]]="휴직복직","",TEXT(tblLeave[[#This Row],[종료일]],"yyyy-mm"))</f>
        <v/>
      </c>
      <c r="L131" t="str">
        <f>IF(tblLeave[[#This Row],[휴직구분]]="휴직복직","",YEAR(tblLeave[[#This Row],[시작일]]))</f>
        <v/>
      </c>
      <c r="M131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31" t="str">
        <f>IF(tblLeave[[#This Row],[시작일]]&gt;tblLeave[[#This Row],[종료일]],"오류","")</f>
        <v/>
      </c>
    </row>
    <row r="132" spans="1:14" x14ac:dyDescent="0.3">
      <c r="A132">
        <v>900471</v>
      </c>
      <c r="B132" t="s">
        <v>101</v>
      </c>
      <c r="C132" t="s">
        <v>16</v>
      </c>
      <c r="D132">
        <v>4</v>
      </c>
      <c r="E132" t="s">
        <v>17</v>
      </c>
      <c r="F132" s="1">
        <v>46109</v>
      </c>
      <c r="G132" s="1">
        <v>46474</v>
      </c>
      <c r="H132" t="str">
        <f>IF(tblLeave[[#This Row],[휴직구분]]="휴직복직","",tblLeave[[#This Row],[교직원번호]]&amp;"|"&amp;tblLeave[[#This Row],[시작일]])</f>
        <v>900471|46109</v>
      </c>
      <c r="I132">
        <f>IF(tblLeave[[#This Row],[휴직구분]]="휴직복직","",tblLeave[[#This Row],[종료일]]-tblLeave[[#This Row],[시작일]])</f>
        <v>365</v>
      </c>
      <c r="J132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32" t="str">
        <f>IF(tblLeave[[#This Row],[휴직구분]]="휴직복직","",TEXT(tblLeave[[#This Row],[종료일]],"yyyy-mm"))</f>
        <v>2027-03</v>
      </c>
      <c r="L132">
        <f>IF(tblLeave[[#This Row],[휴직구분]]="휴직복직","",YEAR(tblLeave[[#This Row],[시작일]]))</f>
        <v>2026</v>
      </c>
      <c r="M132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32" t="str">
        <f>IF(tblLeave[[#This Row],[시작일]]&gt;tblLeave[[#This Row],[종료일]],"오류","")</f>
        <v/>
      </c>
    </row>
    <row r="133" spans="1:14" x14ac:dyDescent="0.3">
      <c r="A133">
        <v>900473</v>
      </c>
      <c r="B133" t="s">
        <v>102</v>
      </c>
      <c r="C133" t="s">
        <v>16</v>
      </c>
      <c r="D133">
        <v>1</v>
      </c>
      <c r="E133" t="s">
        <v>9</v>
      </c>
      <c r="F133" s="1">
        <v>45462</v>
      </c>
      <c r="G133" s="1">
        <v>2958465</v>
      </c>
      <c r="H133" t="str">
        <f>IF(tblLeave[[#This Row],[휴직구분]]="휴직복직","",tblLeave[[#This Row],[교직원번호]]&amp;"|"&amp;tblLeave[[#This Row],[시작일]])</f>
        <v/>
      </c>
      <c r="I133" t="str">
        <f>IF(tblLeave[[#This Row],[휴직구분]]="휴직복직","",tblLeave[[#This Row],[종료일]]-tblLeave[[#This Row],[시작일]])</f>
        <v/>
      </c>
      <c r="J133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33" t="str">
        <f>IF(tblLeave[[#This Row],[휴직구분]]="휴직복직","",TEXT(tblLeave[[#This Row],[종료일]],"yyyy-mm"))</f>
        <v/>
      </c>
      <c r="L133" t="str">
        <f>IF(tblLeave[[#This Row],[휴직구분]]="휴직복직","",YEAR(tblLeave[[#This Row],[시작일]]))</f>
        <v/>
      </c>
      <c r="M133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33" t="str">
        <f>IF(tblLeave[[#This Row],[시작일]]&gt;tblLeave[[#This Row],[종료일]],"오류","")</f>
        <v/>
      </c>
    </row>
    <row r="134" spans="1:14" x14ac:dyDescent="0.3">
      <c r="A134">
        <v>900473</v>
      </c>
      <c r="B134" t="s">
        <v>102</v>
      </c>
      <c r="C134" t="s">
        <v>16</v>
      </c>
      <c r="D134">
        <v>2</v>
      </c>
      <c r="E134" t="s">
        <v>17</v>
      </c>
      <c r="F134" s="1">
        <v>46171</v>
      </c>
      <c r="G134" s="1">
        <v>46355</v>
      </c>
      <c r="H134" t="str">
        <f>IF(tblLeave[[#This Row],[휴직구분]]="휴직복직","",tblLeave[[#This Row],[교직원번호]]&amp;"|"&amp;tblLeave[[#This Row],[시작일]])</f>
        <v>900473|46171</v>
      </c>
      <c r="I134">
        <f>IF(tblLeave[[#This Row],[휴직구분]]="휴직복직","",tblLeave[[#This Row],[종료일]]-tblLeave[[#This Row],[시작일]])</f>
        <v>184</v>
      </c>
      <c r="J134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34" t="str">
        <f>IF(tblLeave[[#This Row],[휴직구분]]="휴직복직","",TEXT(tblLeave[[#This Row],[종료일]],"yyyy-mm"))</f>
        <v>2026-11</v>
      </c>
      <c r="L134">
        <f>IF(tblLeave[[#This Row],[휴직구분]]="휴직복직","",YEAR(tblLeave[[#This Row],[시작일]]))</f>
        <v>2026</v>
      </c>
      <c r="M134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1년 이하</v>
      </c>
      <c r="N134" t="str">
        <f>IF(tblLeave[[#This Row],[시작일]]&gt;tblLeave[[#This Row],[종료일]],"오류","")</f>
        <v/>
      </c>
    </row>
    <row r="135" spans="1:14" x14ac:dyDescent="0.3">
      <c r="A135">
        <v>900475</v>
      </c>
      <c r="B135" t="s">
        <v>103</v>
      </c>
      <c r="C135" t="s">
        <v>16</v>
      </c>
      <c r="D135">
        <v>1</v>
      </c>
      <c r="E135" t="s">
        <v>9</v>
      </c>
      <c r="F135" s="1">
        <v>45158</v>
      </c>
      <c r="G135" s="1">
        <v>2958465</v>
      </c>
      <c r="H135" t="str">
        <f>IF(tblLeave[[#This Row],[휴직구분]]="휴직복직","",tblLeave[[#This Row],[교직원번호]]&amp;"|"&amp;tblLeave[[#This Row],[시작일]])</f>
        <v/>
      </c>
      <c r="I135" t="str">
        <f>IF(tblLeave[[#This Row],[휴직구분]]="휴직복직","",tblLeave[[#This Row],[종료일]]-tblLeave[[#This Row],[시작일]])</f>
        <v/>
      </c>
      <c r="J135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/>
      </c>
      <c r="K135" t="str">
        <f>IF(tblLeave[[#This Row],[휴직구분]]="휴직복직","",TEXT(tblLeave[[#This Row],[종료일]],"yyyy-mm"))</f>
        <v/>
      </c>
      <c r="L135" t="str">
        <f>IF(tblLeave[[#This Row],[휴직구분]]="휴직복직","",YEAR(tblLeave[[#This Row],[시작일]]))</f>
        <v/>
      </c>
      <c r="M135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/>
      </c>
      <c r="N135" t="str">
        <f>IF(tblLeave[[#This Row],[시작일]]&gt;tblLeave[[#This Row],[종료일]],"오류","")</f>
        <v/>
      </c>
    </row>
    <row r="136" spans="1:14" x14ac:dyDescent="0.3">
      <c r="A136">
        <v>900475</v>
      </c>
      <c r="B136" t="s">
        <v>103</v>
      </c>
      <c r="C136" t="s">
        <v>16</v>
      </c>
      <c r="D136">
        <v>2</v>
      </c>
      <c r="E136" t="s">
        <v>17</v>
      </c>
      <c r="F136" s="1">
        <v>45960</v>
      </c>
      <c r="G136" s="1">
        <v>46690</v>
      </c>
      <c r="H136" t="str">
        <f>IF(tblLeave[[#This Row],[휴직구분]]="휴직복직","",tblLeave[[#This Row],[교직원번호]]&amp;"|"&amp;tblLeave[[#This Row],[시작일]])</f>
        <v>900475|45960</v>
      </c>
      <c r="I136">
        <f>IF(tblLeave[[#This Row],[휴직구분]]="휴직복직","",tblLeave[[#This Row],[종료일]]-tblLeave[[#This Row],[시작일]])</f>
        <v>730</v>
      </c>
      <c r="J136" t="str">
        <f ca="1">IF(AND(tblLeave[[#This Row],[재직상태구분]]="휴직",tblLeave[[#This Row],[휴직구분]]&lt;&gt;"휴직복직",tblLeave[[#This Row],[시작일]]&lt;=TODAY(),tblLeave[[#This Row],[종료일]]&gt;=TODAY(),tblLeave[[#This Row],[시작일]]=_xlfn.MAXIFS(tblLeave[시작일],tblLeave[교직원번호],tblLeave[[#This Row],[교직원번호]],tblLeave[휴직구분],"&lt;&gt;휴직복직",tblLeave[종료일],"&gt;="&amp;TODAY(),tblLeave[시작일],"&lt;="&amp;TODAY())),"진행","")</f>
        <v>진행</v>
      </c>
      <c r="K136" t="str">
        <f>IF(tblLeave[[#This Row],[휴직구분]]="휴직복직","",TEXT(tblLeave[[#This Row],[종료일]],"yyyy-mm"))</f>
        <v>2027-10</v>
      </c>
      <c r="L136">
        <f>IF(tblLeave[[#This Row],[휴직구분]]="휴직복직","",YEAR(tblLeave[[#This Row],[시작일]]))</f>
        <v>2025</v>
      </c>
      <c r="M136" t="str">
        <f>IF(tblLeave[[#This Row],[휴직구분]]="휴직복직","",_xlfn.IFS(tblLeave[[#This Row],[휴직기간일수]]&lt;0,"검토필요",tblLeave[[#This Row],[휴직기간일수]]&lt;=183,"6개월 이하",tblLeave[[#This Row],[휴직기간일수]]&lt;=366,"1년 이하",tblLeave[[#This Row],[휴직기간일수]]&lt;=732,"2년 이하",TRUE,"2년 초과"))</f>
        <v>2년 이하</v>
      </c>
      <c r="N136" t="str">
        <f>IF(tblLeave[[#This Row],[시작일]]&gt;tblLeave[[#This Row],[종료일]],"오류","")</f>
        <v/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F4B6-3D18-4F96-8D62-0782187867DC}">
  <dimension ref="A1:G31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78" width="12.625" customWidth="1"/>
  </cols>
  <sheetData>
    <row r="1" spans="1:7" s="53" customFormat="1" ht="32.1" customHeight="1" x14ac:dyDescent="0.3">
      <c r="A1" s="53" t="s">
        <v>718</v>
      </c>
      <c r="B1" s="53" t="s">
        <v>719</v>
      </c>
      <c r="C1" s="53" t="s">
        <v>8</v>
      </c>
      <c r="D1" s="53" t="s">
        <v>16</v>
      </c>
      <c r="E1" s="53" t="s">
        <v>720</v>
      </c>
      <c r="F1" s="53" t="s">
        <v>734</v>
      </c>
      <c r="G1" s="53" t="s">
        <v>735</v>
      </c>
    </row>
    <row r="2" spans="1:7" x14ac:dyDescent="0.3">
      <c r="A2" t="s">
        <v>721</v>
      </c>
      <c r="B2" t="s">
        <v>722</v>
      </c>
      <c r="C2">
        <v>6</v>
      </c>
      <c r="D2">
        <v>0</v>
      </c>
      <c r="E2" t="s">
        <v>723</v>
      </c>
      <c r="F2">
        <f>tblHistory[[#This Row],[재직]]+tblHistory[[#This Row],[휴직]]</f>
        <v>6</v>
      </c>
      <c r="G2" s="2">
        <f>IF(tblHistory[[#This Row],[총계]]=0,"",tblHistory[[#This Row],[휴직]]/tblHistory[[#This Row],[총계]])</f>
        <v>0</v>
      </c>
    </row>
    <row r="3" spans="1:7" x14ac:dyDescent="0.3">
      <c r="A3" t="s">
        <v>721</v>
      </c>
      <c r="B3" t="s">
        <v>724</v>
      </c>
      <c r="C3">
        <v>22</v>
      </c>
      <c r="D3">
        <v>1</v>
      </c>
      <c r="E3" t="s">
        <v>723</v>
      </c>
      <c r="F3">
        <f>tblHistory[[#This Row],[재직]]+tblHistory[[#This Row],[휴직]]</f>
        <v>23</v>
      </c>
      <c r="G3" s="2">
        <f>IF(tblHistory[[#This Row],[총계]]=0,"",tblHistory[[#This Row],[휴직]]/tblHistory[[#This Row],[총계]])</f>
        <v>4.3478260869565216E-2</v>
      </c>
    </row>
    <row r="4" spans="1:7" x14ac:dyDescent="0.3">
      <c r="A4" t="s">
        <v>721</v>
      </c>
      <c r="B4" t="s">
        <v>725</v>
      </c>
      <c r="C4">
        <v>104</v>
      </c>
      <c r="D4">
        <v>7</v>
      </c>
      <c r="E4" t="s">
        <v>723</v>
      </c>
      <c r="F4">
        <f>tblHistory[[#This Row],[재직]]+tblHistory[[#This Row],[휴직]]</f>
        <v>111</v>
      </c>
      <c r="G4" s="2">
        <f>IF(tblHistory[[#This Row],[총계]]=0,"",tblHistory[[#This Row],[휴직]]/tblHistory[[#This Row],[총계]])</f>
        <v>6.3063063063063057E-2</v>
      </c>
    </row>
    <row r="5" spans="1:7" x14ac:dyDescent="0.3">
      <c r="A5" t="s">
        <v>721</v>
      </c>
      <c r="B5" t="s">
        <v>726</v>
      </c>
      <c r="C5">
        <v>72</v>
      </c>
      <c r="D5">
        <v>9</v>
      </c>
      <c r="E5" t="s">
        <v>723</v>
      </c>
      <c r="F5">
        <f>tblHistory[[#This Row],[재직]]+tblHistory[[#This Row],[휴직]]</f>
        <v>81</v>
      </c>
      <c r="G5" s="2">
        <f>IF(tblHistory[[#This Row],[총계]]=0,"",tblHistory[[#This Row],[휴직]]/tblHistory[[#This Row],[총계]])</f>
        <v>0.1111111111111111</v>
      </c>
    </row>
    <row r="6" spans="1:7" x14ac:dyDescent="0.3">
      <c r="A6" t="s">
        <v>721</v>
      </c>
      <c r="B6" t="s">
        <v>727</v>
      </c>
      <c r="C6">
        <v>44</v>
      </c>
      <c r="D6">
        <v>3</v>
      </c>
      <c r="E6" t="s">
        <v>723</v>
      </c>
      <c r="F6">
        <f>tblHistory[[#This Row],[재직]]+tblHistory[[#This Row],[휴직]]</f>
        <v>47</v>
      </c>
      <c r="G6" s="2">
        <f>IF(tblHistory[[#This Row],[총계]]=0,"",tblHistory[[#This Row],[휴직]]/tblHistory[[#This Row],[총계]])</f>
        <v>6.3829787234042548E-2</v>
      </c>
    </row>
    <row r="7" spans="1:7" x14ac:dyDescent="0.3">
      <c r="A7" t="s">
        <v>721</v>
      </c>
      <c r="B7" t="s">
        <v>728</v>
      </c>
      <c r="C7">
        <v>30</v>
      </c>
      <c r="D7">
        <v>4</v>
      </c>
      <c r="E7" t="s">
        <v>723</v>
      </c>
      <c r="F7">
        <f>tblHistory[[#This Row],[재직]]+tblHistory[[#This Row],[휴직]]</f>
        <v>34</v>
      </c>
      <c r="G7" s="2">
        <f>IF(tblHistory[[#This Row],[총계]]=0,"",tblHistory[[#This Row],[휴직]]/tblHistory[[#This Row],[총계]])</f>
        <v>0.11764705882352941</v>
      </c>
    </row>
    <row r="8" spans="1:7" x14ac:dyDescent="0.3">
      <c r="A8" t="s">
        <v>721</v>
      </c>
      <c r="B8" t="s">
        <v>729</v>
      </c>
      <c r="C8">
        <v>3</v>
      </c>
      <c r="D8">
        <v>0</v>
      </c>
      <c r="E8" t="s">
        <v>723</v>
      </c>
      <c r="F8">
        <f>tblHistory[[#This Row],[재직]]+tblHistory[[#This Row],[휴직]]</f>
        <v>3</v>
      </c>
      <c r="G8" s="2">
        <f>IF(tblHistory[[#This Row],[총계]]=0,"",tblHistory[[#This Row],[휴직]]/tblHistory[[#This Row],[총계]])</f>
        <v>0</v>
      </c>
    </row>
    <row r="9" spans="1:7" x14ac:dyDescent="0.3">
      <c r="A9" t="s">
        <v>721</v>
      </c>
      <c r="B9" t="s">
        <v>730</v>
      </c>
      <c r="C9">
        <v>3</v>
      </c>
      <c r="D9">
        <v>0</v>
      </c>
      <c r="E9" t="s">
        <v>723</v>
      </c>
      <c r="F9">
        <f>tblHistory[[#This Row],[재직]]+tblHistory[[#This Row],[휴직]]</f>
        <v>3</v>
      </c>
      <c r="G9" s="2">
        <f>IF(tblHistory[[#This Row],[총계]]=0,"",tblHistory[[#This Row],[휴직]]/tblHistory[[#This Row],[총계]])</f>
        <v>0</v>
      </c>
    </row>
    <row r="10" spans="1:7" x14ac:dyDescent="0.3">
      <c r="A10" t="s">
        <v>721</v>
      </c>
      <c r="B10" t="s">
        <v>239</v>
      </c>
      <c r="C10">
        <v>36</v>
      </c>
      <c r="D10">
        <v>2</v>
      </c>
      <c r="E10" t="s">
        <v>723</v>
      </c>
      <c r="F10">
        <f>tblHistory[[#This Row],[재직]]+tblHistory[[#This Row],[휴직]]</f>
        <v>38</v>
      </c>
      <c r="G10" s="2">
        <f>IF(tblHistory[[#This Row],[총계]]=0,"",tblHistory[[#This Row],[휴직]]/tblHistory[[#This Row],[총계]])</f>
        <v>5.2631578947368418E-2</v>
      </c>
    </row>
    <row r="11" spans="1:7" x14ac:dyDescent="0.3">
      <c r="A11" t="s">
        <v>721</v>
      </c>
      <c r="B11" t="s">
        <v>132</v>
      </c>
      <c r="C11">
        <v>96</v>
      </c>
      <c r="D11">
        <v>6</v>
      </c>
      <c r="E11" t="s">
        <v>723</v>
      </c>
      <c r="F11">
        <f>tblHistory[[#This Row],[재직]]+tblHistory[[#This Row],[휴직]]</f>
        <v>102</v>
      </c>
      <c r="G11" s="2">
        <f>IF(tblHistory[[#This Row],[총계]]=0,"",tblHistory[[#This Row],[휴직]]/tblHistory[[#This Row],[총계]])</f>
        <v>5.8823529411764705E-2</v>
      </c>
    </row>
    <row r="12" spans="1:7" x14ac:dyDescent="0.3">
      <c r="A12" t="s">
        <v>731</v>
      </c>
      <c r="B12" t="s">
        <v>722</v>
      </c>
      <c r="C12">
        <v>7</v>
      </c>
      <c r="D12">
        <v>0</v>
      </c>
      <c r="E12" t="s">
        <v>723</v>
      </c>
      <c r="F12">
        <f>tblHistory[[#This Row],[재직]]+tblHistory[[#This Row],[휴직]]</f>
        <v>7</v>
      </c>
      <c r="G12" s="2">
        <f>IF(tblHistory[[#This Row],[총계]]=0,"",tblHistory[[#This Row],[휴직]]/tblHistory[[#This Row],[총계]])</f>
        <v>0</v>
      </c>
    </row>
    <row r="13" spans="1:7" x14ac:dyDescent="0.3">
      <c r="A13" t="s">
        <v>731</v>
      </c>
      <c r="B13" t="s">
        <v>724</v>
      </c>
      <c r="C13">
        <v>24</v>
      </c>
      <c r="D13">
        <v>0</v>
      </c>
      <c r="E13" t="s">
        <v>723</v>
      </c>
      <c r="F13">
        <f>tblHistory[[#This Row],[재직]]+tblHistory[[#This Row],[휴직]]</f>
        <v>24</v>
      </c>
      <c r="G13" s="2">
        <f>IF(tblHistory[[#This Row],[총계]]=0,"",tblHistory[[#This Row],[휴직]]/tblHistory[[#This Row],[총계]])</f>
        <v>0</v>
      </c>
    </row>
    <row r="14" spans="1:7" x14ac:dyDescent="0.3">
      <c r="A14" t="s">
        <v>731</v>
      </c>
      <c r="B14" t="s">
        <v>725</v>
      </c>
      <c r="C14">
        <v>110</v>
      </c>
      <c r="D14">
        <v>8</v>
      </c>
      <c r="E14" t="s">
        <v>723</v>
      </c>
      <c r="F14">
        <f>tblHistory[[#This Row],[재직]]+tblHistory[[#This Row],[휴직]]</f>
        <v>118</v>
      </c>
      <c r="G14" s="2">
        <f>IF(tblHistory[[#This Row],[총계]]=0,"",tblHistory[[#This Row],[휴직]]/tblHistory[[#This Row],[총계]])</f>
        <v>6.7796610169491525E-2</v>
      </c>
    </row>
    <row r="15" spans="1:7" x14ac:dyDescent="0.3">
      <c r="A15" t="s">
        <v>731</v>
      </c>
      <c r="B15" t="s">
        <v>726</v>
      </c>
      <c r="C15">
        <v>75</v>
      </c>
      <c r="D15">
        <v>11</v>
      </c>
      <c r="E15" t="s">
        <v>723</v>
      </c>
      <c r="F15">
        <f>tblHistory[[#This Row],[재직]]+tblHistory[[#This Row],[휴직]]</f>
        <v>86</v>
      </c>
      <c r="G15" s="2">
        <f>IF(tblHistory[[#This Row],[총계]]=0,"",tblHistory[[#This Row],[휴직]]/tblHistory[[#This Row],[총계]])</f>
        <v>0.12790697674418605</v>
      </c>
    </row>
    <row r="16" spans="1:7" x14ac:dyDescent="0.3">
      <c r="A16" t="s">
        <v>731</v>
      </c>
      <c r="B16" t="s">
        <v>727</v>
      </c>
      <c r="C16">
        <v>46</v>
      </c>
      <c r="D16">
        <v>4</v>
      </c>
      <c r="E16" t="s">
        <v>723</v>
      </c>
      <c r="F16">
        <f>tblHistory[[#This Row],[재직]]+tblHistory[[#This Row],[휴직]]</f>
        <v>50</v>
      </c>
      <c r="G16" s="2">
        <f>IF(tblHistory[[#This Row],[총계]]=0,"",tblHistory[[#This Row],[휴직]]/tblHistory[[#This Row],[총계]])</f>
        <v>0.08</v>
      </c>
    </row>
    <row r="17" spans="1:7" x14ac:dyDescent="0.3">
      <c r="A17" t="s">
        <v>731</v>
      </c>
      <c r="B17" t="s">
        <v>728</v>
      </c>
      <c r="C17">
        <v>28</v>
      </c>
      <c r="D17">
        <v>3</v>
      </c>
      <c r="E17" t="s">
        <v>723</v>
      </c>
      <c r="F17">
        <f>tblHistory[[#This Row],[재직]]+tblHistory[[#This Row],[휴직]]</f>
        <v>31</v>
      </c>
      <c r="G17" s="2">
        <f>IF(tblHistory[[#This Row],[총계]]=0,"",tblHistory[[#This Row],[휴직]]/tblHistory[[#This Row],[총계]])</f>
        <v>9.6774193548387094E-2</v>
      </c>
    </row>
    <row r="18" spans="1:7" x14ac:dyDescent="0.3">
      <c r="A18" t="s">
        <v>731</v>
      </c>
      <c r="B18" t="s">
        <v>729</v>
      </c>
      <c r="C18">
        <v>2</v>
      </c>
      <c r="D18">
        <v>1</v>
      </c>
      <c r="E18" t="s">
        <v>723</v>
      </c>
      <c r="F18">
        <f>tblHistory[[#This Row],[재직]]+tblHistory[[#This Row],[휴직]]</f>
        <v>3</v>
      </c>
      <c r="G18" s="2">
        <f>IF(tblHistory[[#This Row],[총계]]=0,"",tblHistory[[#This Row],[휴직]]/tblHistory[[#This Row],[총계]])</f>
        <v>0.33333333333333331</v>
      </c>
    </row>
    <row r="19" spans="1:7" x14ac:dyDescent="0.3">
      <c r="A19" t="s">
        <v>731</v>
      </c>
      <c r="B19" t="s">
        <v>730</v>
      </c>
      <c r="C19">
        <v>3</v>
      </c>
      <c r="D19">
        <v>0</v>
      </c>
      <c r="E19" t="s">
        <v>723</v>
      </c>
      <c r="F19">
        <f>tblHistory[[#This Row],[재직]]+tblHistory[[#This Row],[휴직]]</f>
        <v>3</v>
      </c>
      <c r="G19" s="2">
        <f>IF(tblHistory[[#This Row],[총계]]=0,"",tblHistory[[#This Row],[휴직]]/tblHistory[[#This Row],[총계]])</f>
        <v>0</v>
      </c>
    </row>
    <row r="20" spans="1:7" x14ac:dyDescent="0.3">
      <c r="A20" t="s">
        <v>731</v>
      </c>
      <c r="B20" t="s">
        <v>239</v>
      </c>
      <c r="C20">
        <v>34</v>
      </c>
      <c r="D20">
        <v>1</v>
      </c>
      <c r="E20" t="s">
        <v>723</v>
      </c>
      <c r="F20">
        <f>tblHistory[[#This Row],[재직]]+tblHistory[[#This Row],[휴직]]</f>
        <v>35</v>
      </c>
      <c r="G20" s="2">
        <f>IF(tblHistory[[#This Row],[총계]]=0,"",tblHistory[[#This Row],[휴직]]/tblHistory[[#This Row],[총계]])</f>
        <v>2.8571428571428571E-2</v>
      </c>
    </row>
    <row r="21" spans="1:7" x14ac:dyDescent="0.3">
      <c r="A21" t="s">
        <v>731</v>
      </c>
      <c r="B21" t="s">
        <v>132</v>
      </c>
      <c r="C21">
        <v>102</v>
      </c>
      <c r="D21">
        <v>7</v>
      </c>
      <c r="E21" t="s">
        <v>723</v>
      </c>
      <c r="F21">
        <f>tblHistory[[#This Row],[재직]]+tblHistory[[#This Row],[휴직]]</f>
        <v>109</v>
      </c>
      <c r="G21" s="2">
        <f>IF(tblHistory[[#This Row],[총계]]=0,"",tblHistory[[#This Row],[휴직]]/tblHistory[[#This Row],[총계]])</f>
        <v>6.4220183486238536E-2</v>
      </c>
    </row>
    <row r="22" spans="1:7" x14ac:dyDescent="0.3">
      <c r="A22" t="s">
        <v>732</v>
      </c>
      <c r="B22" t="s">
        <v>722</v>
      </c>
      <c r="C22">
        <f>COUNTIFS(tblRoster[집계급수],tblHistory[[#This Row],[구분]],tblRoster[재직상태구분],"재직",tblRoster[집계대상],"포함")</f>
        <v>10</v>
      </c>
      <c r="D22">
        <f>COUNTIFS(tblRoster[집계급수],tblHistory[[#This Row],[구분]],tblRoster[재직상태구분],"휴직",tblRoster[집계대상],"포함")</f>
        <v>1</v>
      </c>
      <c r="E22" t="s">
        <v>733</v>
      </c>
      <c r="F22">
        <f>tblHistory[[#This Row],[재직]]+tblHistory[[#This Row],[휴직]]</f>
        <v>11</v>
      </c>
      <c r="G22" s="2">
        <f>IF(tblHistory[[#This Row],[총계]]=0,"",tblHistory[[#This Row],[휴직]]/tblHistory[[#This Row],[총계]])</f>
        <v>9.0909090909090912E-2</v>
      </c>
    </row>
    <row r="23" spans="1:7" x14ac:dyDescent="0.3">
      <c r="A23" t="s">
        <v>732</v>
      </c>
      <c r="B23" t="s">
        <v>724</v>
      </c>
      <c r="C23">
        <f>COUNTIFS(tblRoster[집계급수],tblHistory[[#This Row],[구분]],tblRoster[재직상태구분],"재직",tblRoster[집계대상],"포함")</f>
        <v>23</v>
      </c>
      <c r="D23">
        <f>COUNTIFS(tblRoster[집계급수],tblHistory[[#This Row],[구분]],tblRoster[재직상태구분],"휴직",tblRoster[집계대상],"포함")</f>
        <v>2</v>
      </c>
      <c r="E23" t="s">
        <v>733</v>
      </c>
      <c r="F23">
        <f>tblHistory[[#This Row],[재직]]+tblHistory[[#This Row],[휴직]]</f>
        <v>25</v>
      </c>
      <c r="G23" s="2">
        <f>IF(tblHistory[[#This Row],[총계]]=0,"",tblHistory[[#This Row],[휴직]]/tblHistory[[#This Row],[총계]])</f>
        <v>0.08</v>
      </c>
    </row>
    <row r="24" spans="1:7" x14ac:dyDescent="0.3">
      <c r="A24" t="s">
        <v>732</v>
      </c>
      <c r="B24" t="s">
        <v>725</v>
      </c>
      <c r="C24">
        <f>COUNTIFS(tblRoster[집계급수],tblHistory[[#This Row],[구분]],tblRoster[재직상태구분],"재직",tblRoster[집계대상],"포함")</f>
        <v>104</v>
      </c>
      <c r="D24">
        <f>COUNTIFS(tblRoster[집계급수],tblHistory[[#This Row],[구분]],tblRoster[재직상태구분],"휴직",tblRoster[집계대상],"포함")</f>
        <v>6</v>
      </c>
      <c r="E24" t="s">
        <v>733</v>
      </c>
      <c r="F24">
        <f>tblHistory[[#This Row],[재직]]+tblHistory[[#This Row],[휴직]]</f>
        <v>110</v>
      </c>
      <c r="G24" s="2">
        <f>IF(tblHistory[[#This Row],[총계]]=0,"",tblHistory[[#This Row],[휴직]]/tblHistory[[#This Row],[총계]])</f>
        <v>5.4545454545454543E-2</v>
      </c>
    </row>
    <row r="25" spans="1:7" x14ac:dyDescent="0.3">
      <c r="A25" t="s">
        <v>732</v>
      </c>
      <c r="B25" t="s">
        <v>726</v>
      </c>
      <c r="C25">
        <f>COUNTIFS(tblRoster[집계급수],tblHistory[[#This Row],[구분]],tblRoster[재직상태구분],"재직",tblRoster[집계대상],"포함")</f>
        <v>64</v>
      </c>
      <c r="D25">
        <f>COUNTIFS(tblRoster[집계급수],tblHistory[[#This Row],[구분]],tblRoster[재직상태구분],"휴직",tblRoster[집계대상],"포함")</f>
        <v>6</v>
      </c>
      <c r="E25" t="s">
        <v>733</v>
      </c>
      <c r="F25">
        <f>tblHistory[[#This Row],[재직]]+tblHistory[[#This Row],[휴직]]</f>
        <v>70</v>
      </c>
      <c r="G25" s="2">
        <f>IF(tblHistory[[#This Row],[총계]]=0,"",tblHistory[[#This Row],[휴직]]/tblHistory[[#This Row],[총계]])</f>
        <v>8.5714285714285715E-2</v>
      </c>
    </row>
    <row r="26" spans="1:7" x14ac:dyDescent="0.3">
      <c r="A26" t="s">
        <v>732</v>
      </c>
      <c r="B26" t="s">
        <v>727</v>
      </c>
      <c r="C26">
        <f>COUNTIFS(tblRoster[집계급수],tblHistory[[#This Row],[구분]],tblRoster[재직상태구분],"재직",tblRoster[집계대상],"포함")</f>
        <v>46</v>
      </c>
      <c r="D26">
        <f>COUNTIFS(tblRoster[집계급수],tblHistory[[#This Row],[구분]],tblRoster[재직상태구분],"휴직",tblRoster[집계대상],"포함")</f>
        <v>4</v>
      </c>
      <c r="E26" t="s">
        <v>733</v>
      </c>
      <c r="F26">
        <f>tblHistory[[#This Row],[재직]]+tblHistory[[#This Row],[휴직]]</f>
        <v>50</v>
      </c>
      <c r="G26" s="2">
        <f>IF(tblHistory[[#This Row],[총계]]=0,"",tblHistory[[#This Row],[휴직]]/tblHistory[[#This Row],[총계]])</f>
        <v>0.08</v>
      </c>
    </row>
    <row r="27" spans="1:7" x14ac:dyDescent="0.3">
      <c r="A27" t="s">
        <v>732</v>
      </c>
      <c r="B27" t="s">
        <v>728</v>
      </c>
      <c r="C27">
        <f>COUNTIFS(tblRoster[집계급수],tblHistory[[#This Row],[구분]],tblRoster[재직상태구분],"재직",tblRoster[집계대상],"포함")</f>
        <v>26</v>
      </c>
      <c r="D27">
        <f>COUNTIFS(tblRoster[집계급수],tblHistory[[#This Row],[구분]],tblRoster[재직상태구분],"휴직",tblRoster[집계대상],"포함")</f>
        <v>2</v>
      </c>
      <c r="E27" t="s">
        <v>733</v>
      </c>
      <c r="F27">
        <f>tblHistory[[#This Row],[재직]]+tblHistory[[#This Row],[휴직]]</f>
        <v>28</v>
      </c>
      <c r="G27" s="2">
        <f>IF(tblHistory[[#This Row],[총계]]=0,"",tblHistory[[#This Row],[휴직]]/tblHistory[[#This Row],[총계]])</f>
        <v>7.1428571428571425E-2</v>
      </c>
    </row>
    <row r="28" spans="1:7" x14ac:dyDescent="0.3">
      <c r="A28" t="s">
        <v>732</v>
      </c>
      <c r="B28" t="s">
        <v>729</v>
      </c>
      <c r="C28">
        <f>COUNTIFS(tblRoster[집계급수],tblHistory[[#This Row],[구분]],tblRoster[재직상태구분],"재직",tblRoster[집계대상],"포함")</f>
        <v>1</v>
      </c>
      <c r="D28">
        <f>COUNTIFS(tblRoster[집계급수],tblHistory[[#This Row],[구분]],tblRoster[재직상태구분],"휴직",tblRoster[집계대상],"포함")</f>
        <v>0</v>
      </c>
      <c r="E28" t="s">
        <v>733</v>
      </c>
      <c r="F28">
        <f>tblHistory[[#This Row],[재직]]+tblHistory[[#This Row],[휴직]]</f>
        <v>1</v>
      </c>
      <c r="G28" s="2">
        <f>IF(tblHistory[[#This Row],[총계]]=0,"",tblHistory[[#This Row],[휴직]]/tblHistory[[#This Row],[총계]])</f>
        <v>0</v>
      </c>
    </row>
    <row r="29" spans="1:7" x14ac:dyDescent="0.3">
      <c r="A29" t="s">
        <v>732</v>
      </c>
      <c r="B29" t="s">
        <v>730</v>
      </c>
      <c r="C29">
        <f>COUNTIFS(tblRoster[집계급수],tblHistory[[#This Row],[구분]],tblRoster[재직상태구분],"재직",tblRoster[집계대상],"포함")</f>
        <v>2</v>
      </c>
      <c r="D29">
        <f>COUNTIFS(tblRoster[집계급수],tblHistory[[#This Row],[구분]],tblRoster[재직상태구분],"휴직",tblRoster[집계대상],"포함")</f>
        <v>0</v>
      </c>
      <c r="E29" t="s">
        <v>733</v>
      </c>
      <c r="F29">
        <f>tblHistory[[#This Row],[재직]]+tblHistory[[#This Row],[휴직]]</f>
        <v>2</v>
      </c>
      <c r="G29" s="2">
        <f>IF(tblHistory[[#This Row],[총계]]=0,"",tblHistory[[#This Row],[휴직]]/tblHistory[[#This Row],[총계]])</f>
        <v>0</v>
      </c>
    </row>
    <row r="30" spans="1:7" x14ac:dyDescent="0.3">
      <c r="A30" t="s">
        <v>732</v>
      </c>
      <c r="B30" t="s">
        <v>239</v>
      </c>
      <c r="C30">
        <f>COUNTIFS(tblRoster[집계급수],tblHistory[[#This Row],[구분]],tblRoster[재직상태구분],"재직",tblRoster[집계대상],"포함")</f>
        <v>32</v>
      </c>
      <c r="D30">
        <f>COUNTIFS(tblRoster[집계급수],tblHistory[[#This Row],[구분]],tblRoster[재직상태구분],"휴직",tblRoster[집계대상],"포함")</f>
        <v>3</v>
      </c>
      <c r="E30" t="s">
        <v>733</v>
      </c>
      <c r="F30">
        <f>tblHistory[[#This Row],[재직]]+tblHistory[[#This Row],[휴직]]</f>
        <v>35</v>
      </c>
      <c r="G30" s="2">
        <f>IF(tblHistory[[#This Row],[총계]]=0,"",tblHistory[[#This Row],[휴직]]/tblHistory[[#This Row],[총계]])</f>
        <v>8.5714285714285715E-2</v>
      </c>
    </row>
    <row r="31" spans="1:7" x14ac:dyDescent="0.3">
      <c r="A31" t="s">
        <v>732</v>
      </c>
      <c r="B31" t="s">
        <v>132</v>
      </c>
      <c r="C31">
        <f>COUNTIFS(tblRoster[집계급수],tblHistory[[#This Row],[구분]],tblRoster[재직상태구분],"재직",tblRoster[집계대상],"포함")</f>
        <v>108</v>
      </c>
      <c r="D31">
        <f>COUNTIFS(tblRoster[집계급수],tblHistory[[#This Row],[구분]],tblRoster[재직상태구분],"휴직",tblRoster[집계대상],"포함")</f>
        <v>10</v>
      </c>
      <c r="E31" t="s">
        <v>733</v>
      </c>
      <c r="F31">
        <f>tblHistory[[#This Row],[재직]]+tblHistory[[#This Row],[휴직]]</f>
        <v>118</v>
      </c>
      <c r="G31" s="2">
        <f>IF(tblHistory[[#This Row],[총계]]=0,"",tblHistory[[#This Row],[휴직]]/tblHistory[[#This Row],[총계]])</f>
        <v>8.4745762711864403E-2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96A3-BFA2-433E-A73D-4BDE8F35A463}">
  <dimension ref="A1:C15"/>
  <sheetViews>
    <sheetView showGridLines="0" workbookViewId="0">
      <selection sqref="A1:C1"/>
    </sheetView>
  </sheetViews>
  <sheetFormatPr defaultRowHeight="13.5" x14ac:dyDescent="0.3"/>
  <cols>
    <col min="1" max="1" width="2.25" style="3" customWidth="1"/>
    <col min="2" max="2" width="20.625" style="3" customWidth="1"/>
    <col min="3" max="3" width="96.625" style="3" customWidth="1"/>
    <col min="4" max="16384" width="9" style="3"/>
  </cols>
  <sheetData>
    <row r="1" spans="1:3" ht="33.950000000000003" customHeight="1" x14ac:dyDescent="0.3">
      <c r="A1" s="7" t="s">
        <v>821</v>
      </c>
      <c r="B1" s="8"/>
      <c r="C1" s="8"/>
    </row>
    <row r="2" spans="1:3" ht="15.95" customHeight="1" x14ac:dyDescent="0.3">
      <c r="A2" s="9" t="s">
        <v>822</v>
      </c>
      <c r="B2" s="6"/>
      <c r="C2" s="6"/>
    </row>
    <row r="3" spans="1:3" ht="3" customHeight="1" x14ac:dyDescent="0.3">
      <c r="A3" s="10"/>
      <c r="B3" s="10"/>
      <c r="C3" s="10"/>
    </row>
    <row r="5" spans="1:3" ht="66" customHeight="1" x14ac:dyDescent="0.3">
      <c r="B5" s="47" t="s">
        <v>823</v>
      </c>
      <c r="C5" s="48" t="str">
        <f ca="1">"현원 "&amp;COUNTA(tblRoster[교직원번호])&amp;"명 (집계대상 "&amp;COUNTIF(tblRoster[집계대상],"포함")&amp;"명 · 제외 "&amp;COUNTIF(tblRoster[집계대상],"제외")&amp;"명)   |   재직 "&amp;COUNTIF(tblRoster[재직상태구분],"재직")&amp;"명 · 휴직 "&amp;COUNTIF(tblRoster[재직상태구분],"휴직")&amp;"명 (휴직률 "&amp;TEXT(COUNTIF(tblRoster[재직상태구분],"휴직")/COUNTIF(tblRoster[집계대상],"포함"),"0.0%")&amp;")"&amp;CHAR(10)&amp;"휴직이력 "&amp;COUNTA(tblLeave[교직원번호])&amp;"건 (현재 진행 "&amp;COUNTIF(tblLeave[현재진행],"진행")&amp;"건)   |   근속 미상 "&amp;COUNTIF(tblRoster[근속구간],"미상")&amp;"명"&amp;CHAR(10)&amp;"확인이 필요한 행 : 휴직사유 판정실패 "&amp;COUNTIF(tblRoster[데이터검토],"휴직사유 자동판정 실패")&amp;"건 · 휴직기간 오류 "&amp;COUNTIF(tblLeave[검토],"오류")&amp;"건"&amp;CHAR(10)&amp;"미분류 급수 "&amp;COUNTIF(tblRoster[급수],"미분류")&amp;"명 (0이 아니면 급수 판정 규칙에 없는 직급이 들어온 것이므로 확인 필요)"</f>
        <v>현원 480명 (집계대상 450명 · 제외 30명)   |   재직 446명 · 휴직 34명 (휴직률 7.6%)
휴직이력 135건 (현재 진행 34건)   |   근속 미상 69명
확인이 필요한 행 : 휴직사유 판정실패 0건 · 휴직기간 오류 1건
미분류 급수 0명 (0이 아니면 급수 판정 규칙에 없는 직급이 들어온 것이므로 확인 필요)</v>
      </c>
    </row>
    <row r="6" spans="1:3" ht="90" customHeight="1" x14ac:dyDescent="0.3">
      <c r="B6" s="51" t="s">
        <v>824</v>
      </c>
      <c r="C6" s="52" t="s">
        <v>825</v>
      </c>
    </row>
    <row r="7" spans="1:3" ht="75" customHeight="1" x14ac:dyDescent="0.3">
      <c r="B7" s="51" t="s">
        <v>826</v>
      </c>
      <c r="C7" s="52" t="s">
        <v>827</v>
      </c>
    </row>
    <row r="8" spans="1:3" ht="60" customHeight="1" x14ac:dyDescent="0.3">
      <c r="B8" s="51" t="s">
        <v>828</v>
      </c>
      <c r="C8" s="52" t="s">
        <v>829</v>
      </c>
    </row>
    <row r="9" spans="1:3" ht="60" customHeight="1" x14ac:dyDescent="0.3">
      <c r="B9" s="51" t="s">
        <v>830</v>
      </c>
      <c r="C9" s="52" t="s">
        <v>831</v>
      </c>
    </row>
    <row r="10" spans="1:3" ht="60" customHeight="1" x14ac:dyDescent="0.3">
      <c r="B10" s="51" t="s">
        <v>832</v>
      </c>
      <c r="C10" s="52" t="s">
        <v>833</v>
      </c>
    </row>
    <row r="11" spans="1:3" ht="75" customHeight="1" x14ac:dyDescent="0.3">
      <c r="B11" s="51" t="s">
        <v>834</v>
      </c>
      <c r="C11" s="52" t="s">
        <v>835</v>
      </c>
    </row>
    <row r="12" spans="1:3" ht="75" customHeight="1" x14ac:dyDescent="0.3">
      <c r="B12" s="51" t="s">
        <v>836</v>
      </c>
      <c r="C12" s="52" t="s">
        <v>837</v>
      </c>
    </row>
    <row r="13" spans="1:3" ht="75" customHeight="1" x14ac:dyDescent="0.3">
      <c r="B13" s="51" t="s">
        <v>838</v>
      </c>
      <c r="C13" s="52" t="s">
        <v>839</v>
      </c>
    </row>
    <row r="14" spans="1:3" ht="90" customHeight="1" x14ac:dyDescent="0.3">
      <c r="B14" s="51" t="s">
        <v>840</v>
      </c>
      <c r="C14" s="52" t="s">
        <v>841</v>
      </c>
    </row>
    <row r="15" spans="1:3" ht="60" customHeight="1" x14ac:dyDescent="0.3">
      <c r="B15" s="49" t="s">
        <v>842</v>
      </c>
      <c r="C15" s="50" t="s">
        <v>843</v>
      </c>
    </row>
  </sheetData>
  <mergeCells count="2">
    <mergeCell ref="A1:C1"/>
    <mergeCell ref="A2:C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61EC-9D7D-4A7F-9581-776D3DCB4D42}">
  <dimension ref="A3:I171"/>
  <sheetViews>
    <sheetView showGridLines="0" workbookViewId="0"/>
  </sheetViews>
  <sheetFormatPr defaultRowHeight="13.5" x14ac:dyDescent="0.3"/>
  <cols>
    <col min="1" max="1" width="15.125" style="3" bestFit="1" customWidth="1"/>
    <col min="2" max="3" width="15.25" style="3" bestFit="1" customWidth="1"/>
    <col min="4" max="6" width="7.375" style="3" bestFit="1" customWidth="1"/>
    <col min="7" max="7" width="18.875" style="3" bestFit="1" customWidth="1"/>
    <col min="8" max="9" width="7.375" style="3" bestFit="1" customWidth="1"/>
    <col min="10" max="16384" width="9" style="3"/>
  </cols>
  <sheetData>
    <row r="3" spans="1:4" ht="16.5" x14ac:dyDescent="0.3">
      <c r="A3" s="4" t="s">
        <v>736</v>
      </c>
      <c r="B3" t="s">
        <v>741</v>
      </c>
    </row>
    <row r="5" spans="1:4" ht="16.5" x14ac:dyDescent="0.3">
      <c r="A5" s="4" t="s">
        <v>740</v>
      </c>
      <c r="B5" s="4" t="s">
        <v>2</v>
      </c>
      <c r="C5"/>
      <c r="D5"/>
    </row>
    <row r="6" spans="1:4" ht="16.5" x14ac:dyDescent="0.3">
      <c r="A6" s="4" t="s">
        <v>737</v>
      </c>
      <c r="B6" t="s">
        <v>8</v>
      </c>
      <c r="C6" t="s">
        <v>16</v>
      </c>
      <c r="D6" t="s">
        <v>739</v>
      </c>
    </row>
    <row r="7" spans="1:4" ht="16.5" x14ac:dyDescent="0.3">
      <c r="A7" t="s">
        <v>722</v>
      </c>
      <c r="B7" s="5">
        <v>10</v>
      </c>
      <c r="C7" s="5">
        <v>1</v>
      </c>
      <c r="D7" s="5">
        <v>11</v>
      </c>
    </row>
    <row r="8" spans="1:4" ht="16.5" x14ac:dyDescent="0.3">
      <c r="A8" t="s">
        <v>724</v>
      </c>
      <c r="B8" s="5">
        <v>23</v>
      </c>
      <c r="C8" s="5">
        <v>2</v>
      </c>
      <c r="D8" s="5">
        <v>25</v>
      </c>
    </row>
    <row r="9" spans="1:4" ht="16.5" x14ac:dyDescent="0.3">
      <c r="A9" t="s">
        <v>725</v>
      </c>
      <c r="B9" s="5">
        <v>104</v>
      </c>
      <c r="C9" s="5">
        <v>6</v>
      </c>
      <c r="D9" s="5">
        <v>110</v>
      </c>
    </row>
    <row r="10" spans="1:4" ht="16.5" x14ac:dyDescent="0.3">
      <c r="A10" t="s">
        <v>726</v>
      </c>
      <c r="B10" s="5">
        <v>64</v>
      </c>
      <c r="C10" s="5">
        <v>6</v>
      </c>
      <c r="D10" s="5">
        <v>70</v>
      </c>
    </row>
    <row r="11" spans="1:4" ht="16.5" x14ac:dyDescent="0.3">
      <c r="A11" t="s">
        <v>727</v>
      </c>
      <c r="B11" s="5">
        <v>46</v>
      </c>
      <c r="C11" s="5">
        <v>4</v>
      </c>
      <c r="D11" s="5">
        <v>50</v>
      </c>
    </row>
    <row r="12" spans="1:4" ht="16.5" x14ac:dyDescent="0.3">
      <c r="A12" t="s">
        <v>728</v>
      </c>
      <c r="B12" s="5">
        <v>26</v>
      </c>
      <c r="C12" s="5">
        <v>2</v>
      </c>
      <c r="D12" s="5">
        <v>28</v>
      </c>
    </row>
    <row r="13" spans="1:4" ht="16.5" x14ac:dyDescent="0.3">
      <c r="A13" t="s">
        <v>729</v>
      </c>
      <c r="B13" s="5">
        <v>1</v>
      </c>
      <c r="C13" s="5"/>
      <c r="D13" s="5">
        <v>1</v>
      </c>
    </row>
    <row r="14" spans="1:4" ht="16.5" x14ac:dyDescent="0.3">
      <c r="A14" t="s">
        <v>730</v>
      </c>
      <c r="B14" s="5">
        <v>2</v>
      </c>
      <c r="C14" s="5"/>
      <c r="D14" s="5">
        <v>2</v>
      </c>
    </row>
    <row r="15" spans="1:4" ht="16.5" x14ac:dyDescent="0.3">
      <c r="A15" t="s">
        <v>239</v>
      </c>
      <c r="B15" s="5">
        <v>32</v>
      </c>
      <c r="C15" s="5">
        <v>3</v>
      </c>
      <c r="D15" s="5">
        <v>35</v>
      </c>
    </row>
    <row r="16" spans="1:4" ht="16.5" x14ac:dyDescent="0.3">
      <c r="A16" t="s">
        <v>132</v>
      </c>
      <c r="B16" s="5">
        <v>108</v>
      </c>
      <c r="C16" s="5">
        <v>10</v>
      </c>
      <c r="D16" s="5">
        <v>118</v>
      </c>
    </row>
    <row r="17" spans="1:4" ht="16.5" x14ac:dyDescent="0.3">
      <c r="A17" t="s">
        <v>739</v>
      </c>
      <c r="B17" s="5">
        <v>416</v>
      </c>
      <c r="C17" s="5">
        <v>34</v>
      </c>
      <c r="D17" s="5">
        <v>450</v>
      </c>
    </row>
    <row r="18" spans="1:4" ht="16.5" x14ac:dyDescent="0.3">
      <c r="A18"/>
      <c r="B18"/>
      <c r="C18"/>
      <c r="D18"/>
    </row>
    <row r="19" spans="1:4" ht="16.5" x14ac:dyDescent="0.3">
      <c r="A19"/>
      <c r="B19"/>
      <c r="C19"/>
      <c r="D19"/>
    </row>
    <row r="20" spans="1:4" ht="16.5" x14ac:dyDescent="0.3">
      <c r="A20" s="4" t="s">
        <v>736</v>
      </c>
      <c r="B20" t="s">
        <v>741</v>
      </c>
      <c r="C20"/>
    </row>
    <row r="21" spans="1:4" ht="16.5" x14ac:dyDescent="0.3">
      <c r="A21"/>
      <c r="B21"/>
      <c r="C21"/>
    </row>
    <row r="22" spans="1:4" ht="16.5" x14ac:dyDescent="0.3">
      <c r="A22" s="4" t="s">
        <v>737</v>
      </c>
      <c r="B22" t="s">
        <v>742</v>
      </c>
      <c r="C22"/>
    </row>
    <row r="23" spans="1:4" ht="16.5" x14ac:dyDescent="0.3">
      <c r="A23" t="s">
        <v>722</v>
      </c>
      <c r="B23" s="2">
        <v>9.0909090909090912E-2</v>
      </c>
      <c r="C23"/>
    </row>
    <row r="24" spans="1:4" ht="16.5" x14ac:dyDescent="0.3">
      <c r="A24" t="s">
        <v>724</v>
      </c>
      <c r="B24" s="2">
        <v>0.08</v>
      </c>
      <c r="C24"/>
    </row>
    <row r="25" spans="1:4" ht="16.5" x14ac:dyDescent="0.3">
      <c r="A25" t="s">
        <v>725</v>
      </c>
      <c r="B25" s="2">
        <v>5.4545454545454543E-2</v>
      </c>
      <c r="C25"/>
    </row>
    <row r="26" spans="1:4" ht="16.5" x14ac:dyDescent="0.3">
      <c r="A26" t="s">
        <v>726</v>
      </c>
      <c r="B26" s="2">
        <v>8.5714285714285715E-2</v>
      </c>
      <c r="C26"/>
    </row>
    <row r="27" spans="1:4" ht="16.5" x14ac:dyDescent="0.3">
      <c r="A27" t="s">
        <v>727</v>
      </c>
      <c r="B27" s="2">
        <v>0.08</v>
      </c>
      <c r="C27"/>
    </row>
    <row r="28" spans="1:4" ht="16.5" x14ac:dyDescent="0.3">
      <c r="A28" t="s">
        <v>728</v>
      </c>
      <c r="B28" s="2">
        <v>7.1428571428571425E-2</v>
      </c>
      <c r="C28"/>
    </row>
    <row r="29" spans="1:4" ht="16.5" x14ac:dyDescent="0.3">
      <c r="A29" t="s">
        <v>729</v>
      </c>
      <c r="B29" s="2">
        <v>0</v>
      </c>
      <c r="C29"/>
    </row>
    <row r="30" spans="1:4" ht="16.5" x14ac:dyDescent="0.3">
      <c r="A30" t="s">
        <v>730</v>
      </c>
      <c r="B30" s="2">
        <v>0</v>
      </c>
      <c r="C30"/>
    </row>
    <row r="31" spans="1:4" ht="16.5" x14ac:dyDescent="0.3">
      <c r="A31" t="s">
        <v>239</v>
      </c>
      <c r="B31" s="2">
        <v>8.5714285714285715E-2</v>
      </c>
      <c r="C31"/>
    </row>
    <row r="32" spans="1:4" ht="16.5" x14ac:dyDescent="0.3">
      <c r="A32" t="s">
        <v>132</v>
      </c>
      <c r="B32" s="2">
        <v>8.4745762711864403E-2</v>
      </c>
      <c r="C32"/>
    </row>
    <row r="33" spans="1:4" ht="16.5" x14ac:dyDescent="0.3">
      <c r="A33" t="s">
        <v>739</v>
      </c>
      <c r="B33" s="2">
        <v>7.5555555555555556E-2</v>
      </c>
      <c r="C33"/>
    </row>
    <row r="34" spans="1:4" ht="16.5" x14ac:dyDescent="0.3">
      <c r="A34"/>
      <c r="B34"/>
      <c r="C34"/>
    </row>
    <row r="35" spans="1:4" ht="16.5" x14ac:dyDescent="0.3">
      <c r="A35"/>
      <c r="B35"/>
      <c r="C35"/>
    </row>
    <row r="36" spans="1:4" ht="16.5" x14ac:dyDescent="0.3">
      <c r="A36"/>
      <c r="B36"/>
      <c r="C36"/>
    </row>
    <row r="37" spans="1:4" ht="16.5" x14ac:dyDescent="0.3">
      <c r="A37"/>
      <c r="B37"/>
      <c r="C37"/>
    </row>
    <row r="38" spans="1:4" ht="16.5" x14ac:dyDescent="0.3">
      <c r="A38" s="4" t="s">
        <v>743</v>
      </c>
      <c r="B38" t="s">
        <v>740</v>
      </c>
      <c r="C38"/>
    </row>
    <row r="39" spans="1:4" ht="16.5" x14ac:dyDescent="0.3">
      <c r="A39" t="s">
        <v>145</v>
      </c>
      <c r="B39" s="5">
        <v>297</v>
      </c>
      <c r="C39"/>
    </row>
    <row r="40" spans="1:4" ht="16.5" x14ac:dyDescent="0.3">
      <c r="A40" t="s">
        <v>132</v>
      </c>
      <c r="B40" s="5">
        <v>118</v>
      </c>
      <c r="C40"/>
    </row>
    <row r="41" spans="1:4" ht="16.5" x14ac:dyDescent="0.3">
      <c r="A41" t="s">
        <v>239</v>
      </c>
      <c r="B41" s="5">
        <v>35</v>
      </c>
      <c r="C41"/>
    </row>
    <row r="42" spans="1:4" ht="16.5" x14ac:dyDescent="0.3">
      <c r="A42" t="s">
        <v>744</v>
      </c>
      <c r="B42" s="5">
        <v>30</v>
      </c>
      <c r="C42"/>
    </row>
    <row r="43" spans="1:4" ht="16.5" x14ac:dyDescent="0.3">
      <c r="A43" t="s">
        <v>739</v>
      </c>
      <c r="B43" s="5">
        <v>480</v>
      </c>
      <c r="C43"/>
    </row>
    <row r="44" spans="1:4" ht="16.5" x14ac:dyDescent="0.3">
      <c r="A44"/>
      <c r="B44"/>
      <c r="C44"/>
    </row>
    <row r="45" spans="1:4" ht="16.5" x14ac:dyDescent="0.3">
      <c r="A45"/>
      <c r="B45"/>
      <c r="C45"/>
    </row>
    <row r="46" spans="1:4" ht="16.5" x14ac:dyDescent="0.3">
      <c r="A46"/>
      <c r="B46"/>
      <c r="C46"/>
    </row>
    <row r="47" spans="1:4" ht="16.5" x14ac:dyDescent="0.3">
      <c r="A47"/>
      <c r="B47"/>
      <c r="C47"/>
    </row>
    <row r="48" spans="1:4" ht="16.5" x14ac:dyDescent="0.3">
      <c r="A48" s="4" t="s">
        <v>740</v>
      </c>
      <c r="B48" s="4" t="s">
        <v>112</v>
      </c>
      <c r="C48"/>
      <c r="D48"/>
    </row>
    <row r="49" spans="1:4" ht="16.5" x14ac:dyDescent="0.3">
      <c r="A49" s="4" t="s">
        <v>745</v>
      </c>
      <c r="B49" t="s">
        <v>150</v>
      </c>
      <c r="C49" t="s">
        <v>128</v>
      </c>
      <c r="D49" t="s">
        <v>739</v>
      </c>
    </row>
    <row r="50" spans="1:4" ht="16.5" x14ac:dyDescent="0.3">
      <c r="A50" t="s">
        <v>746</v>
      </c>
      <c r="B50" s="5">
        <v>41</v>
      </c>
      <c r="C50" s="5">
        <v>50</v>
      </c>
      <c r="D50" s="5">
        <v>91</v>
      </c>
    </row>
    <row r="51" spans="1:4" ht="16.5" x14ac:dyDescent="0.3">
      <c r="A51" t="s">
        <v>747</v>
      </c>
      <c r="B51" s="5">
        <v>59</v>
      </c>
      <c r="C51" s="5">
        <v>45</v>
      </c>
      <c r="D51" s="5">
        <v>104</v>
      </c>
    </row>
    <row r="52" spans="1:4" ht="16.5" x14ac:dyDescent="0.3">
      <c r="A52" t="s">
        <v>748</v>
      </c>
      <c r="B52" s="5">
        <v>68</v>
      </c>
      <c r="C52" s="5">
        <v>95</v>
      </c>
      <c r="D52" s="5">
        <v>163</v>
      </c>
    </row>
    <row r="53" spans="1:4" ht="16.5" x14ac:dyDescent="0.3">
      <c r="A53" t="s">
        <v>749</v>
      </c>
      <c r="B53" s="5">
        <v>49</v>
      </c>
      <c r="C53" s="5">
        <v>73</v>
      </c>
      <c r="D53" s="5">
        <v>122</v>
      </c>
    </row>
    <row r="54" spans="1:4" ht="16.5" x14ac:dyDescent="0.3">
      <c r="A54" t="s">
        <v>739</v>
      </c>
      <c r="B54" s="5">
        <v>217</v>
      </c>
      <c r="C54" s="5">
        <v>263</v>
      </c>
      <c r="D54" s="5">
        <v>480</v>
      </c>
    </row>
    <row r="55" spans="1:4" ht="16.5" x14ac:dyDescent="0.3">
      <c r="A55"/>
      <c r="B55"/>
      <c r="C55"/>
    </row>
    <row r="56" spans="1:4" ht="16.5" x14ac:dyDescent="0.3">
      <c r="A56"/>
      <c r="B56"/>
      <c r="C56"/>
    </row>
    <row r="57" spans="1:4" ht="16.5" x14ac:dyDescent="0.3">
      <c r="A57" s="4" t="s">
        <v>2</v>
      </c>
      <c r="B57" t="s">
        <v>16</v>
      </c>
      <c r="C57"/>
    </row>
    <row r="58" spans="1:4" ht="16.5" x14ac:dyDescent="0.3">
      <c r="A58"/>
      <c r="B58"/>
      <c r="C58"/>
    </row>
    <row r="59" spans="1:4" ht="16.5" x14ac:dyDescent="0.3">
      <c r="A59" s="4" t="s">
        <v>750</v>
      </c>
      <c r="B59" t="s">
        <v>740</v>
      </c>
      <c r="C59"/>
    </row>
    <row r="60" spans="1:4" ht="16.5" x14ac:dyDescent="0.3">
      <c r="A60" t="s">
        <v>17</v>
      </c>
      <c r="B60" s="5">
        <v>23</v>
      </c>
      <c r="C60"/>
    </row>
    <row r="61" spans="1:4" ht="16.5" x14ac:dyDescent="0.3">
      <c r="A61" t="s">
        <v>44</v>
      </c>
      <c r="B61" s="5">
        <v>5</v>
      </c>
      <c r="C61"/>
    </row>
    <row r="62" spans="1:4" ht="16.5" x14ac:dyDescent="0.3">
      <c r="A62" t="s">
        <v>37</v>
      </c>
      <c r="B62" s="5">
        <v>2</v>
      </c>
      <c r="C62"/>
    </row>
    <row r="63" spans="1:4" ht="16.5" x14ac:dyDescent="0.3">
      <c r="A63" t="s">
        <v>21</v>
      </c>
      <c r="B63" s="5">
        <v>2</v>
      </c>
      <c r="C63"/>
    </row>
    <row r="64" spans="1:4" ht="16.5" x14ac:dyDescent="0.3">
      <c r="A64" t="s">
        <v>93</v>
      </c>
      <c r="B64" s="5">
        <v>1</v>
      </c>
      <c r="C64"/>
    </row>
    <row r="65" spans="1:3" ht="16.5" x14ac:dyDescent="0.3">
      <c r="A65" t="s">
        <v>51</v>
      </c>
      <c r="B65" s="5">
        <v>1</v>
      </c>
      <c r="C65"/>
    </row>
    <row r="66" spans="1:3" ht="16.5" x14ac:dyDescent="0.3">
      <c r="A66" t="s">
        <v>739</v>
      </c>
      <c r="B66" s="5">
        <v>34</v>
      </c>
      <c r="C66"/>
    </row>
    <row r="67" spans="1:3" ht="16.5" x14ac:dyDescent="0.3">
      <c r="A67"/>
      <c r="B67"/>
      <c r="C67"/>
    </row>
    <row r="68" spans="1:3" ht="16.5" x14ac:dyDescent="0.3">
      <c r="A68"/>
      <c r="B68"/>
      <c r="C68"/>
    </row>
    <row r="69" spans="1:3" ht="16.5" x14ac:dyDescent="0.3">
      <c r="A69" s="4" t="s">
        <v>2</v>
      </c>
      <c r="B69" t="s">
        <v>16</v>
      </c>
      <c r="C69"/>
    </row>
    <row r="70" spans="1:3" ht="16.5" x14ac:dyDescent="0.3">
      <c r="A70"/>
      <c r="B70"/>
      <c r="C70"/>
    </row>
    <row r="71" spans="1:3" ht="16.5" x14ac:dyDescent="0.3">
      <c r="A71" s="4" t="s">
        <v>751</v>
      </c>
      <c r="B71" t="s">
        <v>740</v>
      </c>
      <c r="C71"/>
    </row>
    <row r="72" spans="1:3" ht="16.5" x14ac:dyDescent="0.3">
      <c r="A72" t="s">
        <v>752</v>
      </c>
      <c r="B72" s="5">
        <v>3</v>
      </c>
      <c r="C72"/>
    </row>
    <row r="73" spans="1:3" ht="16.5" x14ac:dyDescent="0.3">
      <c r="A73" t="s">
        <v>753</v>
      </c>
      <c r="B73" s="5">
        <v>3</v>
      </c>
      <c r="C73"/>
    </row>
    <row r="74" spans="1:3" ht="16.5" x14ac:dyDescent="0.3">
      <c r="A74" t="s">
        <v>754</v>
      </c>
      <c r="B74" s="5">
        <v>2</v>
      </c>
      <c r="C74"/>
    </row>
    <row r="75" spans="1:3" ht="16.5" x14ac:dyDescent="0.3">
      <c r="A75" t="s">
        <v>755</v>
      </c>
      <c r="B75" s="5">
        <v>4</v>
      </c>
      <c r="C75"/>
    </row>
    <row r="76" spans="1:3" ht="16.5" x14ac:dyDescent="0.3">
      <c r="A76" t="s">
        <v>756</v>
      </c>
      <c r="B76" s="5">
        <v>1</v>
      </c>
      <c r="C76"/>
    </row>
    <row r="77" spans="1:3" ht="16.5" x14ac:dyDescent="0.3">
      <c r="A77" t="s">
        <v>757</v>
      </c>
      <c r="B77" s="5">
        <v>2</v>
      </c>
      <c r="C77"/>
    </row>
    <row r="78" spans="1:3" ht="16.5" x14ac:dyDescent="0.3">
      <c r="A78" t="s">
        <v>758</v>
      </c>
      <c r="B78" s="5">
        <v>4</v>
      </c>
      <c r="C78"/>
    </row>
    <row r="79" spans="1:3" ht="16.5" x14ac:dyDescent="0.3">
      <c r="A79" t="s">
        <v>759</v>
      </c>
      <c r="B79" s="5">
        <v>3</v>
      </c>
      <c r="C79"/>
    </row>
    <row r="80" spans="1:3" ht="16.5" x14ac:dyDescent="0.3">
      <c r="A80" t="s">
        <v>760</v>
      </c>
      <c r="B80" s="5">
        <v>2</v>
      </c>
      <c r="C80"/>
    </row>
    <row r="81" spans="1:5" ht="16.5" x14ac:dyDescent="0.3">
      <c r="A81" t="s">
        <v>761</v>
      </c>
      <c r="B81" s="5">
        <v>1</v>
      </c>
      <c r="C81"/>
    </row>
    <row r="82" spans="1:5" ht="16.5" x14ac:dyDescent="0.3">
      <c r="A82" t="s">
        <v>762</v>
      </c>
      <c r="B82" s="5">
        <v>2</v>
      </c>
      <c r="C82"/>
    </row>
    <row r="83" spans="1:5" ht="16.5" x14ac:dyDescent="0.3">
      <c r="A83" t="s">
        <v>763</v>
      </c>
      <c r="B83" s="5">
        <v>2</v>
      </c>
      <c r="C83"/>
    </row>
    <row r="84" spans="1:5" ht="16.5" x14ac:dyDescent="0.3">
      <c r="A84" t="s">
        <v>764</v>
      </c>
      <c r="B84" s="5">
        <v>2</v>
      </c>
      <c r="C84"/>
    </row>
    <row r="85" spans="1:5" ht="16.5" x14ac:dyDescent="0.3">
      <c r="A85" t="s">
        <v>765</v>
      </c>
      <c r="B85" s="5">
        <v>1</v>
      </c>
      <c r="C85"/>
    </row>
    <row r="86" spans="1:5" ht="16.5" x14ac:dyDescent="0.3">
      <c r="A86" t="s">
        <v>766</v>
      </c>
      <c r="B86" s="5">
        <v>1</v>
      </c>
      <c r="C86"/>
    </row>
    <row r="87" spans="1:5" ht="16.5" x14ac:dyDescent="0.3">
      <c r="A87" t="s">
        <v>767</v>
      </c>
      <c r="B87" s="5">
        <v>1</v>
      </c>
      <c r="C87"/>
    </row>
    <row r="88" spans="1:5" ht="16.5" x14ac:dyDescent="0.3">
      <c r="A88" t="s">
        <v>739</v>
      </c>
      <c r="B88" s="5">
        <v>34</v>
      </c>
      <c r="C88"/>
    </row>
    <row r="89" spans="1:5" ht="16.5" x14ac:dyDescent="0.3">
      <c r="A89"/>
      <c r="B89"/>
    </row>
    <row r="90" spans="1:5" ht="16.5" x14ac:dyDescent="0.3">
      <c r="A90" s="4" t="s">
        <v>2</v>
      </c>
      <c r="B90" t="s">
        <v>8</v>
      </c>
    </row>
    <row r="91" spans="1:5" ht="16.5" x14ac:dyDescent="0.3">
      <c r="A91" s="4" t="s">
        <v>743</v>
      </c>
      <c r="B91" t="s">
        <v>145</v>
      </c>
    </row>
    <row r="93" spans="1:5" ht="16.5" x14ac:dyDescent="0.3">
      <c r="A93" s="4" t="s">
        <v>740</v>
      </c>
      <c r="B93" s="4" t="s">
        <v>768</v>
      </c>
      <c r="C93"/>
      <c r="D93"/>
      <c r="E93"/>
    </row>
    <row r="94" spans="1:5" ht="16.5" x14ac:dyDescent="0.3">
      <c r="A94" s="4" t="s">
        <v>737</v>
      </c>
      <c r="B94" t="s">
        <v>771</v>
      </c>
      <c r="C94" t="s">
        <v>770</v>
      </c>
      <c r="D94" t="s">
        <v>769</v>
      </c>
      <c r="E94" t="s">
        <v>739</v>
      </c>
    </row>
    <row r="95" spans="1:5" ht="16.5" x14ac:dyDescent="0.3">
      <c r="A95" t="s">
        <v>722</v>
      </c>
      <c r="B95" s="5">
        <v>4</v>
      </c>
      <c r="C95" s="5">
        <v>2</v>
      </c>
      <c r="D95" s="5">
        <v>4</v>
      </c>
      <c r="E95" s="5">
        <v>10</v>
      </c>
    </row>
    <row r="96" spans="1:5" ht="16.5" x14ac:dyDescent="0.3">
      <c r="A96" t="s">
        <v>724</v>
      </c>
      <c r="B96" s="5">
        <v>9</v>
      </c>
      <c r="C96" s="5">
        <v>9</v>
      </c>
      <c r="D96" s="5">
        <v>5</v>
      </c>
      <c r="E96" s="5">
        <v>23</v>
      </c>
    </row>
    <row r="97" spans="1:5" ht="16.5" x14ac:dyDescent="0.3">
      <c r="A97" t="s">
        <v>725</v>
      </c>
      <c r="B97" s="5">
        <v>58</v>
      </c>
      <c r="C97" s="5">
        <v>27</v>
      </c>
      <c r="D97" s="5">
        <v>19</v>
      </c>
      <c r="E97" s="5">
        <v>104</v>
      </c>
    </row>
    <row r="98" spans="1:5" ht="16.5" x14ac:dyDescent="0.3">
      <c r="A98" t="s">
        <v>726</v>
      </c>
      <c r="B98" s="5">
        <v>45</v>
      </c>
      <c r="C98" s="5">
        <v>16</v>
      </c>
      <c r="D98" s="5">
        <v>3</v>
      </c>
      <c r="E98" s="5">
        <v>64</v>
      </c>
    </row>
    <row r="99" spans="1:5" ht="16.5" x14ac:dyDescent="0.3">
      <c r="A99" t="s">
        <v>727</v>
      </c>
      <c r="B99" s="5">
        <v>30</v>
      </c>
      <c r="C99" s="5">
        <v>10</v>
      </c>
      <c r="D99" s="5">
        <v>6</v>
      </c>
      <c r="E99" s="5">
        <v>46</v>
      </c>
    </row>
    <row r="100" spans="1:5" ht="16.5" x14ac:dyDescent="0.3">
      <c r="A100" t="s">
        <v>728</v>
      </c>
      <c r="B100" s="5">
        <v>15</v>
      </c>
      <c r="C100" s="5">
        <v>6</v>
      </c>
      <c r="D100" s="5">
        <v>5</v>
      </c>
      <c r="E100" s="5">
        <v>26</v>
      </c>
    </row>
    <row r="101" spans="1:5" ht="16.5" x14ac:dyDescent="0.3">
      <c r="A101" t="s">
        <v>729</v>
      </c>
      <c r="B101" s="5">
        <v>1</v>
      </c>
      <c r="C101" s="5"/>
      <c r="D101" s="5"/>
      <c r="E101" s="5">
        <v>1</v>
      </c>
    </row>
    <row r="102" spans="1:5" ht="16.5" x14ac:dyDescent="0.3">
      <c r="A102" t="s">
        <v>730</v>
      </c>
      <c r="B102" s="5">
        <v>2</v>
      </c>
      <c r="C102" s="5"/>
      <c r="D102" s="5"/>
      <c r="E102" s="5">
        <v>2</v>
      </c>
    </row>
    <row r="103" spans="1:5" ht="16.5" x14ac:dyDescent="0.3">
      <c r="A103" t="s">
        <v>739</v>
      </c>
      <c r="B103" s="5">
        <v>164</v>
      </c>
      <c r="C103" s="5">
        <v>70</v>
      </c>
      <c r="D103" s="5">
        <v>42</v>
      </c>
      <c r="E103" s="5">
        <v>276</v>
      </c>
    </row>
    <row r="104" spans="1:5" ht="16.5" x14ac:dyDescent="0.3">
      <c r="A104"/>
      <c r="B104"/>
      <c r="C104"/>
      <c r="D104"/>
      <c r="E104"/>
    </row>
    <row r="105" spans="1:5" ht="16.5" x14ac:dyDescent="0.3">
      <c r="A105"/>
      <c r="B105"/>
      <c r="C105"/>
      <c r="D105"/>
      <c r="E105"/>
    </row>
    <row r="106" spans="1:5" ht="16.5" x14ac:dyDescent="0.3">
      <c r="A106"/>
      <c r="B106"/>
      <c r="C106"/>
      <c r="D106"/>
      <c r="E106"/>
    </row>
    <row r="107" spans="1:5" ht="16.5" x14ac:dyDescent="0.3">
      <c r="A107"/>
      <c r="B107"/>
      <c r="C107"/>
      <c r="D107"/>
      <c r="E107"/>
    </row>
    <row r="108" spans="1:5" ht="16.5" x14ac:dyDescent="0.3">
      <c r="A108" s="4" t="s">
        <v>772</v>
      </c>
      <c r="B108" t="s">
        <v>740</v>
      </c>
      <c r="C108"/>
    </row>
    <row r="109" spans="1:5" ht="16.5" x14ac:dyDescent="0.3">
      <c r="A109">
        <v>2027</v>
      </c>
      <c r="B109" s="5">
        <v>10</v>
      </c>
      <c r="C109"/>
    </row>
    <row r="110" spans="1:5" ht="16.5" x14ac:dyDescent="0.3">
      <c r="A110">
        <v>2028</v>
      </c>
      <c r="B110" s="5">
        <v>6</v>
      </c>
      <c r="C110"/>
    </row>
    <row r="111" spans="1:5" ht="16.5" x14ac:dyDescent="0.3">
      <c r="A111">
        <v>2029</v>
      </c>
      <c r="B111" s="5">
        <v>7</v>
      </c>
      <c r="C111"/>
    </row>
    <row r="112" spans="1:5" ht="16.5" x14ac:dyDescent="0.3">
      <c r="A112">
        <v>2030</v>
      </c>
      <c r="B112" s="5">
        <v>2</v>
      </c>
      <c r="C112"/>
    </row>
    <row r="113" spans="1:6" ht="16.5" x14ac:dyDescent="0.3">
      <c r="A113">
        <v>2031</v>
      </c>
      <c r="B113" s="5">
        <v>11</v>
      </c>
      <c r="C113"/>
    </row>
    <row r="114" spans="1:6" ht="16.5" x14ac:dyDescent="0.3">
      <c r="A114">
        <v>2032</v>
      </c>
      <c r="B114" s="5">
        <v>12</v>
      </c>
      <c r="C114"/>
    </row>
    <row r="115" spans="1:6" ht="16.5" x14ac:dyDescent="0.3">
      <c r="A115">
        <v>2033</v>
      </c>
      <c r="B115" s="5">
        <v>9</v>
      </c>
      <c r="C115"/>
    </row>
    <row r="116" spans="1:6" ht="16.5" x14ac:dyDescent="0.3">
      <c r="A116">
        <v>2034</v>
      </c>
      <c r="B116" s="5">
        <v>7</v>
      </c>
      <c r="C116"/>
    </row>
    <row r="117" spans="1:6" ht="16.5" x14ac:dyDescent="0.3">
      <c r="A117">
        <v>2035</v>
      </c>
      <c r="B117" s="5">
        <v>12</v>
      </c>
      <c r="C117"/>
    </row>
    <row r="118" spans="1:6" ht="16.5" x14ac:dyDescent="0.3">
      <c r="A118">
        <v>2036</v>
      </c>
      <c r="B118" s="5">
        <v>17</v>
      </c>
      <c r="C118"/>
    </row>
    <row r="119" spans="1:6" ht="16.5" x14ac:dyDescent="0.3">
      <c r="A119" t="s">
        <v>739</v>
      </c>
      <c r="B119" s="5">
        <v>93</v>
      </c>
      <c r="C119"/>
    </row>
    <row r="120" spans="1:6" ht="16.5" x14ac:dyDescent="0.3">
      <c r="A120"/>
      <c r="B120"/>
      <c r="C120"/>
    </row>
    <row r="121" spans="1:6" ht="16.5" x14ac:dyDescent="0.3">
      <c r="A121"/>
      <c r="B121"/>
      <c r="C121"/>
    </row>
    <row r="122" spans="1:6" ht="16.5" x14ac:dyDescent="0.3">
      <c r="A122"/>
      <c r="B122"/>
      <c r="C122"/>
    </row>
    <row r="123" spans="1:6" ht="16.5" x14ac:dyDescent="0.3">
      <c r="A123"/>
      <c r="B123"/>
      <c r="C123"/>
    </row>
    <row r="124" spans="1:6" ht="16.5" x14ac:dyDescent="0.3">
      <c r="A124" s="4" t="s">
        <v>740</v>
      </c>
      <c r="B124" s="4" t="s">
        <v>743</v>
      </c>
      <c r="C124"/>
      <c r="D124"/>
      <c r="E124"/>
      <c r="F124"/>
    </row>
    <row r="125" spans="1:6" ht="16.5" x14ac:dyDescent="0.3">
      <c r="A125" s="4" t="s">
        <v>773</v>
      </c>
      <c r="B125" t="s">
        <v>145</v>
      </c>
      <c r="C125" t="s">
        <v>744</v>
      </c>
      <c r="D125" t="s">
        <v>132</v>
      </c>
      <c r="E125" t="s">
        <v>239</v>
      </c>
      <c r="F125" t="s">
        <v>739</v>
      </c>
    </row>
    <row r="126" spans="1:6" ht="16.5" x14ac:dyDescent="0.3">
      <c r="A126" t="s">
        <v>771</v>
      </c>
      <c r="B126" s="5">
        <v>38</v>
      </c>
      <c r="C126" s="5"/>
      <c r="D126" s="5">
        <v>17</v>
      </c>
      <c r="E126" s="5">
        <v>5</v>
      </c>
      <c r="F126" s="5">
        <v>60</v>
      </c>
    </row>
    <row r="127" spans="1:6" ht="16.5" x14ac:dyDescent="0.3">
      <c r="A127" t="s">
        <v>770</v>
      </c>
      <c r="B127" s="5">
        <v>54</v>
      </c>
      <c r="C127" s="5"/>
      <c r="D127" s="5">
        <v>38</v>
      </c>
      <c r="E127" s="5">
        <v>11</v>
      </c>
      <c r="F127" s="5">
        <v>103</v>
      </c>
    </row>
    <row r="128" spans="1:6" ht="16.5" x14ac:dyDescent="0.3">
      <c r="A128" t="s">
        <v>774</v>
      </c>
      <c r="B128" s="5">
        <v>90</v>
      </c>
      <c r="C128" s="5"/>
      <c r="D128" s="5">
        <v>30</v>
      </c>
      <c r="E128" s="5">
        <v>13</v>
      </c>
      <c r="F128" s="5">
        <v>133</v>
      </c>
    </row>
    <row r="129" spans="1:6" ht="16.5" x14ac:dyDescent="0.3">
      <c r="A129" t="s">
        <v>775</v>
      </c>
      <c r="B129" s="5">
        <v>71</v>
      </c>
      <c r="C129" s="5"/>
      <c r="D129" s="5">
        <v>24</v>
      </c>
      <c r="E129" s="5">
        <v>2</v>
      </c>
      <c r="F129" s="5">
        <v>97</v>
      </c>
    </row>
    <row r="130" spans="1:6" ht="16.5" x14ac:dyDescent="0.3">
      <c r="A130" t="s">
        <v>776</v>
      </c>
      <c r="B130" s="5">
        <v>17</v>
      </c>
      <c r="C130" s="5"/>
      <c r="D130" s="5">
        <v>1</v>
      </c>
      <c r="E130" s="5"/>
      <c r="F130" s="5">
        <v>18</v>
      </c>
    </row>
    <row r="131" spans="1:6" ht="16.5" x14ac:dyDescent="0.3">
      <c r="A131" t="s">
        <v>777</v>
      </c>
      <c r="B131" s="5">
        <v>27</v>
      </c>
      <c r="C131" s="5">
        <v>30</v>
      </c>
      <c r="D131" s="5">
        <v>8</v>
      </c>
      <c r="E131" s="5">
        <v>4</v>
      </c>
      <c r="F131" s="5">
        <v>69</v>
      </c>
    </row>
    <row r="132" spans="1:6" ht="16.5" x14ac:dyDescent="0.3">
      <c r="A132" t="s">
        <v>739</v>
      </c>
      <c r="B132" s="5">
        <v>297</v>
      </c>
      <c r="C132" s="5">
        <v>30</v>
      </c>
      <c r="D132" s="5">
        <v>118</v>
      </c>
      <c r="E132" s="5">
        <v>35</v>
      </c>
      <c r="F132" s="5">
        <v>480</v>
      </c>
    </row>
    <row r="133" spans="1:6" ht="16.5" x14ac:dyDescent="0.3">
      <c r="A133"/>
      <c r="B133"/>
      <c r="C133"/>
    </row>
    <row r="134" spans="1:6" ht="16.5" x14ac:dyDescent="0.3">
      <c r="A134"/>
      <c r="B134"/>
      <c r="C134"/>
    </row>
    <row r="135" spans="1:6" ht="16.5" x14ac:dyDescent="0.3">
      <c r="A135"/>
      <c r="B135"/>
      <c r="C135"/>
    </row>
    <row r="136" spans="1:6" ht="16.5" x14ac:dyDescent="0.3">
      <c r="A136"/>
      <c r="B136"/>
      <c r="C136"/>
    </row>
    <row r="137" spans="1:6" ht="16.5" x14ac:dyDescent="0.3">
      <c r="A137" s="4" t="s">
        <v>740</v>
      </c>
      <c r="B137" s="4" t="s">
        <v>718</v>
      </c>
      <c r="C137"/>
      <c r="D137"/>
      <c r="E137"/>
    </row>
    <row r="138" spans="1:6" ht="16.5" x14ac:dyDescent="0.3">
      <c r="A138" s="4" t="s">
        <v>719</v>
      </c>
      <c r="B138" t="s">
        <v>721</v>
      </c>
      <c r="C138" t="s">
        <v>731</v>
      </c>
      <c r="D138" t="s">
        <v>732</v>
      </c>
      <c r="E138" t="s">
        <v>739</v>
      </c>
    </row>
    <row r="139" spans="1:6" ht="16.5" x14ac:dyDescent="0.3">
      <c r="A139" t="s">
        <v>722</v>
      </c>
      <c r="B139" s="5">
        <v>6</v>
      </c>
      <c r="C139" s="5">
        <v>7</v>
      </c>
      <c r="D139" s="5">
        <v>11</v>
      </c>
      <c r="E139" s="5">
        <v>24</v>
      </c>
    </row>
    <row r="140" spans="1:6" ht="16.5" x14ac:dyDescent="0.3">
      <c r="A140" t="s">
        <v>724</v>
      </c>
      <c r="B140" s="5">
        <v>23</v>
      </c>
      <c r="C140" s="5">
        <v>24</v>
      </c>
      <c r="D140" s="5">
        <v>25</v>
      </c>
      <c r="E140" s="5">
        <v>72</v>
      </c>
    </row>
    <row r="141" spans="1:6" ht="16.5" x14ac:dyDescent="0.3">
      <c r="A141" t="s">
        <v>725</v>
      </c>
      <c r="B141" s="5">
        <v>111</v>
      </c>
      <c r="C141" s="5">
        <v>118</v>
      </c>
      <c r="D141" s="5">
        <v>110</v>
      </c>
      <c r="E141" s="5">
        <v>339</v>
      </c>
    </row>
    <row r="142" spans="1:6" ht="16.5" x14ac:dyDescent="0.3">
      <c r="A142" t="s">
        <v>726</v>
      </c>
      <c r="B142" s="5">
        <v>81</v>
      </c>
      <c r="C142" s="5">
        <v>86</v>
      </c>
      <c r="D142" s="5">
        <v>70</v>
      </c>
      <c r="E142" s="5">
        <v>237</v>
      </c>
    </row>
    <row r="143" spans="1:6" ht="16.5" x14ac:dyDescent="0.3">
      <c r="A143" t="s">
        <v>727</v>
      </c>
      <c r="B143" s="5">
        <v>47</v>
      </c>
      <c r="C143" s="5">
        <v>50</v>
      </c>
      <c r="D143" s="5">
        <v>50</v>
      </c>
      <c r="E143" s="5">
        <v>147</v>
      </c>
    </row>
    <row r="144" spans="1:6" ht="16.5" x14ac:dyDescent="0.3">
      <c r="A144" t="s">
        <v>728</v>
      </c>
      <c r="B144" s="5">
        <v>34</v>
      </c>
      <c r="C144" s="5">
        <v>31</v>
      </c>
      <c r="D144" s="5">
        <v>28</v>
      </c>
      <c r="E144" s="5">
        <v>93</v>
      </c>
    </row>
    <row r="145" spans="1:9" ht="16.5" x14ac:dyDescent="0.3">
      <c r="A145" t="s">
        <v>729</v>
      </c>
      <c r="B145" s="5">
        <v>3</v>
      </c>
      <c r="C145" s="5">
        <v>3</v>
      </c>
      <c r="D145" s="5">
        <v>1</v>
      </c>
      <c r="E145" s="5">
        <v>7</v>
      </c>
    </row>
    <row r="146" spans="1:9" ht="16.5" x14ac:dyDescent="0.3">
      <c r="A146" t="s">
        <v>730</v>
      </c>
      <c r="B146" s="5">
        <v>3</v>
      </c>
      <c r="C146" s="5">
        <v>3</v>
      </c>
      <c r="D146" s="5">
        <v>2</v>
      </c>
      <c r="E146" s="5">
        <v>8</v>
      </c>
    </row>
    <row r="147" spans="1:9" ht="16.5" x14ac:dyDescent="0.3">
      <c r="A147" t="s">
        <v>239</v>
      </c>
      <c r="B147" s="5">
        <v>38</v>
      </c>
      <c r="C147" s="5">
        <v>35</v>
      </c>
      <c r="D147" s="5">
        <v>35</v>
      </c>
      <c r="E147" s="5">
        <v>108</v>
      </c>
    </row>
    <row r="148" spans="1:9" ht="16.5" x14ac:dyDescent="0.3">
      <c r="A148" t="s">
        <v>132</v>
      </c>
      <c r="B148" s="5">
        <v>102</v>
      </c>
      <c r="C148" s="5">
        <v>109</v>
      </c>
      <c r="D148" s="5">
        <v>118</v>
      </c>
      <c r="E148" s="5">
        <v>329</v>
      </c>
    </row>
    <row r="149" spans="1:9" ht="16.5" x14ac:dyDescent="0.3">
      <c r="A149" t="s">
        <v>739</v>
      </c>
      <c r="B149" s="5">
        <v>448</v>
      </c>
      <c r="C149" s="5">
        <v>466</v>
      </c>
      <c r="D149" s="5">
        <v>450</v>
      </c>
      <c r="E149" s="5">
        <v>1364</v>
      </c>
    </row>
    <row r="150" spans="1:9" ht="16.5" x14ac:dyDescent="0.3">
      <c r="A150"/>
      <c r="B150"/>
      <c r="C150"/>
    </row>
    <row r="151" spans="1:9" ht="16.5" x14ac:dyDescent="0.3">
      <c r="A151"/>
      <c r="B151"/>
      <c r="C151"/>
    </row>
    <row r="152" spans="1:9" ht="16.5" x14ac:dyDescent="0.3">
      <c r="A152" s="4" t="s">
        <v>778</v>
      </c>
      <c r="B152" t="s">
        <v>784</v>
      </c>
      <c r="C152"/>
    </row>
    <row r="153" spans="1:9" ht="16.5" x14ac:dyDescent="0.3">
      <c r="A153"/>
      <c r="B153"/>
      <c r="C153"/>
    </row>
    <row r="154" spans="1:9" ht="16.5" x14ac:dyDescent="0.3">
      <c r="A154" s="4" t="s">
        <v>740</v>
      </c>
      <c r="B154" s="4" t="s">
        <v>4</v>
      </c>
      <c r="C154"/>
      <c r="D154"/>
      <c r="E154"/>
      <c r="F154"/>
      <c r="G154"/>
      <c r="H154"/>
      <c r="I154"/>
    </row>
    <row r="155" spans="1:9" ht="16.5" x14ac:dyDescent="0.3">
      <c r="A155" s="4" t="s">
        <v>779</v>
      </c>
      <c r="B155" t="s">
        <v>37</v>
      </c>
      <c r="C155" t="s">
        <v>51</v>
      </c>
      <c r="D155" t="s">
        <v>21</v>
      </c>
      <c r="E155" t="s">
        <v>93</v>
      </c>
      <c r="F155" t="s">
        <v>17</v>
      </c>
      <c r="G155" t="s">
        <v>44</v>
      </c>
      <c r="H155" t="s">
        <v>739</v>
      </c>
      <c r="I155"/>
    </row>
    <row r="156" spans="1:9" ht="16.5" x14ac:dyDescent="0.3">
      <c r="A156" t="s">
        <v>783</v>
      </c>
      <c r="B156" s="5"/>
      <c r="C156" s="5"/>
      <c r="D156" s="5"/>
      <c r="E156" s="5"/>
      <c r="F156" s="5">
        <v>2</v>
      </c>
      <c r="G156" s="5"/>
      <c r="H156" s="5">
        <v>2</v>
      </c>
      <c r="I156"/>
    </row>
    <row r="157" spans="1:9" ht="16.5" x14ac:dyDescent="0.3">
      <c r="A157" t="s">
        <v>780</v>
      </c>
      <c r="B157" s="5">
        <v>2</v>
      </c>
      <c r="C157" s="5"/>
      <c r="D157" s="5">
        <v>2</v>
      </c>
      <c r="E157" s="5">
        <v>1</v>
      </c>
      <c r="F157" s="5">
        <v>12</v>
      </c>
      <c r="G157" s="5">
        <v>4</v>
      </c>
      <c r="H157" s="5">
        <v>21</v>
      </c>
      <c r="I157"/>
    </row>
    <row r="158" spans="1:9" ht="16.5" x14ac:dyDescent="0.3">
      <c r="A158" t="s">
        <v>781</v>
      </c>
      <c r="B158" s="5"/>
      <c r="C158" s="5">
        <v>1</v>
      </c>
      <c r="D158" s="5"/>
      <c r="E158" s="5"/>
      <c r="F158" s="5">
        <v>8</v>
      </c>
      <c r="G158" s="5">
        <v>1</v>
      </c>
      <c r="H158" s="5">
        <v>10</v>
      </c>
      <c r="I158"/>
    </row>
    <row r="159" spans="1:9" ht="16.5" x14ac:dyDescent="0.3">
      <c r="A159" t="s">
        <v>782</v>
      </c>
      <c r="B159" s="5"/>
      <c r="C159" s="5"/>
      <c r="D159" s="5"/>
      <c r="E159" s="5"/>
      <c r="F159" s="5">
        <v>1</v>
      </c>
      <c r="G159" s="5"/>
      <c r="H159" s="5">
        <v>1</v>
      </c>
      <c r="I159"/>
    </row>
    <row r="160" spans="1:9" ht="16.5" x14ac:dyDescent="0.3">
      <c r="A160" t="s">
        <v>739</v>
      </c>
      <c r="B160" s="5">
        <v>2</v>
      </c>
      <c r="C160" s="5">
        <v>1</v>
      </c>
      <c r="D160" s="5">
        <v>2</v>
      </c>
      <c r="E160" s="5">
        <v>1</v>
      </c>
      <c r="F160" s="5">
        <v>23</v>
      </c>
      <c r="G160" s="5">
        <v>5</v>
      </c>
      <c r="H160" s="5">
        <v>34</v>
      </c>
      <c r="I160"/>
    </row>
    <row r="161" spans="1:9" ht="16.5" x14ac:dyDescent="0.3">
      <c r="A161"/>
      <c r="B161"/>
      <c r="C161"/>
      <c r="D161"/>
      <c r="E161"/>
      <c r="F161"/>
      <c r="G161"/>
      <c r="H161"/>
      <c r="I161"/>
    </row>
    <row r="162" spans="1:9" ht="16.5" x14ac:dyDescent="0.3">
      <c r="A162"/>
      <c r="B162"/>
      <c r="C162"/>
      <c r="D162"/>
      <c r="E162"/>
      <c r="F162"/>
      <c r="G162"/>
      <c r="H162"/>
      <c r="I162"/>
    </row>
    <row r="163" spans="1:9" ht="16.5" x14ac:dyDescent="0.3">
      <c r="A163"/>
      <c r="B163"/>
      <c r="C163"/>
    </row>
    <row r="164" spans="1:9" ht="16.5" x14ac:dyDescent="0.3">
      <c r="A164"/>
      <c r="B164"/>
      <c r="C164"/>
    </row>
    <row r="165" spans="1:9" ht="16.5" x14ac:dyDescent="0.3">
      <c r="A165"/>
      <c r="B165"/>
      <c r="C165"/>
    </row>
    <row r="166" spans="1:9" ht="16.5" x14ac:dyDescent="0.3">
      <c r="A166"/>
      <c r="B166"/>
      <c r="C166"/>
    </row>
    <row r="167" spans="1:9" ht="16.5" x14ac:dyDescent="0.3">
      <c r="A167"/>
      <c r="B167"/>
      <c r="C167"/>
    </row>
    <row r="168" spans="1:9" ht="16.5" x14ac:dyDescent="0.3">
      <c r="A168"/>
      <c r="B168"/>
      <c r="C168"/>
    </row>
    <row r="169" spans="1:9" ht="16.5" x14ac:dyDescent="0.3">
      <c r="A169"/>
      <c r="B169"/>
      <c r="C169"/>
    </row>
    <row r="170" spans="1:9" ht="16.5" x14ac:dyDescent="0.3">
      <c r="A170"/>
      <c r="B170"/>
      <c r="C170"/>
    </row>
    <row r="171" spans="1:9" ht="16.5" x14ac:dyDescent="0.3">
      <c r="A171"/>
      <c r="B171"/>
      <c r="C171"/>
    </row>
  </sheetData>
  <phoneticPr fontId="1" type="noConversion"/>
  <pageMargins left="0.7" right="0.7" top="0.75" bottom="0.75" header="0.3" footer="0.3"/>
  <pageSetup paperSize="9"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01.요약</vt:lpstr>
      <vt:lpstr>02.교차조회</vt:lpstr>
      <vt:lpstr>03.휴직관리</vt:lpstr>
      <vt:lpstr>04.전년대비</vt:lpstr>
      <vt:lpstr>05.인력구조</vt:lpstr>
      <vt:lpstr>10.RAW_현원명부</vt:lpstr>
      <vt:lpstr>11.RAW_휴직이력</vt:lpstr>
      <vt:lpstr>12.RAW_연도집계</vt:lpstr>
      <vt:lpstr>99.사용안내</vt:lpstr>
      <vt:lpstr>_피벗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2026-09-07T01:41:27Z</dcterms:created>
  <dcterms:modified xsi:type="dcterms:W3CDTF">2026-09-07T01:41:43Z</dcterms:modified>
</cp:coreProperties>
</file>